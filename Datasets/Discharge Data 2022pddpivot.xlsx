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ile" sheetId="1" r:id="rId4"/>
    <sheet state="visible" name="Pivot" sheetId="2" r:id="rId5"/>
    <sheet state="visible" name="Data" sheetId="3" r:id="rId6"/>
    <sheet state="visible" name="INSTRUCTIONS &amp; FOOTNOTES" sheetId="4" r:id="rId7"/>
  </sheets>
  <definedNames>
    <definedName name="PIVOT">Data!#REF!</definedName>
    <definedName name="_AMO_SingleObject_328283544_ROM_F0.SEC2.Tabulate_1.SEC1.FTR.TXT1">#REF!</definedName>
    <definedName name="_AMO_SingleObject_328283544_ROM_F0.SEC2.Tabulate_1.SEC1.HDR.TXT1">#REF!</definedName>
    <definedName name="_AMO_SingleObject_328283544_ROM_F0.SEC2.Tabulate_1.SEC1.FTR.TXT2">#REF!</definedName>
    <definedName name="_AMO_SingleObject_328283544_ROM_F0.SEC2.Tabulate_1.SEC1.HDR.TXT2">#REF!</definedName>
    <definedName name="PIVOT2">#REF!</definedName>
    <definedName name="_AMO_SingleObject_328283544_ROM_F0.SEC2.Tabulate_1.SEC1.BDY.Cross_tabular_summary_report_Table_1">#REF!</definedName>
  </definedNames>
  <calcPr/>
  <pivotCaches>
    <pivotCache cacheId="0" r:id="rId8"/>
  </pivotCaches>
  <extLst>
    <ext uri="GoogleSheetsCustomDataVersion2">
      <go:sheetsCustomData xmlns:go="http://customooxmlschemas.google.com/" r:id="rId9" roundtripDataChecksum="bO2L4ftnfd7sctGDjyBWiMd4UD22TQuvyCNYstMVGiQ="/>
    </ext>
  </extLst>
</workbook>
</file>

<file path=xl/sharedStrings.xml><?xml version="1.0" encoding="utf-8"?>
<sst xmlns="http://schemas.openxmlformats.org/spreadsheetml/2006/main" count="6459" uniqueCount="2870">
  <si>
    <t>2022 Hospital Discharge Summary Report</t>
  </si>
  <si>
    <t>Profile Characteristics (Individual Hospital Information will appear only if one hospital is selected)</t>
  </si>
  <si>
    <t>OSHPD Facility No.</t>
  </si>
  <si>
    <t>Hospital Name</t>
  </si>
  <si>
    <t>County</t>
  </si>
  <si>
    <t>Address</t>
  </si>
  <si>
    <t>City</t>
  </si>
  <si>
    <t>ZIP Code</t>
  </si>
  <si>
    <t>Type of Control</t>
  </si>
  <si>
    <t>Teaching/Rural</t>
  </si>
  <si>
    <t>Licensed Bed Size</t>
  </si>
  <si>
    <t>Senate District</t>
  </si>
  <si>
    <t>Assembly District</t>
  </si>
  <si>
    <t>MSSA Designation</t>
  </si>
  <si>
    <t>MSSA Name</t>
  </si>
  <si>
    <t>Source:  2022 California Patient Discharge Data</t>
  </si>
  <si>
    <t>TYPE OF CARE</t>
  </si>
  <si>
    <t>#</t>
  </si>
  <si>
    <t>%</t>
  </si>
  <si>
    <t>DISCHARGES/DAYS</t>
  </si>
  <si>
    <t>EXPECTED PAYER SOURCE</t>
  </si>
  <si>
    <t>Acute</t>
  </si>
  <si>
    <t>Number of Hospital Reports</t>
  </si>
  <si>
    <t>Medi-Cal</t>
  </si>
  <si>
    <t>Chemical Dependency</t>
  </si>
  <si>
    <t>Number of Discharges</t>
  </si>
  <si>
    <t>Medicare</t>
  </si>
  <si>
    <t>Physical Rehabilitation</t>
  </si>
  <si>
    <t>Number of Discharge Days</t>
  </si>
  <si>
    <t>Private Coverage</t>
  </si>
  <si>
    <t>Psychiatric</t>
  </si>
  <si>
    <t>Average Length of Stay (Days)</t>
  </si>
  <si>
    <t>Self Pay</t>
  </si>
  <si>
    <t>Skilled Nursing/Intermediate Care</t>
  </si>
  <si>
    <t>Workers' Compensation</t>
  </si>
  <si>
    <t>Unknown/Blank/Invalid</t>
  </si>
  <si>
    <t>County Indigent Programs</t>
  </si>
  <si>
    <t>DNR ORDERS</t>
  </si>
  <si>
    <t>Other Government</t>
  </si>
  <si>
    <t>Yes</t>
  </si>
  <si>
    <t>Other Indigent</t>
  </si>
  <si>
    <t>No</t>
  </si>
  <si>
    <t>Other Payer</t>
  </si>
  <si>
    <t>Invalid</t>
  </si>
  <si>
    <r>
      <rPr>
        <rFont val="Arial"/>
        <b/>
        <color rgb="FFFFFFFF"/>
        <sz val="10.0"/>
      </rPr>
      <t xml:space="preserve">AGE GROUPS </t>
    </r>
    <r>
      <rPr>
        <rFont val="Arial"/>
        <b/>
        <color rgb="FFFFFFFF"/>
        <sz val="9.0"/>
      </rPr>
      <t>(at discharge)</t>
    </r>
  </si>
  <si>
    <t>RACE</t>
  </si>
  <si>
    <t>PATIENT ZIP CODE GROUP</t>
  </si>
  <si>
    <t>0 - 9</t>
  </si>
  <si>
    <t>American Indian/Alaska Native</t>
  </si>
  <si>
    <t>California Resident</t>
  </si>
  <si>
    <t>10 - 19</t>
  </si>
  <si>
    <t>Asian</t>
  </si>
  <si>
    <t>Homeless*</t>
  </si>
  <si>
    <t>20 - 29</t>
  </si>
  <si>
    <t>Black or African American</t>
  </si>
  <si>
    <t>Out of State</t>
  </si>
  <si>
    <t>30 - 39</t>
  </si>
  <si>
    <t>Multiracial</t>
  </si>
  <si>
    <t>Does Not Reside in US</t>
  </si>
  <si>
    <t>40 - 49</t>
  </si>
  <si>
    <t>Native Hawaiian or Other Pacific Islander</t>
  </si>
  <si>
    <t>50 - 59</t>
  </si>
  <si>
    <t>White</t>
  </si>
  <si>
    <t>60 - 69</t>
  </si>
  <si>
    <t>Other Race</t>
  </si>
  <si>
    <t>70 - 79</t>
  </si>
  <si>
    <t>Unknown/Blank/Invalid/Masked</t>
  </si>
  <si>
    <t>* For definition, please see 'Instructions &amp; Footnotes' tab</t>
  </si>
  <si>
    <t>80+</t>
  </si>
  <si>
    <t>ETHNICITY</t>
  </si>
  <si>
    <t>SEX</t>
  </si>
  <si>
    <t>Hispanic or Latino</t>
  </si>
  <si>
    <t>Female</t>
  </si>
  <si>
    <t>Non-Hispanic or Latino</t>
  </si>
  <si>
    <t>Male</t>
  </si>
  <si>
    <t>ADMISSION SOURCE - POINT OF ORIGIN</t>
  </si>
  <si>
    <t>ADMISSION SOURCE - ROUTE</t>
  </si>
  <si>
    <t>DISPOSITION</t>
  </si>
  <si>
    <t>Non-Health Care Facility</t>
  </si>
  <si>
    <t>Your Emergency Department</t>
  </si>
  <si>
    <t>Routine (home)</t>
  </si>
  <si>
    <t>Clinic or Physician's Office</t>
  </si>
  <si>
    <t>Another Emergency Department</t>
  </si>
  <si>
    <t>Home Health Service</t>
  </si>
  <si>
    <t>Hospital (different facility)</t>
  </si>
  <si>
    <t>Not Admitted from Emergency Department</t>
  </si>
  <si>
    <t>Acute Care</t>
  </si>
  <si>
    <t>Skilled Nursing/Intermediate Care/Assisted Living Facility</t>
  </si>
  <si>
    <t>Information Not Available/Unknown</t>
  </si>
  <si>
    <t>Skilled Nursing</t>
  </si>
  <si>
    <t>Another Health Care Facility</t>
  </si>
  <si>
    <t>Residential Care Facility</t>
  </si>
  <si>
    <t>Court/Law Enforcement</t>
  </si>
  <si>
    <t>One Distinct Unit to Another Distinct Unit, Same Hospital</t>
  </si>
  <si>
    <t>ADMISSION TYPE</t>
  </si>
  <si>
    <t>Against Medical Advice</t>
  </si>
  <si>
    <t>Ambulatory Surgery Center</t>
  </si>
  <si>
    <t>Emergency</t>
  </si>
  <si>
    <t>Children's or Cancer Center</t>
  </si>
  <si>
    <t>Hospice Facility</t>
  </si>
  <si>
    <t>Urgent</t>
  </si>
  <si>
    <t>Hospice Care</t>
  </si>
  <si>
    <t>Disaster Care Site</t>
  </si>
  <si>
    <t>Elective</t>
  </si>
  <si>
    <t>Psychiatric Care</t>
  </si>
  <si>
    <t>Newborn Admit Type*</t>
  </si>
  <si>
    <t>Newborn</t>
  </si>
  <si>
    <t>Critical Access Hospital</t>
  </si>
  <si>
    <t>Information Not Available/Unknown/Masked</t>
  </si>
  <si>
    <t>Trauma</t>
  </si>
  <si>
    <t>Died</t>
  </si>
  <si>
    <t>Inpatient Rehabilitation</t>
  </si>
  <si>
    <t>Other</t>
  </si>
  <si>
    <t>Not Defined Elsewhere</t>
  </si>
  <si>
    <t>* Please see note on 'Instructions &amp; Footnotes' tab</t>
  </si>
  <si>
    <t>Blank/Invalid</t>
  </si>
  <si>
    <t>PRINCIPAL DIAGNOSIS GROUP</t>
  </si>
  <si>
    <t>PRINCIPAL PROCEDURE GROUP</t>
  </si>
  <si>
    <t>Certain conditions originating in the perinatal period</t>
  </si>
  <si>
    <t>Miscellaneous diagnostic and therapeutic procedures</t>
  </si>
  <si>
    <t>Complications of pregnancy; childbirth; and the puerperium</t>
  </si>
  <si>
    <t>Obstetrical procedures</t>
  </si>
  <si>
    <t>Congenital anomalies</t>
  </si>
  <si>
    <t>Operations on the cardiovascular system</t>
  </si>
  <si>
    <t>Diseases of the blood and blood-forming organs</t>
  </si>
  <si>
    <t>Operations on the digestive system</t>
  </si>
  <si>
    <t>Diseases of the circulatory system</t>
  </si>
  <si>
    <t>Operations on the ear</t>
  </si>
  <si>
    <t>Diseases of the digestive system</t>
  </si>
  <si>
    <t>Operations on the endocrine system</t>
  </si>
  <si>
    <t>Diseases of the Ear and Mastoid Process</t>
  </si>
  <si>
    <t>Operations on the eye</t>
  </si>
  <si>
    <t>Diseases of the Eye and Adnexa</t>
  </si>
  <si>
    <t>Operations on the genital organs</t>
  </si>
  <si>
    <t>Diseases of the genitourinary system</t>
  </si>
  <si>
    <t>Operations on the hemic and lymphatic system</t>
  </si>
  <si>
    <t>Diseases of the musculoskeletal system and connective tissue</t>
  </si>
  <si>
    <t>Operations on the integumentary system</t>
  </si>
  <si>
    <t>Diseases of the nervous system and sense organs</t>
  </si>
  <si>
    <t>Operations on the musculoskeletal system</t>
  </si>
  <si>
    <t>Diseases of the respiratory system</t>
  </si>
  <si>
    <t>Operations on the nervous system</t>
  </si>
  <si>
    <t>Diseases of the skin and subcutaneous tissue</t>
  </si>
  <si>
    <t>Operations on the nose; mouth; and pharynx</t>
  </si>
  <si>
    <t>Endocrine; nutritional; and metabolic diseases and immunity disorders</t>
  </si>
  <si>
    <t>Operations on the respiratory system</t>
  </si>
  <si>
    <t>Factors influencing health status</t>
  </si>
  <si>
    <t>Operations on the urinary system</t>
  </si>
  <si>
    <t>Infectious and parasitic diseases</t>
  </si>
  <si>
    <t>No procedure group assigned</t>
  </si>
  <si>
    <t>Injury and poisoning</t>
  </si>
  <si>
    <t>No Principal Procedure Reported</t>
  </si>
  <si>
    <t>Mental Illness</t>
  </si>
  <si>
    <t>Neoplasms</t>
  </si>
  <si>
    <t>Symptoms; signs; and ill-defined conditions and factors influencing health status</t>
  </si>
  <si>
    <t>Make your selection here</t>
  </si>
  <si>
    <t>Values</t>
  </si>
  <si>
    <t>Count of oshpd_id</t>
  </si>
  <si>
    <t>Sum of oshpd_id9</t>
  </si>
  <si>
    <t>Sum of dsch_days</t>
  </si>
  <si>
    <t>Sum of Sex_Female</t>
  </si>
  <si>
    <t>Sum of Sex_Male</t>
  </si>
  <si>
    <t>Sum of Sex_Other_Unknown</t>
  </si>
  <si>
    <t>Sum of Age_0_09</t>
  </si>
  <si>
    <t>Sum of Age_10_19</t>
  </si>
  <si>
    <t>Sum of Age_20_29</t>
  </si>
  <si>
    <t>Sum of Age_30_39</t>
  </si>
  <si>
    <t>Sum of Age_40_49</t>
  </si>
  <si>
    <t>Sum of Age_50_59</t>
  </si>
  <si>
    <t>Sum of Age_60_69</t>
  </si>
  <si>
    <t>Sum of Age_70_79</t>
  </si>
  <si>
    <t>Sum of Age_80_</t>
  </si>
  <si>
    <t>Sum of Age_Other_Unknown</t>
  </si>
  <si>
    <t>Sum of racegrp_aman</t>
  </si>
  <si>
    <t>Sum of racegrp_asian</t>
  </si>
  <si>
    <t>Sum of racegrp_black</t>
  </si>
  <si>
    <t>Sum of racegrp_multirace</t>
  </si>
  <si>
    <t>Sum of racegrp_nhpi</t>
  </si>
  <si>
    <t>Sum of racegrp_other</t>
  </si>
  <si>
    <t>Sum of racegrp_white</t>
  </si>
  <si>
    <t>Sum of racegrp_unknown</t>
  </si>
  <si>
    <t>Sum of eth_Hispanic</t>
  </si>
  <si>
    <t>Sum of eth_NonHispanic</t>
  </si>
  <si>
    <t>Sum of eth_Other_Unknown</t>
  </si>
  <si>
    <t>Sum of DX_Congenital</t>
  </si>
  <si>
    <t>Sum of DX_Genitourinary</t>
  </si>
  <si>
    <t>Sum of dx_Diseases_of_the_Blood</t>
  </si>
  <si>
    <t>Sum of dx_Eye</t>
  </si>
  <si>
    <t>Sum of dx_Factors_Influencing_Health</t>
  </si>
  <si>
    <t>Sum of dx_Infectious</t>
  </si>
  <si>
    <t>Sum of dx_MentalHealth</t>
  </si>
  <si>
    <t>Sum of dx_Symptoms_Signs_NEC</t>
  </si>
  <si>
    <t>Sum of dx_Certain_Perinatal_Conditions</t>
  </si>
  <si>
    <t>Sum of dx_Musculoskeletal</t>
  </si>
  <si>
    <t>Sum of dx_Pregnancy_Childbirth</t>
  </si>
  <si>
    <t>Sum of dx_Ear</t>
  </si>
  <si>
    <t>Sum of dx_Nervous_System</t>
  </si>
  <si>
    <t>Sum of DX_Skin</t>
  </si>
  <si>
    <t>Sum of DX_Respiratory</t>
  </si>
  <si>
    <t>Sum of DX_Injury_Poisoning</t>
  </si>
  <si>
    <t>Sum of dx_Other_Unknown</t>
  </si>
  <si>
    <t>Sum of DX_Neoplasms</t>
  </si>
  <si>
    <t>Sum of DX_Digestive</t>
  </si>
  <si>
    <t>Sum of DX_Circulatory</t>
  </si>
  <si>
    <t>Sum of DX_Endocrine</t>
  </si>
  <si>
    <t>Sum of PR_Urinary_System</t>
  </si>
  <si>
    <t>Sum of PR_Nose_Mouth_Pharynx</t>
  </si>
  <si>
    <t>Sum of PR_Respiratory_System</t>
  </si>
  <si>
    <t>Sum of PR_Integumentary_System</t>
  </si>
  <si>
    <t>Sum of PR_Obstetrical</t>
  </si>
  <si>
    <t>Sum of PR_Nervous_System</t>
  </si>
  <si>
    <t>Sum of PR_No_Group_Assigned</t>
  </si>
  <si>
    <t>Sum of PR_Musculoskeletal_System</t>
  </si>
  <si>
    <t>Sum of PR_Hemic_Lymph_System</t>
  </si>
  <si>
    <t>Sum of PR_Ear</t>
  </si>
  <si>
    <t>Sum of PR_None</t>
  </si>
  <si>
    <t>Sum of PR_Eye</t>
  </si>
  <si>
    <t>Sum of PR_Endocrine_System</t>
  </si>
  <si>
    <t>Sum of PR_Reproductive_System</t>
  </si>
  <si>
    <t>Sum of PR_Digestive_System</t>
  </si>
  <si>
    <t>Sum of PR_Diagnostic_Therapeutic</t>
  </si>
  <si>
    <t>Sum of PR_Cardiovascular_System</t>
  </si>
  <si>
    <t>Sum of OSHPD_ID2</t>
  </si>
  <si>
    <t>Sum of Admt_NA</t>
  </si>
  <si>
    <t>Sum of Admt_Another_HCF</t>
  </si>
  <si>
    <t>Sum of Admt_Disaster_Care_Site</t>
  </si>
  <si>
    <t>Sum of Admt_Clinic_Dr</t>
  </si>
  <si>
    <t>Sum of Admt_Newborn</t>
  </si>
  <si>
    <t>Sum of Admt_HospiceFacility</t>
  </si>
  <si>
    <t>Sum of Admt_SNF_ICF_ALF</t>
  </si>
  <si>
    <t>Sum of Admt_Non_HCF</t>
  </si>
  <si>
    <t>Sum of Admt_Hosp_Dif</t>
  </si>
  <si>
    <t>Sum of Admt_DistinctPartXfer</t>
  </si>
  <si>
    <t>Sum of Admt_Court_LE</t>
  </si>
  <si>
    <t>Sum of Admt_Amb_Surgery</t>
  </si>
  <si>
    <t>Sum of Adm_Urgent</t>
  </si>
  <si>
    <t>Sum of Adm_Elective</t>
  </si>
  <si>
    <t>Sum of Adm_Newborn</t>
  </si>
  <si>
    <t>Sum of Adm_Trauma</t>
  </si>
  <si>
    <t>Sum of Adm_Emergency</t>
  </si>
  <si>
    <t>Sum of Adm_NA</t>
  </si>
  <si>
    <t>Sum of disp_Acute_Care</t>
  </si>
  <si>
    <t>Sum of disp_Against_Medical_Advice</t>
  </si>
  <si>
    <t>Sum of disp_Died</t>
  </si>
  <si>
    <t>Sum of disp_Home_Health_Service</t>
  </si>
  <si>
    <t>Sum of disp_Hospice_Care</t>
  </si>
  <si>
    <t>Sum of disp_Not_Defined_Elsewhere</t>
  </si>
  <si>
    <t>Sum of disp_Prison_Jail</t>
  </si>
  <si>
    <t>Sum of disp_Psychiatric_Care</t>
  </si>
  <si>
    <t>Sum of disp_Rehab</t>
  </si>
  <si>
    <t>Sum of disp_Residential_Care</t>
  </si>
  <si>
    <t>Sum of disp_Routine</t>
  </si>
  <si>
    <t>Sum of disp_SN_IC_Care</t>
  </si>
  <si>
    <t>Sum of disp_CAH</t>
  </si>
  <si>
    <t>Sum of disp_Childrens_or_Cancer</t>
  </si>
  <si>
    <t>Sum of disp_Disaster_Care_Site</t>
  </si>
  <si>
    <t>Sum of disp_Other</t>
  </si>
  <si>
    <t>Sum of disp_Invalid_Blank</t>
  </si>
  <si>
    <t>Sum of Payer_County_Indigent_Prog</t>
  </si>
  <si>
    <t>Sum of Payer_Medi_Cal</t>
  </si>
  <si>
    <t>Sum of Payer_Medicare</t>
  </si>
  <si>
    <t>Sum of Payer_Priv_Coverage</t>
  </si>
  <si>
    <t>Sum of Payer_Other_Government</t>
  </si>
  <si>
    <t>Sum of Payer_Self_Pay</t>
  </si>
  <si>
    <t>Sum of Payer_Workers_Comp</t>
  </si>
  <si>
    <t>Sum of Payer_Other_Payer</t>
  </si>
  <si>
    <t>Sum of Payer_Other_Indigent</t>
  </si>
  <si>
    <t>Sum of Payer_Unknown</t>
  </si>
  <si>
    <t>Sum of Zip_CA_Resident</t>
  </si>
  <si>
    <t>Sum of Zip_Homeless</t>
  </si>
  <si>
    <t>Sum of Zip_Out_of_State</t>
  </si>
  <si>
    <t>Sum of Zip_Foreign</t>
  </si>
  <si>
    <t>Sum of Zip_Unk_Inv_Bl</t>
  </si>
  <si>
    <t>Sum of Route_Your_ER</t>
  </si>
  <si>
    <t>Sum of Route_Another_ER</t>
  </si>
  <si>
    <t>Sum of Route_No_ER</t>
  </si>
  <si>
    <t>Sum of Route_NA</t>
  </si>
  <si>
    <t>Sum of TOC_Acute</t>
  </si>
  <si>
    <t>Sum of TOC_SN_IC</t>
  </si>
  <si>
    <t>Sum of TOC_Psych</t>
  </si>
  <si>
    <t>Sum of TOC_Chem_Dep</t>
  </si>
  <si>
    <t>Sum of TOC_Rehab</t>
  </si>
  <si>
    <t>Sum of TOC_Unknown</t>
  </si>
  <si>
    <t>Sum of DNR_Yes</t>
  </si>
  <si>
    <t>Sum of DNR_No</t>
  </si>
  <si>
    <t>Sum of DNR_Unknown</t>
  </si>
  <si>
    <t>This Excel pivot table uses the California Patient Discharge Database for January 1, 2022 to December 31, 2022.  It is a fast and simple way to aggregate and display data.</t>
  </si>
  <si>
    <t>Select your variables above using the pulldown arrows.  You can choose a specific hospital or county, or create a custom aggregation.  To get Statewide totals, select "All" for all fields.  When done, click on the "PROFILE" worksheet to see your results.</t>
  </si>
  <si>
    <t>Note:  Avoid changing the worksheets as they contain many links, formulas and custom formats.</t>
  </si>
  <si>
    <t>**No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</si>
  <si>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t>oshpd_id9</t>
  </si>
  <si>
    <t>OSHPD_ID</t>
  </si>
  <si>
    <t>COUNTY</t>
  </si>
  <si>
    <t>FACILITY_NAME</t>
  </si>
  <si>
    <t>ADDRESS</t>
  </si>
  <si>
    <t>CITY</t>
  </si>
  <si>
    <t>DBA_ZIP_CODE</t>
  </si>
  <si>
    <t>CONTROL_TYPE_DESC</t>
  </si>
  <si>
    <t>teach_rural</t>
  </si>
  <si>
    <t>licensed_bed_size</t>
  </si>
  <si>
    <t>senate_district_desc</t>
  </si>
  <si>
    <t>assembly_district_desc</t>
  </si>
  <si>
    <t>mssa_name</t>
  </si>
  <si>
    <t>mssa_designation</t>
  </si>
  <si>
    <t>TOC_Acute</t>
  </si>
  <si>
    <t>TOC_SN_IC</t>
  </si>
  <si>
    <t>TOC_Psych</t>
  </si>
  <si>
    <t>TOC_Chem_Dep</t>
  </si>
  <si>
    <t>TOC_Rehab</t>
  </si>
  <si>
    <t>TOC_Unknown</t>
  </si>
  <si>
    <t>Sex_Male</t>
  </si>
  <si>
    <t>Sex_Female</t>
  </si>
  <si>
    <t>Sex_Other_Unknown</t>
  </si>
  <si>
    <t>Age_0_09</t>
  </si>
  <si>
    <t>Age_10_19</t>
  </si>
  <si>
    <t>Age_20_29</t>
  </si>
  <si>
    <t>Age_30_39</t>
  </si>
  <si>
    <t>Age_40_49</t>
  </si>
  <si>
    <t>Age_50_59</t>
  </si>
  <si>
    <t>Age_60_69</t>
  </si>
  <si>
    <t>Age_70_79</t>
  </si>
  <si>
    <t>Age_80_</t>
  </si>
  <si>
    <t>Age_Other_Unknown</t>
  </si>
  <si>
    <t>eth_Hispanic</t>
  </si>
  <si>
    <t>eth_NonHispanic</t>
  </si>
  <si>
    <t>eth_Other_Unknown</t>
  </si>
  <si>
    <t>racegrp_aman</t>
  </si>
  <si>
    <t>racegrp_asian</t>
  </si>
  <si>
    <t>racegrp_nhpi</t>
  </si>
  <si>
    <t>racegrp_black</t>
  </si>
  <si>
    <t>racegrp_white</t>
  </si>
  <si>
    <t>racegrp_unknown</t>
  </si>
  <si>
    <t>racegrp_other</t>
  </si>
  <si>
    <t>racegrp_multirace</t>
  </si>
  <si>
    <t>Admt_Non_HCF</t>
  </si>
  <si>
    <t>Admt_Clinic_Dr</t>
  </si>
  <si>
    <t>Admt_Hosp_Dif</t>
  </si>
  <si>
    <t>Admt_SNF_ICF_ALF</t>
  </si>
  <si>
    <t>Admt_Another_HCF</t>
  </si>
  <si>
    <t>Admt_DistinctPartXfer</t>
  </si>
  <si>
    <t>Admt_Amb_Surgery</t>
  </si>
  <si>
    <t>Admt_HospiceFacility</t>
  </si>
  <si>
    <t>Admt_Court_LE</t>
  </si>
  <si>
    <t>Admt_NA</t>
  </si>
  <si>
    <t>Admt_Newborn</t>
  </si>
  <si>
    <t>admt_disaster_care_site</t>
  </si>
  <si>
    <t>Route_Your_ER</t>
  </si>
  <si>
    <t>Route_Another_ER</t>
  </si>
  <si>
    <t>Route_No_ER</t>
  </si>
  <si>
    <t>Route_NA</t>
  </si>
  <si>
    <t>dsch_days</t>
  </si>
  <si>
    <t>Adm_Emergency</t>
  </si>
  <si>
    <t>Adm_Urgent</t>
  </si>
  <si>
    <t>Adm_Elective</t>
  </si>
  <si>
    <t>Adm_Newborn</t>
  </si>
  <si>
    <t>Adm_Trauma</t>
  </si>
  <si>
    <t>Adm_NA</t>
  </si>
  <si>
    <t>disp_Routine</t>
  </si>
  <si>
    <t>disp_Acute_Care</t>
  </si>
  <si>
    <t>disp_Rehab</t>
  </si>
  <si>
    <t>disp_SN_IC_Care</t>
  </si>
  <si>
    <t>disp_Residential_Care</t>
  </si>
  <si>
    <t>disp_Prison_Jail</t>
  </si>
  <si>
    <t>disp_Against_Medical_Advice</t>
  </si>
  <si>
    <t>disp_Died</t>
  </si>
  <si>
    <t>disp_Home_Health_Service</t>
  </si>
  <si>
    <t>disp_Disaster_Care_Site</t>
  </si>
  <si>
    <t>disp_Childrens_or_Cancer</t>
  </si>
  <si>
    <t>disp_Hospice_Care</t>
  </si>
  <si>
    <t>disp_Psychiatric_Care</t>
  </si>
  <si>
    <t>disp_CAH</t>
  </si>
  <si>
    <t>disp_Not_Defined_Elsewhere</t>
  </si>
  <si>
    <t>disp_Other</t>
  </si>
  <si>
    <t>disp_Invalid_Blank</t>
  </si>
  <si>
    <t>DNR_Yes</t>
  </si>
  <si>
    <t>DNR_No</t>
  </si>
  <si>
    <t>DNR_Unknown</t>
  </si>
  <si>
    <t>Payer_Medicare</t>
  </si>
  <si>
    <t>Payer_Medi_Cal</t>
  </si>
  <si>
    <t>Payer_Priv_Coverage</t>
  </si>
  <si>
    <t>Payer_Workers_Comp</t>
  </si>
  <si>
    <t>Payer_County_Indigent_Prog</t>
  </si>
  <si>
    <t>Payer_Other_Government</t>
  </si>
  <si>
    <t>Payer_Other_Indigent</t>
  </si>
  <si>
    <t>Payer_Self_Pay</t>
  </si>
  <si>
    <t>Payer_Other_Payer</t>
  </si>
  <si>
    <t>Payer_Unknown</t>
  </si>
  <si>
    <t>dx_Infectious</t>
  </si>
  <si>
    <t>dx_Neoplasms</t>
  </si>
  <si>
    <t>dx_Diseases_of_the_Blood</t>
  </si>
  <si>
    <t>dx_Endocrine</t>
  </si>
  <si>
    <t>dx_MentalHealth</t>
  </si>
  <si>
    <t>dx_Nervous_System</t>
  </si>
  <si>
    <t>dx_Eye</t>
  </si>
  <si>
    <t>dx_Ear</t>
  </si>
  <si>
    <t>dx_Circulatory</t>
  </si>
  <si>
    <t>dx_Respiratory</t>
  </si>
  <si>
    <t>dx_Digestive</t>
  </si>
  <si>
    <t>dx_Skin</t>
  </si>
  <si>
    <t>dx_Musculoskeletal</t>
  </si>
  <si>
    <t>dx_Genitourinary</t>
  </si>
  <si>
    <t>dx_Pregnancy_Childbirth</t>
  </si>
  <si>
    <t>dx_Certain_Perinatal_Conditions</t>
  </si>
  <si>
    <t>dx_Congenital</t>
  </si>
  <si>
    <t>dx_Symptoms_Signs_NEC</t>
  </si>
  <si>
    <t>dx_Injury_Poisoning</t>
  </si>
  <si>
    <t>dx_Factors_Influencing_Health</t>
  </si>
  <si>
    <t>dx_Other_Unknown</t>
  </si>
  <si>
    <t>PR_Diagnostic_Therapeutic</t>
  </si>
  <si>
    <t>PR_Obstetrical</t>
  </si>
  <si>
    <t>PR_Cardiovascular_System</t>
  </si>
  <si>
    <t>PR_Digestive_System</t>
  </si>
  <si>
    <t>PR_Ear</t>
  </si>
  <si>
    <t>PR_Endocrine_System</t>
  </si>
  <si>
    <t>PR_Eye</t>
  </si>
  <si>
    <t>PR_Reproductive_System</t>
  </si>
  <si>
    <t>PR_Hemic_Lymph_System</t>
  </si>
  <si>
    <t>PR_Integumentary_System</t>
  </si>
  <si>
    <t>PR_Musculoskeletal_System</t>
  </si>
  <si>
    <t>PR_Nervous_System</t>
  </si>
  <si>
    <t>PR_Nose_Mouth_Pharynx</t>
  </si>
  <si>
    <t>PR_Respiratory_System</t>
  </si>
  <si>
    <t>PR_Urinary_System</t>
  </si>
  <si>
    <t>PR_None</t>
  </si>
  <si>
    <t>PR_No_Group_Assigned</t>
  </si>
  <si>
    <t>Zip_Unk_Inv_Bl</t>
  </si>
  <si>
    <t>Zip_Homeless</t>
  </si>
  <si>
    <t>Zip_Foreign</t>
  </si>
  <si>
    <t>Zip_Out_of_State</t>
  </si>
  <si>
    <t>Zip_CA_Resident</t>
  </si>
  <si>
    <t>010735</t>
  </si>
  <si>
    <t>ALAMEDA</t>
  </si>
  <si>
    <t>ALAMEDA HOSPITAL</t>
  </si>
  <si>
    <t>2070 CLINTON AVE</t>
  </si>
  <si>
    <t>94501</t>
  </si>
  <si>
    <t>City or County</t>
  </si>
  <si>
    <t>NA</t>
  </si>
  <si>
    <t>100-149</t>
  </si>
  <si>
    <t>District 9</t>
  </si>
  <si>
    <t>District 18</t>
  </si>
  <si>
    <t>Alameda/Jack London Square/Oakland Inner Harbor</t>
  </si>
  <si>
    <t>Urban</t>
  </si>
  <si>
    <t>010739</t>
  </si>
  <si>
    <t>ALTA BATES SUMMIT MEDICAL CENTER-ALTA BATES CAMPUS</t>
  </si>
  <si>
    <t>2450 ASHBY AVE</t>
  </si>
  <si>
    <t>BERKELEY</t>
  </si>
  <si>
    <t>94705</t>
  </si>
  <si>
    <t>Non-profit Corporation (incl. Church-related)</t>
  </si>
  <si>
    <t>300-499</t>
  </si>
  <si>
    <t>District 15</t>
  </si>
  <si>
    <t>Albany/Berkeley East and North/Claremont/Cragmont/Forest Park/Rockridge/Temescal/Thousand Oaks</t>
  </si>
  <si>
    <t>010776</t>
  </si>
  <si>
    <t>UCSF BENIOFF CHILDREN'S HOSPITAL OAKLAND</t>
  </si>
  <si>
    <t>747 52ND ST</t>
  </si>
  <si>
    <t>OAKLAND</t>
  </si>
  <si>
    <t>94609</t>
  </si>
  <si>
    <t>Teaching</t>
  </si>
  <si>
    <t>150-199</t>
  </si>
  <si>
    <t>Oakland West Central</t>
  </si>
  <si>
    <t>010844</t>
  </si>
  <si>
    <t>ALTA BATES SUMMIT MEDICAL CENTER-HERRICK CAMPUS</t>
  </si>
  <si>
    <t>2001 DWIGHT WAY</t>
  </si>
  <si>
    <t>94704</t>
  </si>
  <si>
    <t>50-99</t>
  </si>
  <si>
    <t>Berkeley South and West/Emeryville/Oakland Northwest</t>
  </si>
  <si>
    <t>010846</t>
  </si>
  <si>
    <t>HIGHLAND HOSPITAL</t>
  </si>
  <si>
    <t>1411 E 31ST ST</t>
  </si>
  <si>
    <t>94602</t>
  </si>
  <si>
    <t>200-299</t>
  </si>
  <si>
    <t>010887</t>
  </si>
  <si>
    <t>KINDRED HOSPITAL - SAN FRANCISCO BAY AREA</t>
  </si>
  <si>
    <t>2800 BENEDICT DR</t>
  </si>
  <si>
    <t>SAN LEANDRO</t>
  </si>
  <si>
    <t>94577</t>
  </si>
  <si>
    <t>Investor - Limited Liability Company</t>
  </si>
  <si>
    <t>Castro Valley Central and North/Oak Knoll/San Leandro Northeast/Sheffield Village/Union City East</t>
  </si>
  <si>
    <t>010937</t>
  </si>
  <si>
    <t>ALTA BATES SUMMIT MEDICAL CENTER</t>
  </si>
  <si>
    <t>350 HAWTHORNE AVE</t>
  </si>
  <si>
    <t>Dimond/Montclair/Oakland East/Oakmore/Piedmont/Piedmont Pines/Trestle Glen</t>
  </si>
  <si>
    <t>010967</t>
  </si>
  <si>
    <t>ST. ROSE HOSPITAL</t>
  </si>
  <si>
    <t>27200 CALAROGA AVE</t>
  </si>
  <si>
    <t>HAYWARD</t>
  </si>
  <si>
    <t>94545</t>
  </si>
  <si>
    <t>District 10</t>
  </si>
  <si>
    <t>District 20</t>
  </si>
  <si>
    <t>San Leandro West/San Lorenzo West/Hayward West</t>
  </si>
  <si>
    <t>010987</t>
  </si>
  <si>
    <t>WASHINGTON HOSPITAL - FREMONT</t>
  </si>
  <si>
    <t>2000 MOWRY AVE</t>
  </si>
  <si>
    <t>FREMONT</t>
  </si>
  <si>
    <t>94538</t>
  </si>
  <si>
    <t>District</t>
  </si>
  <si>
    <t>Fremont East/Niles/Union City Central</t>
  </si>
  <si>
    <t>013687</t>
  </si>
  <si>
    <t>MPI CHEMICAL DEPENDENCY RECOVERY HOSPITAL</t>
  </si>
  <si>
    <t>3012 SUMMIT ST</t>
  </si>
  <si>
    <t>1-49</t>
  </si>
  <si>
    <t>014034</t>
  </si>
  <si>
    <t>FREMONT HOSPITAL</t>
  </si>
  <si>
    <t>39001 SUNDALE DR</t>
  </si>
  <si>
    <t>Investor - Corporation</t>
  </si>
  <si>
    <t>District 25</t>
  </si>
  <si>
    <t>Centerville/Fremont West/Irvington/Newark East Central</t>
  </si>
  <si>
    <t>014050</t>
  </si>
  <si>
    <t>STANFORD HEALTH CARE TRI-VALLEY</t>
  </si>
  <si>
    <t>5555 W LAS POSITAS BLVD</t>
  </si>
  <si>
    <t>PLEASANTON</t>
  </si>
  <si>
    <t>94588</t>
  </si>
  <si>
    <t>District 7</t>
  </si>
  <si>
    <t>District 16</t>
  </si>
  <si>
    <t>Dublin/Pleasanton/Santa Rita/Sunol</t>
  </si>
  <si>
    <t>014132</t>
  </si>
  <si>
    <t>KAISER FOUNDATION HOSPITAL - FREMONT</t>
  </si>
  <si>
    <t>39400 PASEO PADRE PKWY</t>
  </si>
  <si>
    <t>014207</t>
  </si>
  <si>
    <t>TELECARE HERITAGE PSYCHIATRIC HEALTH FACILITY</t>
  </si>
  <si>
    <t>2633 E 27TH ST</t>
  </si>
  <si>
    <t>94601</t>
  </si>
  <si>
    <t>014226</t>
  </si>
  <si>
    <t>TELECARE WILLOW ROCK CENTER</t>
  </si>
  <si>
    <t>2050 FAIRMONT DR</t>
  </si>
  <si>
    <t>94578</t>
  </si>
  <si>
    <t>014233</t>
  </si>
  <si>
    <t>EDEN MEDICAL CENTER</t>
  </si>
  <si>
    <t>20103 LAKE CHABOT RD</t>
  </si>
  <si>
    <t>CASTRO VALLEY</t>
  </si>
  <si>
    <t>94546</t>
  </si>
  <si>
    <t>014326</t>
  </si>
  <si>
    <t>KAISER FOUNDATION HOSPITAL - OAKLAND/RICHMOND</t>
  </si>
  <si>
    <t>275 W MACARTHUR BLVD</t>
  </si>
  <si>
    <t>94611</t>
  </si>
  <si>
    <t>014337</t>
  </si>
  <si>
    <t>KAISER FOUNDATION HOSPITAL - SAN LEANDRO</t>
  </si>
  <si>
    <t>2500 MERCED ST</t>
  </si>
  <si>
    <t>034002</t>
  </si>
  <si>
    <t>AMADOR</t>
  </si>
  <si>
    <t>SUTTER AMADOR HOSPITAL</t>
  </si>
  <si>
    <t>200 MISSION BLVD</t>
  </si>
  <si>
    <t>JACKSON</t>
  </si>
  <si>
    <t>95642</t>
  </si>
  <si>
    <t>Small/Rural</t>
  </si>
  <si>
    <t>District 8</t>
  </si>
  <si>
    <t>District 5</t>
  </si>
  <si>
    <t>Ione/Jackson/Pine Grove/Sutter Creek</t>
  </si>
  <si>
    <t>Rural</t>
  </si>
  <si>
    <t>040802</t>
  </si>
  <si>
    <t>BUTTE</t>
  </si>
  <si>
    <t>ORCHARD HOSPITAL</t>
  </si>
  <si>
    <t>240 SPRUCE ST</t>
  </si>
  <si>
    <t>GRIDLEY</t>
  </si>
  <si>
    <t>95948</t>
  </si>
  <si>
    <t>District 4</t>
  </si>
  <si>
    <t>District 3</t>
  </si>
  <si>
    <t>Biggs/East Biggs/Gridley</t>
  </si>
  <si>
    <t>040937</t>
  </si>
  <si>
    <t>OROVILLE HOSPITAL</t>
  </si>
  <si>
    <t>2767 OLIVE HWY</t>
  </si>
  <si>
    <t>OROVILLE</t>
  </si>
  <si>
    <t>95966</t>
  </si>
  <si>
    <t>Oroville/Palermo/Thermalito</t>
  </si>
  <si>
    <t>040962</t>
  </si>
  <si>
    <t>ENLOE MEDICAL CENTER- ESPLANADE</t>
  </si>
  <si>
    <t>1531 ESPLANADE</t>
  </si>
  <si>
    <t>CHICO</t>
  </si>
  <si>
    <t>95926</t>
  </si>
  <si>
    <t>Chapmantown/Chico</t>
  </si>
  <si>
    <t>044006</t>
  </si>
  <si>
    <t>BUTTE COUNTY MENTAL HEALTH SERVICES</t>
  </si>
  <si>
    <t>592 RIO LINDO AVE</t>
  </si>
  <si>
    <t>050932</t>
  </si>
  <si>
    <t>CALAVERAS</t>
  </si>
  <si>
    <t>MARK TWAIN MEDICAL CENTER</t>
  </si>
  <si>
    <t>768 MOUNTAIN RANCH RD</t>
  </si>
  <si>
    <t>SAN ANDREAS</t>
  </si>
  <si>
    <t>95249</t>
  </si>
  <si>
    <t>Angels Camp/Arnold/Copperopolis/Mountain Ranch/Murphys/San Andreas/Valley Springs/West Point</t>
  </si>
  <si>
    <t>060870</t>
  </si>
  <si>
    <t>COLUSA</t>
  </si>
  <si>
    <t>COLUSA MEDICAL CENTER</t>
  </si>
  <si>
    <t>199 E WEBSTER ST</t>
  </si>
  <si>
    <t>95932</t>
  </si>
  <si>
    <t>Colusa</t>
  </si>
  <si>
    <t>070924</t>
  </si>
  <si>
    <t>CONTRA COSTA</t>
  </si>
  <si>
    <t>CONTRA COSTA REGIONAL MEDICAL CENTER</t>
  </si>
  <si>
    <t>2500 ALHAMBRA AVE</t>
  </si>
  <si>
    <t>MARTINEZ</t>
  </si>
  <si>
    <t>94553</t>
  </si>
  <si>
    <t>District 14</t>
  </si>
  <si>
    <t>Crockett/Hercules/Martinez West/Pinole/Port Costa/Richmond Northeast/Rodeo</t>
  </si>
  <si>
    <t>070934</t>
  </si>
  <si>
    <t>SUTTER DELTA MEDICAL CENTER</t>
  </si>
  <si>
    <t>3901 LONE TREE WAY</t>
  </si>
  <si>
    <t>ANTIOCH</t>
  </si>
  <si>
    <t>94509</t>
  </si>
  <si>
    <t>District 11</t>
  </si>
  <si>
    <t>Brentwood Central and West/Oakley</t>
  </si>
  <si>
    <t>070988</t>
  </si>
  <si>
    <t>JOHN MUIR MEDICAL CENTER-WALNUT CREEK CAMPUS</t>
  </si>
  <si>
    <t>1601 YGNACIO VALLEY RD</t>
  </si>
  <si>
    <t>WALNUT CREEK</t>
  </si>
  <si>
    <t>94598</t>
  </si>
  <si>
    <t>500+</t>
  </si>
  <si>
    <t>Clayton/Concord South/Walnut Creek Central and East</t>
  </si>
  <si>
    <t>070990</t>
  </si>
  <si>
    <t>KAISER FOUNDATION HOSPITAL - WALNUT CREEK</t>
  </si>
  <si>
    <t>1425 S MAIN ST</t>
  </si>
  <si>
    <t>94596</t>
  </si>
  <si>
    <t>071018</t>
  </si>
  <si>
    <t>JOHN MUIR MEDICAL CENTER-CONCORD CAMPUS</t>
  </si>
  <si>
    <t>2540 EAST ST</t>
  </si>
  <si>
    <t>CONCORD</t>
  </si>
  <si>
    <t>94520</t>
  </si>
  <si>
    <t>Avon/Clyde/Concord Central/Pittsburg Southwest</t>
  </si>
  <si>
    <t>074017</t>
  </si>
  <si>
    <t>SAN RAMON REGIONAL MEDICAL CENTER</t>
  </si>
  <si>
    <t>6001 NORRIS CANYON RD</t>
  </si>
  <si>
    <t>SAN RAMON</t>
  </si>
  <si>
    <t>94583</t>
  </si>
  <si>
    <t>Alamo/Danville/Diablo/San Ramon</t>
  </si>
  <si>
    <t>074039</t>
  </si>
  <si>
    <t>JOHN MUIR BEHAVIORAL HEALTH CENTER</t>
  </si>
  <si>
    <t>2740 GRANT ST</t>
  </si>
  <si>
    <t>Concord West/Martinez East/Martinez Waterfront/Pacheco/Pleasant Hill East</t>
  </si>
  <si>
    <t>074097</t>
  </si>
  <si>
    <t>KAISER FOUNDATION HOSPITAL - ANTIOCH</t>
  </si>
  <si>
    <t>4501 SAND CREEK ROAD</t>
  </si>
  <si>
    <t>94531</t>
  </si>
  <si>
    <t>084001</t>
  </si>
  <si>
    <t>DEL NORTE</t>
  </si>
  <si>
    <t>SUTTER COAST HOSPITAL</t>
  </si>
  <si>
    <t>800 E WASHINGTON BLVD</t>
  </si>
  <si>
    <t>CRESCENT CITY</t>
  </si>
  <si>
    <t>95531</t>
  </si>
  <si>
    <t>District 2</t>
  </si>
  <si>
    <t>Crescent City/Gasquet/Klamath/Smith River</t>
  </si>
  <si>
    <t>090793</t>
  </si>
  <si>
    <t>EL DORADO</t>
  </si>
  <si>
    <t>BARTON MEMORIAL HOSPITAL</t>
  </si>
  <si>
    <t>2170 SOUTH AVE</t>
  </si>
  <si>
    <t>SOUTH LAKE TAHOE</t>
  </si>
  <si>
    <t>96150</t>
  </si>
  <si>
    <t>District 1</t>
  </si>
  <si>
    <t>South Lake Tahoe</t>
  </si>
  <si>
    <t>090933</t>
  </si>
  <si>
    <t>MARSHALL MEDICAL CENTER</t>
  </si>
  <si>
    <t>1100 MARSHALL WAY</t>
  </si>
  <si>
    <t>PLACERVILLE</t>
  </si>
  <si>
    <t>95667</t>
  </si>
  <si>
    <t>Cool/Diamond Springs/Latrobe/Pilot Hill/Placerville</t>
  </si>
  <si>
    <t>094002</t>
  </si>
  <si>
    <t>TELECARE EL DORADO COUNTY P.H.F.</t>
  </si>
  <si>
    <t>935B SPRING ST</t>
  </si>
  <si>
    <t>100005</t>
  </si>
  <si>
    <t>FRESNO</t>
  </si>
  <si>
    <t>CLOVIS COMMUNITY MEDICAL CENTER</t>
  </si>
  <si>
    <t>2755 HERNDON AVE</t>
  </si>
  <si>
    <t>CLOVIS</t>
  </si>
  <si>
    <t>93611</t>
  </si>
  <si>
    <t>District 23</t>
  </si>
  <si>
    <t>Auberry/Calwa/Centerville/Clovis East/Del Rey/Fowler/Friant/Sanger/Shaver Lake</t>
  </si>
  <si>
    <t>100697</t>
  </si>
  <si>
    <t>COALINGA REGIONAL MEDICAL CENTER</t>
  </si>
  <si>
    <t>1191 PHELPS AVE</t>
  </si>
  <si>
    <t>COALINGA</t>
  </si>
  <si>
    <t>93210</t>
  </si>
  <si>
    <t>District 12</t>
  </si>
  <si>
    <t>District 31</t>
  </si>
  <si>
    <t>Coalinga</t>
  </si>
  <si>
    <t>100717</t>
  </si>
  <si>
    <t>COMMUNITY REGIONAL MEDICAL CENTER-FRESNO</t>
  </si>
  <si>
    <t>2823 FRESNO ST</t>
  </si>
  <si>
    <t>93721</t>
  </si>
  <si>
    <t>Fresno West Central</t>
  </si>
  <si>
    <t>100797</t>
  </si>
  <si>
    <t>ADVENTIST HEALTH REEDLEY</t>
  </si>
  <si>
    <t>372 W CYPRESS AVE</t>
  </si>
  <si>
    <t>REEDLEY</t>
  </si>
  <si>
    <t>93654</t>
  </si>
  <si>
    <t>Orange Cove/Parlier/Reedley/Squaw Valley/Tivy Valley/Wonder Valley</t>
  </si>
  <si>
    <t>100899</t>
  </si>
  <si>
    <t>ST. AGNES MEDICAL CENTER</t>
  </si>
  <si>
    <t>1303 E HERNDON AVE</t>
  </si>
  <si>
    <t>93720</t>
  </si>
  <si>
    <t>Fresno North Central</t>
  </si>
  <si>
    <t>104023</t>
  </si>
  <si>
    <t>SAN JOAQUIN VALLEY REHABILITATION HOSPITAL</t>
  </si>
  <si>
    <t>7173 N SHARON AVE</t>
  </si>
  <si>
    <t>Fresno Northwest</t>
  </si>
  <si>
    <t>104047</t>
  </si>
  <si>
    <t>FRESNO SURGICAL HOSPITAL</t>
  </si>
  <si>
    <t>6125 N FRESNO ST</t>
  </si>
  <si>
    <t>93710</t>
  </si>
  <si>
    <t>Investor - Partnership</t>
  </si>
  <si>
    <t>104062</t>
  </si>
  <si>
    <t>KAISER FOUNDATION HOSPITAL - FRESNO</t>
  </si>
  <si>
    <t>7300 N FRESNO ST</t>
  </si>
  <si>
    <t>104089</t>
  </si>
  <si>
    <t>EXODUS PSYCHIATRIC HEALTH FACILITY FRESNO</t>
  </si>
  <si>
    <t>4411 E KINGS CANYON RD</t>
  </si>
  <si>
    <t>93702</t>
  </si>
  <si>
    <t>Fresno East Central</t>
  </si>
  <si>
    <t>105125</t>
  </si>
  <si>
    <t>CENTRAL STAR PSYCHIATRIC HEALTH FACILITY</t>
  </si>
  <si>
    <t>110889</t>
  </si>
  <si>
    <t>GLENN</t>
  </si>
  <si>
    <t>GLENN MEDICAL CENTER</t>
  </si>
  <si>
    <t>1133 W SYCAMORE ST</t>
  </si>
  <si>
    <t>WILLOWS</t>
  </si>
  <si>
    <t>95988</t>
  </si>
  <si>
    <t>Artois/Elk Creek/Glenn/Grindstone Indian Rancheria/Willows</t>
  </si>
  <si>
    <t>Frontier</t>
  </si>
  <si>
    <t>121002</t>
  </si>
  <si>
    <t>HUMBOLDT</t>
  </si>
  <si>
    <t>MAD RIVER COMMUNITY HOSPITAL</t>
  </si>
  <si>
    <t>3800 JANES RD</t>
  </si>
  <si>
    <t>ARCATA</t>
  </si>
  <si>
    <t>95521</t>
  </si>
  <si>
    <t>Arcata/Eureka</t>
  </si>
  <si>
    <t>121031</t>
  </si>
  <si>
    <t>JEROLD PHELPS COMMUNITY HOSPITAL</t>
  </si>
  <si>
    <t>733 CEDAR ST</t>
  </si>
  <si>
    <t>GARBERVILLE</t>
  </si>
  <si>
    <t>95542</t>
  </si>
  <si>
    <t>Garberville/Redway</t>
  </si>
  <si>
    <t>121051</t>
  </si>
  <si>
    <t>PROVIDENCE REDWOOD MEMORIAL HOSPITAL</t>
  </si>
  <si>
    <t>3300 RENNER DR</t>
  </si>
  <si>
    <t>FORTUNA</t>
  </si>
  <si>
    <t>95540</t>
  </si>
  <si>
    <t>Ferndale/Fortuna/Rio Dell/Scotia</t>
  </si>
  <si>
    <t>121080</t>
  </si>
  <si>
    <t>PROVIDENCE ST. JOSEPH HOSPITAL - EUREKA</t>
  </si>
  <si>
    <t>2700 DOLBEER ST</t>
  </si>
  <si>
    <t>EUREKA</t>
  </si>
  <si>
    <t>95501</t>
  </si>
  <si>
    <t>124004</t>
  </si>
  <si>
    <t>SEMPERVIRENS P.H.F.</t>
  </si>
  <si>
    <t>720 WOOD ST</t>
  </si>
  <si>
    <t>130699</t>
  </si>
  <si>
    <t>IMPERIAL</t>
  </si>
  <si>
    <t>EL CENTRO REGIONAL MEDICAL CENTER</t>
  </si>
  <si>
    <t>1415 ROSS AVE</t>
  </si>
  <si>
    <t>EL CENTRO</t>
  </si>
  <si>
    <t>92243</t>
  </si>
  <si>
    <t>District 40</t>
  </si>
  <si>
    <t>District 56</t>
  </si>
  <si>
    <t>El Centro/Heber/Holtville/Imperial/Seeley</t>
  </si>
  <si>
    <t>130760</t>
  </si>
  <si>
    <t>PIONEERS MEMORIAL HEALTHCARE DISTRICT</t>
  </si>
  <si>
    <t>207 W LEGION RD</t>
  </si>
  <si>
    <t>BRAWLEY</t>
  </si>
  <si>
    <t>92227</t>
  </si>
  <si>
    <t>Brawley/Westmorland</t>
  </si>
  <si>
    <t>141273</t>
  </si>
  <si>
    <t>INYO</t>
  </si>
  <si>
    <t>NORTHERN INYO HOSPITAL</t>
  </si>
  <si>
    <t>150 PIONEER LN</t>
  </si>
  <si>
    <t>BISHOP</t>
  </si>
  <si>
    <t>93514</t>
  </si>
  <si>
    <t>District 26</t>
  </si>
  <si>
    <t>Bishop/Bishop Paiute Tribe/Mustang Mesa/Round Valley/West Bishop/Wilkerson</t>
  </si>
  <si>
    <t>141338</t>
  </si>
  <si>
    <t>SOUTHERN INYO HOSPITAL</t>
  </si>
  <si>
    <t>501 E LOCUST ST</t>
  </si>
  <si>
    <t>LONE PINE</t>
  </si>
  <si>
    <t>93545</t>
  </si>
  <si>
    <t>Alabama Hills/Cartago/Darwin/Keeler/Lone Pine/Lone Pine Paiute Shoshone Tribe/Olancha/Pearsonville</t>
  </si>
  <si>
    <t>150706</t>
  </si>
  <si>
    <t>KERN</t>
  </si>
  <si>
    <t>ADVENTIST HEALTH DELANO</t>
  </si>
  <si>
    <t>1401 GARCES HWY</t>
  </si>
  <si>
    <t>DELANO</t>
  </si>
  <si>
    <t>93215</t>
  </si>
  <si>
    <t>District 32</t>
  </si>
  <si>
    <t>Delano/McFarland</t>
  </si>
  <si>
    <t>150722</t>
  </si>
  <si>
    <t>BAKERSFIELD MEMORIAL HOSPITAL</t>
  </si>
  <si>
    <t>420 34TH ST</t>
  </si>
  <si>
    <t>BAKERSFIELD</t>
  </si>
  <si>
    <t>93301</t>
  </si>
  <si>
    <t>District 34</t>
  </si>
  <si>
    <t>Bakersfield Northeast/Oildale</t>
  </si>
  <si>
    <t>150736</t>
  </si>
  <si>
    <t>KERN MEDICAL CENTER</t>
  </si>
  <si>
    <t>1700 MOUNT VERNON AVENUE</t>
  </si>
  <si>
    <t>93306</t>
  </si>
  <si>
    <t>150737</t>
  </si>
  <si>
    <t>KERN VALLEY HEALTHCARE DISTRICT</t>
  </si>
  <si>
    <t>6412 LAUREL AVE</t>
  </si>
  <si>
    <t>LAKE ISABELLA</t>
  </si>
  <si>
    <t>93240</t>
  </si>
  <si>
    <t>Alta Sierra/Bodfish/Glennville/Kernville/Lake Isabella/Weldon/Wofford Heights</t>
  </si>
  <si>
    <t>150761</t>
  </si>
  <si>
    <t>MERCY HOSPITAL - BAKERSFIELD</t>
  </si>
  <si>
    <t>2215 TRUXTUN AVE</t>
  </si>
  <si>
    <t>Bakersfield Northwest/Rosedale</t>
  </si>
  <si>
    <t>150775</t>
  </si>
  <si>
    <t>GOOD SAMARITAN HOSPITAL-BAKERSFIELD</t>
  </si>
  <si>
    <t>901 OLIVE DR</t>
  </si>
  <si>
    <t>93308</t>
  </si>
  <si>
    <t>150782</t>
  </si>
  <si>
    <t>RIDGECREST REGIONAL HOSPITAL</t>
  </si>
  <si>
    <t>1081 N CHINA LAKE BLVD</t>
  </si>
  <si>
    <t>RIDGECREST</t>
  </si>
  <si>
    <t>93555</t>
  </si>
  <si>
    <t>Inyokern/Ridgecrest</t>
  </si>
  <si>
    <t>150788</t>
  </si>
  <si>
    <t>ADVENTIST HEALTH BAKERSFIELD</t>
  </si>
  <si>
    <t>2615 CHESTER AVE</t>
  </si>
  <si>
    <t>150820</t>
  </si>
  <si>
    <t>BAKERSFIELD REHABILITATION HOSPITAL</t>
  </si>
  <si>
    <t>4400 KIRKCALDY DR</t>
  </si>
  <si>
    <t>154022</t>
  </si>
  <si>
    <t>ENCOMPASS HEALTH REHABILITATION HOSPITAL OF BAKERSFIELD</t>
  </si>
  <si>
    <t>5001 COMMERCE DR</t>
  </si>
  <si>
    <t>93309</t>
  </si>
  <si>
    <t>154044</t>
  </si>
  <si>
    <t>BAKERSFIELD BEHAVORIAL HEALTHCARE HOSPITAL, LLC</t>
  </si>
  <si>
    <t>5201 WHITE LN</t>
  </si>
  <si>
    <t>Bakersfield Southwest</t>
  </si>
  <si>
    <t>154101</t>
  </si>
  <si>
    <t>BAKERSFIELD HEART HOSPITAL</t>
  </si>
  <si>
    <t>3001 SILLECT AVE</t>
  </si>
  <si>
    <t>154160</t>
  </si>
  <si>
    <t>CRESTWOOD PSYCHIATRIC HEALTH FACILITY BAKERSFIELD</t>
  </si>
  <si>
    <t>6700 EUCALYPTUS DR</t>
  </si>
  <si>
    <t>Bakersfield East/Lakeview/La Loma</t>
  </si>
  <si>
    <t>154168</t>
  </si>
  <si>
    <t>ADVENTIST HEALTH TEHACHAPI VALLEY</t>
  </si>
  <si>
    <t>MAGELLAN DR</t>
  </si>
  <si>
    <t>TEHACHAPI</t>
  </si>
  <si>
    <t>93561</t>
  </si>
  <si>
    <t>Bear Valley Springs/Keene/Stallion Springs/Tehachapi</t>
  </si>
  <si>
    <t>164029</t>
  </si>
  <si>
    <t>KINGS</t>
  </si>
  <si>
    <t>ADVENTIST HEALTH HANFORD</t>
  </si>
  <si>
    <t>115 MALL DR</t>
  </si>
  <si>
    <t>HANFORD</t>
  </si>
  <si>
    <t>93230</t>
  </si>
  <si>
    <t>Armona/Hanford/Lemoore</t>
  </si>
  <si>
    <t>171049</t>
  </si>
  <si>
    <t>LAKE</t>
  </si>
  <si>
    <t>ADVENTIST HEALTH CLEARLAKE</t>
  </si>
  <si>
    <t>15630 18TH AVE</t>
  </si>
  <si>
    <t>CLEARLAKE</t>
  </si>
  <si>
    <t>95422</t>
  </si>
  <si>
    <t>Clearlake/Clearlake Oaks</t>
  </si>
  <si>
    <t>171395</t>
  </si>
  <si>
    <t>SUTTER LAKESIDE HOSPITAL</t>
  </si>
  <si>
    <t>5176 HILL RD E</t>
  </si>
  <si>
    <t>LAKEPORT</t>
  </si>
  <si>
    <t>95453</t>
  </si>
  <si>
    <t>Kelseyville/Lakeport</t>
  </si>
  <si>
    <t>184008</t>
  </si>
  <si>
    <t>LASSEN</t>
  </si>
  <si>
    <t>BANNER LASSEN MEDICAL CENTER</t>
  </si>
  <si>
    <t>1800 SPRING RIDGE DR</t>
  </si>
  <si>
    <t>SUSANVILLE</t>
  </si>
  <si>
    <t>96130</t>
  </si>
  <si>
    <t>Susanville</t>
  </si>
  <si>
    <t>190017</t>
  </si>
  <si>
    <t>LOS ANGELES</t>
  </si>
  <si>
    <t>ALHAMBRA HOSPITAL MEDICAL CENTER</t>
  </si>
  <si>
    <t>100 S RAYMOND AVE</t>
  </si>
  <si>
    <t>ALHAMBRA</t>
  </si>
  <si>
    <t>91801</t>
  </si>
  <si>
    <t>District 22</t>
  </si>
  <si>
    <t>District 49</t>
  </si>
  <si>
    <t>Alhambra/El Sereno South/San Gabriel Central</t>
  </si>
  <si>
    <t>190020</t>
  </si>
  <si>
    <t>BHC ALHAMBRA HOSPITAL</t>
  </si>
  <si>
    <t>4619 ROSEMEAD BLVD</t>
  </si>
  <si>
    <t>ROSEMEAD</t>
  </si>
  <si>
    <t>91770</t>
  </si>
  <si>
    <t>Rosemead/San Gabriel South/South El Monte West/Temple City West</t>
  </si>
  <si>
    <t>190034</t>
  </si>
  <si>
    <t>ANTELOPE VALLEY HOSPITAL</t>
  </si>
  <si>
    <t>1600 W AVE J</t>
  </si>
  <si>
    <t>LANCASTER</t>
  </si>
  <si>
    <t>93534</t>
  </si>
  <si>
    <t>District 21</t>
  </si>
  <si>
    <t>District 36</t>
  </si>
  <si>
    <t>Desert View Highlands/Lancaster West/Palmdale Northwest/Quartz Hill</t>
  </si>
  <si>
    <t>190045</t>
  </si>
  <si>
    <t>CATALINA ISLAND MEDICAL CENTER</t>
  </si>
  <si>
    <t>100 FALLS CANYON RD</t>
  </si>
  <si>
    <t>AVALON</t>
  </si>
  <si>
    <t>90704</t>
  </si>
  <si>
    <t>District 70</t>
  </si>
  <si>
    <t>Avalon</t>
  </si>
  <si>
    <t>190049</t>
  </si>
  <si>
    <t>KINDRED HOSPITAL - BALDWIN PARK</t>
  </si>
  <si>
    <t>14148 FRANCISQUITO AVE</t>
  </si>
  <si>
    <t>BALDWIN PARK</t>
  </si>
  <si>
    <t>91706</t>
  </si>
  <si>
    <t>District 48</t>
  </si>
  <si>
    <t>Bassett/Industry West/La Puente</t>
  </si>
  <si>
    <t>190052</t>
  </si>
  <si>
    <t>BARLOW RESPIRATORY HOSPITAL</t>
  </si>
  <si>
    <t>2000 STADIUM WAY</t>
  </si>
  <si>
    <t>90026</t>
  </si>
  <si>
    <t>District 24</t>
  </si>
  <si>
    <t>District 51</t>
  </si>
  <si>
    <t>Glassell Park/Glendale Southeast/Silverlake North</t>
  </si>
  <si>
    <t>190053</t>
  </si>
  <si>
    <t>ST. MARY MEDICAL CENTER - LONG BEACH</t>
  </si>
  <si>
    <t>1050 LINDEN AVE</t>
  </si>
  <si>
    <t>LONG BEACH</t>
  </si>
  <si>
    <t>90813</t>
  </si>
  <si>
    <t>District 33</t>
  </si>
  <si>
    <t>Belmont Shore/Long Beach East/Long Beach Shoreline/Los Altos/Naples</t>
  </si>
  <si>
    <t>190066</t>
  </si>
  <si>
    <t>LOS ANGELES COMMUNITY HOSPITAL AT BELLFLOWER</t>
  </si>
  <si>
    <t>9542 ARTESIA BLVD</t>
  </si>
  <si>
    <t>BELLFLOWER</t>
  </si>
  <si>
    <t>90706</t>
  </si>
  <si>
    <t>District 58</t>
  </si>
  <si>
    <t>Bellflower/Paramount South</t>
  </si>
  <si>
    <t>190081</t>
  </si>
  <si>
    <t>BEVERLY HOSPITAL</t>
  </si>
  <si>
    <t>309 W BEVERLY BLVD</t>
  </si>
  <si>
    <t>MONTEBELLO</t>
  </si>
  <si>
    <t>90640</t>
  </si>
  <si>
    <t>Pico Rivera/Santa Fe Springs Northwest</t>
  </si>
  <si>
    <t>190110</t>
  </si>
  <si>
    <t>SOUTHERN CALIFORNIA HOSPITAL AT CULVER CITY</t>
  </si>
  <si>
    <t>3828 DELMAS TER</t>
  </si>
  <si>
    <t>CULVER CITY</t>
  </si>
  <si>
    <t>90232</t>
  </si>
  <si>
    <t>District 30</t>
  </si>
  <si>
    <t>District 54</t>
  </si>
  <si>
    <t>Culver City North/Palms</t>
  </si>
  <si>
    <t>190125</t>
  </si>
  <si>
    <t>CALIFORNIA HOSPITAL MEDICAL CENTER - LOS ANGELES</t>
  </si>
  <si>
    <t>1401 S GRAND AVE</t>
  </si>
  <si>
    <t>90015</t>
  </si>
  <si>
    <t>District 53</t>
  </si>
  <si>
    <t>Boyle Heights Northwest/Chinatown/Downtown Northwest/Little Tokyo/Westlake</t>
  </si>
  <si>
    <t>190137</t>
  </si>
  <si>
    <t>CASA COLINA HOSPITAL</t>
  </si>
  <si>
    <t>255 E BONITA AVE</t>
  </si>
  <si>
    <t>POMONA</t>
  </si>
  <si>
    <t>91767</t>
  </si>
  <si>
    <t>District 52</t>
  </si>
  <si>
    <t>Pomona East and South</t>
  </si>
  <si>
    <t>190148</t>
  </si>
  <si>
    <t>CENTINELA HOSPITAL MEDICAL CENTER</t>
  </si>
  <si>
    <t>555 E HARDY ST</t>
  </si>
  <si>
    <t>INGLEWOOD</t>
  </si>
  <si>
    <t>90301</t>
  </si>
  <si>
    <t>District 35</t>
  </si>
  <si>
    <t>District 62</t>
  </si>
  <si>
    <t>Del Aire/Inglewood West/Los Angeles International Airport</t>
  </si>
  <si>
    <t>190150</t>
  </si>
  <si>
    <t>KEDREN COMMUNITY MENTAL HEALTH CENTER</t>
  </si>
  <si>
    <t>4211 AVALON BLVD</t>
  </si>
  <si>
    <t>90011</t>
  </si>
  <si>
    <t>District 59</t>
  </si>
  <si>
    <t>South Central Northeast</t>
  </si>
  <si>
    <t>190155</t>
  </si>
  <si>
    <t>CALIFORNIA REHABILITATION INSTITUTE, LLC</t>
  </si>
  <si>
    <t>2070 CENTURY PARK E</t>
  </si>
  <si>
    <t>90067</t>
  </si>
  <si>
    <t>Century City/Cheviot Hills/Rancho Park/West Los Angeles/Westwood</t>
  </si>
  <si>
    <t>190163</t>
  </si>
  <si>
    <t>AURORA CHARTER OAK</t>
  </si>
  <si>
    <t>1161 E COVINA BLVD</t>
  </si>
  <si>
    <t>COVINA</t>
  </si>
  <si>
    <t>91724</t>
  </si>
  <si>
    <t>Asuza/Charter Oak/Covina</t>
  </si>
  <si>
    <t>190170</t>
  </si>
  <si>
    <t>CHILDREN'S HOSPITAL OF LOS ANGELES</t>
  </si>
  <si>
    <t>4650 W SUNSET BLVD</t>
  </si>
  <si>
    <t>90027</t>
  </si>
  <si>
    <t>District 43</t>
  </si>
  <si>
    <t>Hollywood South Central/Inner Sunset</t>
  </si>
  <si>
    <t>190176</t>
  </si>
  <si>
    <t>CITY OF HOPE HELFORD CLINICAL RESEARCH HOSPITAL</t>
  </si>
  <si>
    <t>1500 DUARTE RD</t>
  </si>
  <si>
    <t>DUARTE</t>
  </si>
  <si>
    <t>91010</t>
  </si>
  <si>
    <t>Baldwin Park/Irwindale</t>
  </si>
  <si>
    <t>190184</t>
  </si>
  <si>
    <t>COLLEGE HOSPITAL</t>
  </si>
  <si>
    <t>10802 COLLEGE PL</t>
  </si>
  <si>
    <t>CERRITOS</t>
  </si>
  <si>
    <t>90703</t>
  </si>
  <si>
    <t>Cerritos/Hawaiian Gardens</t>
  </si>
  <si>
    <t>190196</t>
  </si>
  <si>
    <t>KINDRED HOSPITAL - SOUTH BAY</t>
  </si>
  <si>
    <t>1246 W 155TH ST</t>
  </si>
  <si>
    <t>GARDENA</t>
  </si>
  <si>
    <t>90247</t>
  </si>
  <si>
    <t>District 66</t>
  </si>
  <si>
    <t>Gardena Southeast/Harbor Gateway Central/Lawndale South/Moneta/Redondo Beach North/Torrance North</t>
  </si>
  <si>
    <t>190197</t>
  </si>
  <si>
    <t>COMMUNITY HOSPITAL OF HUNTINGTON PARK</t>
  </si>
  <si>
    <t>2623 E SLAUSON AVE</t>
  </si>
  <si>
    <t>HUNTINGTON PARK</t>
  </si>
  <si>
    <t>90255</t>
  </si>
  <si>
    <t>Huntington Park/South Gate West/Walnut Park</t>
  </si>
  <si>
    <t>190198</t>
  </si>
  <si>
    <t>LOS ANGELES COMMUNITY HOSPITAL</t>
  </si>
  <si>
    <t>4081 E OLYMPIC BLVD</t>
  </si>
  <si>
    <t>90023</t>
  </si>
  <si>
    <t>City Terrace East/East Los Angeles</t>
  </si>
  <si>
    <t>190200</t>
  </si>
  <si>
    <t>SAN GABRIEL VALLEY MEDICAL CENTER</t>
  </si>
  <si>
    <t>438 W LAS TUNAS DR</t>
  </si>
  <si>
    <t>SAN GABRIEL</t>
  </si>
  <si>
    <t>91776</t>
  </si>
  <si>
    <t>190232</t>
  </si>
  <si>
    <t>DEL AMO BEHAVIORAL HEALTH SYSTEM</t>
  </si>
  <si>
    <t>23700 CAMINO DEL SOL</t>
  </si>
  <si>
    <t>TORRANCE</t>
  </si>
  <si>
    <t>90505</t>
  </si>
  <si>
    <t>Harbor Gateway South/Lomita/Torrance East Central</t>
  </si>
  <si>
    <t>190240</t>
  </si>
  <si>
    <t>LAKEWOOD REGIONAL MEDICAL CENTER</t>
  </si>
  <si>
    <t>3700 SOUTH ST</t>
  </si>
  <si>
    <t>LAKEWOOD</t>
  </si>
  <si>
    <t>90712</t>
  </si>
  <si>
    <t>District 63</t>
  </si>
  <si>
    <t>190243</t>
  </si>
  <si>
    <t>PIH HEALTH HOSPITAL - DOWNEY</t>
  </si>
  <si>
    <t>11500 BROOKSHIRE AVE</t>
  </si>
  <si>
    <t>DOWNEY</t>
  </si>
  <si>
    <t>90241</t>
  </si>
  <si>
    <t>Downey Northeast</t>
  </si>
  <si>
    <t>190256</t>
  </si>
  <si>
    <t>EAST LOS ANGELES DOCTORS HOSPITAL</t>
  </si>
  <si>
    <t>4060 WHITTIER BLVD</t>
  </si>
  <si>
    <t>190280</t>
  </si>
  <si>
    <t>ENCINO HOSPITAL MEDICAL CENTER</t>
  </si>
  <si>
    <t>16237 VENTURA BLVD</t>
  </si>
  <si>
    <t>ENCINO</t>
  </si>
  <si>
    <t>91436</t>
  </si>
  <si>
    <t>District 27</t>
  </si>
  <si>
    <t>District 45</t>
  </si>
  <si>
    <t>Encino/Tarzana/Warner Center/Woodland Hills</t>
  </si>
  <si>
    <t>190298</t>
  </si>
  <si>
    <t>EMANATE HEALTH FOOTHILL PRESBYTERIAN HOSPITAL</t>
  </si>
  <si>
    <t>250 S GRAND AVE</t>
  </si>
  <si>
    <t>GLENDORA</t>
  </si>
  <si>
    <t>91741</t>
  </si>
  <si>
    <t>190305</t>
  </si>
  <si>
    <t>KINDRED HOSPITAL - LOS ANGELES</t>
  </si>
  <si>
    <t>5525 W SLAUSON AVE</t>
  </si>
  <si>
    <t>90056</t>
  </si>
  <si>
    <t>Baldwin Hills/Culver City South/Fox Hills/Ladera Heights/Marina del Rey/View Park/Windsor Hills</t>
  </si>
  <si>
    <t>190315</t>
  </si>
  <si>
    <t>GARFIELD MEDICAL CENTER</t>
  </si>
  <si>
    <t>525 N GARFIELD AVE</t>
  </si>
  <si>
    <t>MONTEREY PARK</t>
  </si>
  <si>
    <t>91754</t>
  </si>
  <si>
    <t>Montebello North/Monterey Park/South San Gabriel</t>
  </si>
  <si>
    <t>190317</t>
  </si>
  <si>
    <t>GATEWAYS HOSPITAL AND MENTAL HEALTH CENTER</t>
  </si>
  <si>
    <t>1891 EFFIE ST</t>
  </si>
  <si>
    <t>Echo Park/Hollywood North Central/Silverlake South</t>
  </si>
  <si>
    <t>190323</t>
  </si>
  <si>
    <t>ADVENTIST HEALTH GLENDALE</t>
  </si>
  <si>
    <t>1509 WILSON TER</t>
  </si>
  <si>
    <t>GLENDALE</t>
  </si>
  <si>
    <t>91206</t>
  </si>
  <si>
    <t>Atwater Village/Glendale Central/Glendale Southwest/Griffith Park</t>
  </si>
  <si>
    <t>190328</t>
  </si>
  <si>
    <t>GLENDORA HOSPITAL</t>
  </si>
  <si>
    <t>150 W ROUTE 66</t>
  </si>
  <si>
    <t>91740</t>
  </si>
  <si>
    <t>190352</t>
  </si>
  <si>
    <t>GREATER EL MONTE COMMUNITY HOSPITAL</t>
  </si>
  <si>
    <t>1701 SANTA ANITA AVE</t>
  </si>
  <si>
    <t>SOUTH EL MONTE</t>
  </si>
  <si>
    <t>91733</t>
  </si>
  <si>
    <t>District 57</t>
  </si>
  <si>
    <t>190380</t>
  </si>
  <si>
    <t>SOUTHERN CALIFORNIA HOSPITAL AT HOLLYWOOD</t>
  </si>
  <si>
    <t>6245 DE LONGPRE AVE</t>
  </si>
  <si>
    <t>HOLLYWOOD</t>
  </si>
  <si>
    <t>90028</t>
  </si>
  <si>
    <t>District 50</t>
  </si>
  <si>
    <t>190382</t>
  </si>
  <si>
    <t>HOLLYWOOD PRESBYTERIAN MEDICAL CENTER</t>
  </si>
  <si>
    <t>1300 N VERMONT AVE</t>
  </si>
  <si>
    <t>190385</t>
  </si>
  <si>
    <t>PROVIDENCE HOLY CROSS MEDICAL CENTER</t>
  </si>
  <si>
    <t>15031 RINALDI ST</t>
  </si>
  <si>
    <t>MISSION HILLS</t>
  </si>
  <si>
    <t>91345</t>
  </si>
  <si>
    <t>District 39</t>
  </si>
  <si>
    <t>Granada Hills/Mission Hills/Porter Ranch</t>
  </si>
  <si>
    <t>190392</t>
  </si>
  <si>
    <t>PIH HEALTH GOOD SAMARITAN HOSPITAL</t>
  </si>
  <si>
    <t>1225 WILSHIRE BLVD</t>
  </si>
  <si>
    <t>90017</t>
  </si>
  <si>
    <t>190400</t>
  </si>
  <si>
    <t>HUNTINGTON HOSPITAL</t>
  </si>
  <si>
    <t>100 W CALIFORNIA BLVD</t>
  </si>
  <si>
    <t>PASADENA</t>
  </si>
  <si>
    <t>91105</t>
  </si>
  <si>
    <t>District 41</t>
  </si>
  <si>
    <t>Pasadena South/San Marino/South Pasadena</t>
  </si>
  <si>
    <t>190413</t>
  </si>
  <si>
    <t>EMANATE HEALTH INTER-COMMUNITY HOSPITAL</t>
  </si>
  <si>
    <t>210 W SAN BERNARDINO RD</t>
  </si>
  <si>
    <t>91723</t>
  </si>
  <si>
    <t>190422</t>
  </si>
  <si>
    <t>TORRANCE MEMORIAL MEDICAL CENTER</t>
  </si>
  <si>
    <t>3330 LOMITA BLVD</t>
  </si>
  <si>
    <t>190429</t>
  </si>
  <si>
    <t>KAISER FOUNDATION HOSPITAL - LOS ANGELES</t>
  </si>
  <si>
    <t>4867 W SUNSET BLVD</t>
  </si>
  <si>
    <t>190431</t>
  </si>
  <si>
    <t>KAISER FOUNDATION HOSPITAL - SOUTH BAY</t>
  </si>
  <si>
    <t>25825 VERMONT AVE</t>
  </si>
  <si>
    <t>HARBOR CITY</t>
  </si>
  <si>
    <t>90710</t>
  </si>
  <si>
    <t>190432</t>
  </si>
  <si>
    <t>KAISER FOUNDATION HOSPITAL - PANORAMA CITY</t>
  </si>
  <si>
    <t>13652 CANTARA ST</t>
  </si>
  <si>
    <t>PANORAMA CITY</t>
  </si>
  <si>
    <t>91402</t>
  </si>
  <si>
    <t>District 46</t>
  </si>
  <si>
    <t>Northridge South/Reseda North</t>
  </si>
  <si>
    <t>190434</t>
  </si>
  <si>
    <t>KAISER FOUNDATION HOSPITAL - WEST LA</t>
  </si>
  <si>
    <t>6041 CADILLAC AVE</t>
  </si>
  <si>
    <t>90034</t>
  </si>
  <si>
    <t>Hancock Park/Mid-City West/Park La Brea</t>
  </si>
  <si>
    <t>190449</t>
  </si>
  <si>
    <t>KINDRED HOSPITAL - LA MIRADA</t>
  </si>
  <si>
    <t>14900 IMPERIAL HWY</t>
  </si>
  <si>
    <t>LA MIRADA</t>
  </si>
  <si>
    <t>90638</t>
  </si>
  <si>
    <t>La Mirada/Santa Fe Springs South</t>
  </si>
  <si>
    <t>190462</t>
  </si>
  <si>
    <t>AURORA LAS ENCINAS HOSPITAL</t>
  </si>
  <si>
    <t>2900 E DEL MAR BLVD</t>
  </si>
  <si>
    <t>91107</t>
  </si>
  <si>
    <t>190470</t>
  </si>
  <si>
    <t>PROVIDENCE LITTLE COMPANY OF MARY MEDICAL CENTER TORRANCE</t>
  </si>
  <si>
    <t>4101 TORRANCE BLVD</t>
  </si>
  <si>
    <t>90503</t>
  </si>
  <si>
    <t>Redondo Beach Central and South/Torrance West Central</t>
  </si>
  <si>
    <t>190500</t>
  </si>
  <si>
    <t>CEDARS-SINAI MARINA DEL REY HOSPITAL</t>
  </si>
  <si>
    <t>4650 LINCOLN BLVD</t>
  </si>
  <si>
    <t>MARINA DEL REY</t>
  </si>
  <si>
    <t>90292</t>
  </si>
  <si>
    <t>190517</t>
  </si>
  <si>
    <t>PROVIDENCE CEDARS-SINAI TARZANA MEDICAL CENTER</t>
  </si>
  <si>
    <t>18321 CLARK ST</t>
  </si>
  <si>
    <t>TARZANA</t>
  </si>
  <si>
    <t>91356</t>
  </si>
  <si>
    <t>190521</t>
  </si>
  <si>
    <t>MEMORIAL HOSPITAL OF GARDENA</t>
  </si>
  <si>
    <t>1145 W REDONDO BEACH BLVD</t>
  </si>
  <si>
    <t>190522</t>
  </si>
  <si>
    <t>GLENDALE MEMORIAL HOSPITAL AND HEALTH CENTER</t>
  </si>
  <si>
    <t>1420 S CENTRAL AVE</t>
  </si>
  <si>
    <t>91204</t>
  </si>
  <si>
    <t>190524</t>
  </si>
  <si>
    <t>MISSION COMMUNITY HOSPITAL - PANORAMA CAMPUS</t>
  </si>
  <si>
    <t>14850 ROSCOE BLVD</t>
  </si>
  <si>
    <t>190525</t>
  </si>
  <si>
    <t>MEMORIALCARE LONG BEACH MEDICAL CENTER</t>
  </si>
  <si>
    <t>2801 ATLANTIC AVE</t>
  </si>
  <si>
    <t>90806</t>
  </si>
  <si>
    <t>Bixby Knolls/Long Beach Central</t>
  </si>
  <si>
    <t>190529</t>
  </si>
  <si>
    <t>USC ARCADIA HOSPITAL</t>
  </si>
  <si>
    <t>300 W HUNTINGTON DR</t>
  </si>
  <si>
    <t>ARCADIA</t>
  </si>
  <si>
    <t>91007</t>
  </si>
  <si>
    <t>Arcadia Central and Northeast/Bradbury/Monrovia/Sierra Madre</t>
  </si>
  <si>
    <t>190541</t>
  </si>
  <si>
    <t>MONROVIA MEMORIAL HOSPITAL</t>
  </si>
  <si>
    <t>323 S HELIOTROPE AVE</t>
  </si>
  <si>
    <t>MONROVIA</t>
  </si>
  <si>
    <t>91016</t>
  </si>
  <si>
    <t>190547</t>
  </si>
  <si>
    <t>MONTEREY PARK HOSPITAL</t>
  </si>
  <si>
    <t>900 S ATLANTIC BLVD</t>
  </si>
  <si>
    <t>190552</t>
  </si>
  <si>
    <t>MOTION PICTURE AND TELEVISION HOSPITAL</t>
  </si>
  <si>
    <t>23388 MULHOLLAND DR</t>
  </si>
  <si>
    <t>WOODLAND HILLS</t>
  </si>
  <si>
    <t>91364</t>
  </si>
  <si>
    <t>190555</t>
  </si>
  <si>
    <t>CEDARS-SINAI MEDICAL CENTER</t>
  </si>
  <si>
    <t>8700 BEVERLY BLVD</t>
  </si>
  <si>
    <t>90048</t>
  </si>
  <si>
    <t>Hollywood Hills/Hollywood West/Mount Olympus/West Hollywood</t>
  </si>
  <si>
    <t>190568</t>
  </si>
  <si>
    <t>NORTHRIDGE HOSPITAL MEDICAL CENTER</t>
  </si>
  <si>
    <t>18300 ROSCOE BLVD</t>
  </si>
  <si>
    <t>NORTHRIDGE</t>
  </si>
  <si>
    <t>91325</t>
  </si>
  <si>
    <t>190570</t>
  </si>
  <si>
    <t>NORWALK COMMUNITY HOSPITAL</t>
  </si>
  <si>
    <t>13222 BLOOMFIELD AVE</t>
  </si>
  <si>
    <t>NORWALK</t>
  </si>
  <si>
    <t>90650</t>
  </si>
  <si>
    <t>Norwalk/Studebaker</t>
  </si>
  <si>
    <t>190587</t>
  </si>
  <si>
    <t>COLLEGE MEDICAL CENTER</t>
  </si>
  <si>
    <t>2776 PACIFIC AVE</t>
  </si>
  <si>
    <t>190599</t>
  </si>
  <si>
    <t>KINDRED HOSPITAL PARAMOUNT</t>
  </si>
  <si>
    <t>16453 COLORADO AVE</t>
  </si>
  <si>
    <t>PARAMOUNT</t>
  </si>
  <si>
    <t>90723</t>
  </si>
  <si>
    <t>190630</t>
  </si>
  <si>
    <t>POMONA VALLEY HOSPITAL MEDICAL CENTER</t>
  </si>
  <si>
    <t>1798 N GAREY AVE</t>
  </si>
  <si>
    <t>Claremont/La Verne/Pomona Northwest/San Dimas</t>
  </si>
  <si>
    <t>190631</t>
  </si>
  <si>
    <t>PIH HEALTH HOSPITAL - WHITTIER</t>
  </si>
  <si>
    <t>12401 WASHINGTON BLVD</t>
  </si>
  <si>
    <t>WHITTIER</t>
  </si>
  <si>
    <t>90602</t>
  </si>
  <si>
    <t>La Habra Heights/Whittier</t>
  </si>
  <si>
    <t>190636</t>
  </si>
  <si>
    <t>EMANATE HEALTH QUEEN OF THE VALLEY HOSPITAL</t>
  </si>
  <si>
    <t>1115 S SUNSET AVE</t>
  </si>
  <si>
    <t>WEST COVINA</t>
  </si>
  <si>
    <t>91790</t>
  </si>
  <si>
    <t>Valinda/West Covina</t>
  </si>
  <si>
    <t>190661</t>
  </si>
  <si>
    <t>L.A. DOWNTOWN MEDICAL CENTER</t>
  </si>
  <si>
    <t>1711 W TEMPLE ST</t>
  </si>
  <si>
    <t>190673</t>
  </si>
  <si>
    <t>SAN DIMAS COMMUNITY HOSPITAL</t>
  </si>
  <si>
    <t>1350 W COVINA BLVD</t>
  </si>
  <si>
    <t>SAN DIMAS</t>
  </si>
  <si>
    <t>91773</t>
  </si>
  <si>
    <t>190680</t>
  </si>
  <si>
    <t>PROVIDENCE LITTLE COMPANY OF MARY MC - SAN PEDRO</t>
  </si>
  <si>
    <t>1300 W 7TH ST</t>
  </si>
  <si>
    <t>SAN PEDRO</t>
  </si>
  <si>
    <t>90732</t>
  </si>
  <si>
    <t>Miraleste/Palo Verdes Estates/Portuguese Bend/Rancho Palos Verdes/Rolling Hills/San Pedro West</t>
  </si>
  <si>
    <t>190681</t>
  </si>
  <si>
    <t>DOCS SURGICAL HOSPITAL</t>
  </si>
  <si>
    <t>6000 SAN VICENTE BLVD</t>
  </si>
  <si>
    <t>90036</t>
  </si>
  <si>
    <t>190687</t>
  </si>
  <si>
    <t>SANTA MONICA - UCLA MEDICAL CENTER AND ORTHOPAEDIC HOSPITAL</t>
  </si>
  <si>
    <t>1250 16TH ST</t>
  </si>
  <si>
    <t>SANTA MONICA</t>
  </si>
  <si>
    <t>90404</t>
  </si>
  <si>
    <t>University of California</t>
  </si>
  <si>
    <t>Santa Monica Central/Sawtelle/West Los Angeles</t>
  </si>
  <si>
    <t>190696</t>
  </si>
  <si>
    <t>PACIFICA HOSPITAL OF THE VALLEY</t>
  </si>
  <si>
    <t>9449 SAN FERNANDO RD</t>
  </si>
  <si>
    <t>SUN VALLEY</t>
  </si>
  <si>
    <t>91352</t>
  </si>
  <si>
    <t>Pacoima East/Sun Valley West</t>
  </si>
  <si>
    <t>190708</t>
  </si>
  <si>
    <t>SHERMAN OAKS HOSPITAL</t>
  </si>
  <si>
    <t>4929 VAN NUYS BLVD</t>
  </si>
  <si>
    <t>SHERMAN OAKS</t>
  </si>
  <si>
    <t>91403</t>
  </si>
  <si>
    <t>Sherman Oaks/Studio City/Valley Village</t>
  </si>
  <si>
    <t>190754</t>
  </si>
  <si>
    <t>ST. FRANCIS MEDICAL CENTER</t>
  </si>
  <si>
    <t>3630 E IMPERIAL HWY</t>
  </si>
  <si>
    <t>LYNWOOD</t>
  </si>
  <si>
    <t>90262</t>
  </si>
  <si>
    <t>Downey Southwest/Lynwood North Central/South Gate East</t>
  </si>
  <si>
    <t>190756</t>
  </si>
  <si>
    <t>SAINT JOHN'S HEALTH CENTER</t>
  </si>
  <si>
    <t>2121 SANTA MONICA BLVD</t>
  </si>
  <si>
    <t>190758</t>
  </si>
  <si>
    <t>PROVIDENCE SAINT JOSEPH MEDICAL CENTER</t>
  </si>
  <si>
    <t>501 S BUENA VISTA ST</t>
  </si>
  <si>
    <t>BURBANK</t>
  </si>
  <si>
    <t>91505</t>
  </si>
  <si>
    <t>Burbank North/North Hollywood South</t>
  </si>
  <si>
    <t>190766</t>
  </si>
  <si>
    <t>COAST PLAZA HOSPITAL</t>
  </si>
  <si>
    <t>13100 STUDEBAKER RD</t>
  </si>
  <si>
    <t>190782</t>
  </si>
  <si>
    <t>TARZANA TREATMENT CENTER</t>
  </si>
  <si>
    <t>18646 OXNARD ST</t>
  </si>
  <si>
    <t>Reseda South/Van Nuys Southwest</t>
  </si>
  <si>
    <t>190796</t>
  </si>
  <si>
    <t>RONALD REAGAN UCLA MEDICAL CENTER</t>
  </si>
  <si>
    <t>757 WESTWOOD PLAZA</t>
  </si>
  <si>
    <t>90095</t>
  </si>
  <si>
    <t>190812</t>
  </si>
  <si>
    <t>VALLEY PRESBYTERIAN HOSPITAL</t>
  </si>
  <si>
    <t>15107 VANOWEN ST</t>
  </si>
  <si>
    <t>VAN NUYS</t>
  </si>
  <si>
    <t>91405</t>
  </si>
  <si>
    <t>190818</t>
  </si>
  <si>
    <t>USC VERDUGO HILLS HOSPITAL</t>
  </si>
  <si>
    <t>1812 VERDUGO BLVD</t>
  </si>
  <si>
    <t>91208</t>
  </si>
  <si>
    <t>Burbank South/Eagle Rock/Glendale Northwest</t>
  </si>
  <si>
    <t>190857</t>
  </si>
  <si>
    <t>WEST COVINA MEDICAL CENTER</t>
  </si>
  <si>
    <t>725 S ORANGE AVE</t>
  </si>
  <si>
    <t>190859</t>
  </si>
  <si>
    <t>WEST HILLS HOSPITAL AND MEDICAL CENTER</t>
  </si>
  <si>
    <t>7300 MEDICAL CENTER DR</t>
  </si>
  <si>
    <t>WEST HILLS</t>
  </si>
  <si>
    <t>91307</t>
  </si>
  <si>
    <t>Agoura Hills/Calabasas/Hidden Hills/West Hills/Westlake</t>
  </si>
  <si>
    <t>190878</t>
  </si>
  <si>
    <t>ADVENTIST HEALTH WHITE MEMORIAL</t>
  </si>
  <si>
    <t>1720 E CESAR E CHAVEZ AVE</t>
  </si>
  <si>
    <t>90033</t>
  </si>
  <si>
    <t>190883</t>
  </si>
  <si>
    <t>WHITTIER HOSPITAL MEDICAL CENTER</t>
  </si>
  <si>
    <t>9080 COLIMA RD</t>
  </si>
  <si>
    <t>90605</t>
  </si>
  <si>
    <t>190930</t>
  </si>
  <si>
    <t>RESNICK NEUROPSYCHIATRIC HOSPITAL AT UCLA</t>
  </si>
  <si>
    <t>150 MEDICAL PLAZA</t>
  </si>
  <si>
    <t>190949</t>
  </si>
  <si>
    <t>HENRY MAYO NEWHALL HOSPITAL</t>
  </si>
  <si>
    <t>23845 MCBEAN PKWY</t>
  </si>
  <si>
    <t>VALENCIA</t>
  </si>
  <si>
    <t>91355</t>
  </si>
  <si>
    <t>District 38</t>
  </si>
  <si>
    <t>Canyon Country/Santa Clarita West/Saugus</t>
  </si>
  <si>
    <t>191216</t>
  </si>
  <si>
    <t>USC KENNETH NORRIS JR. CANCER HOSPITAL</t>
  </si>
  <si>
    <t>1441 EASTLAKE AVE</t>
  </si>
  <si>
    <t>191225</t>
  </si>
  <si>
    <t>TOM REDGATE MEMORIAL RECOVERY CENTER</t>
  </si>
  <si>
    <t>1775 CHESTNUT AVE</t>
  </si>
  <si>
    <t>Long Beach West Central</t>
  </si>
  <si>
    <t>191227</t>
  </si>
  <si>
    <t>LAC/HARBOR-UCLA MEDICAL CENTER</t>
  </si>
  <si>
    <t>1000 W CARSON ST</t>
  </si>
  <si>
    <t>90502</t>
  </si>
  <si>
    <t>191228</t>
  </si>
  <si>
    <t>LAC+USC MEDICAL CENTER</t>
  </si>
  <si>
    <t>1200 N STATE ST</t>
  </si>
  <si>
    <t>191230</t>
  </si>
  <si>
    <t>MARTIN LUTHER KING, JR. COMMUNITY HOSPITAL</t>
  </si>
  <si>
    <t>1680 E 120TH ST</t>
  </si>
  <si>
    <t>90059</t>
  </si>
  <si>
    <t>District 64</t>
  </si>
  <si>
    <t>Paramount North/Willowbrook</t>
  </si>
  <si>
    <t>191231</t>
  </si>
  <si>
    <t>LOS ANGELES COUNTY OLIVE VIEW-UCLA MEDICAL CENTER</t>
  </si>
  <si>
    <t>14445 OLIVE VIEW DR</t>
  </si>
  <si>
    <t>SYLMAR</t>
  </si>
  <si>
    <t>91342</t>
  </si>
  <si>
    <t>Angeles National Forest West/Kagel Canyon/Lake View Terrace/San Fernando East/Sylmar</t>
  </si>
  <si>
    <t>191306</t>
  </si>
  <si>
    <t>LAC/RANCHO LOS AMIGOS NATIONAL REHAB CENTER</t>
  </si>
  <si>
    <t>7601 IMPERIAL HWY</t>
  </si>
  <si>
    <t>90242</t>
  </si>
  <si>
    <t>191450</t>
  </si>
  <si>
    <t>KAISER FOUNDATION HOSPITAL - WOODLAND HILLS</t>
  </si>
  <si>
    <t>5601 DE SOTO AVE</t>
  </si>
  <si>
    <t>91367</t>
  </si>
  <si>
    <t>194010</t>
  </si>
  <si>
    <t>AMERICAN RECOVERY CENTER</t>
  </si>
  <si>
    <t>2180 VALLEY BLVD</t>
  </si>
  <si>
    <t>91768</t>
  </si>
  <si>
    <t>194219</t>
  </si>
  <si>
    <t>KECK HOSPITAL OF USC</t>
  </si>
  <si>
    <t>1500 SAN PABLO ST</t>
  </si>
  <si>
    <t>194967</t>
  </si>
  <si>
    <t>STAR VIEW ADOLESCENT - P H F</t>
  </si>
  <si>
    <t>4025 W 226TH ST</t>
  </si>
  <si>
    <t>194981</t>
  </si>
  <si>
    <t>LA CASA PSYCHIATRIC HEALTH FACILITY</t>
  </si>
  <si>
    <t>6060 N PARAMOUNT BLVD</t>
  </si>
  <si>
    <t>90805</t>
  </si>
  <si>
    <t>North Long Beach</t>
  </si>
  <si>
    <t>196035</t>
  </si>
  <si>
    <t>KAISER FOUNDATION HOSPITAL - BALDWIN PARK</t>
  </si>
  <si>
    <t>1011 BALDWIN PARK BLVD</t>
  </si>
  <si>
    <t>196168</t>
  </si>
  <si>
    <t>MEMORIALCARE MILLER CHILDREN'S &amp; WOMEN'S HOSPITAL LONG BEACH</t>
  </si>
  <si>
    <t>196403</t>
  </si>
  <si>
    <t>KAISER FOUNDATION HOSPITAL - DOWNEY</t>
  </si>
  <si>
    <t>9333 IMPERIAL HWY</t>
  </si>
  <si>
    <t>196404</t>
  </si>
  <si>
    <t>JOYCE EISENBERG KEEFER MEDICAL CENTER</t>
  </si>
  <si>
    <t>7150 TAMPA AVE</t>
  </si>
  <si>
    <t>RESEDA</t>
  </si>
  <si>
    <t>91335</t>
  </si>
  <si>
    <t>196405</t>
  </si>
  <si>
    <t>PALMDALE REGIONAL MEDICAL CENTER</t>
  </si>
  <si>
    <t>38600 MEDICAL CENTER DR</t>
  </si>
  <si>
    <t>PALMDALE</t>
  </si>
  <si>
    <t>93551</t>
  </si>
  <si>
    <t>Palmdale Central</t>
  </si>
  <si>
    <t>197931</t>
  </si>
  <si>
    <t>EXODUS RECOVERY P.H.F.</t>
  </si>
  <si>
    <t>9808 VENICE BLVD</t>
  </si>
  <si>
    <t>198495</t>
  </si>
  <si>
    <t>OCEAN VIEW PSYCHIATRIC HEALTH FACILITY</t>
  </si>
  <si>
    <t>2600 REDONDO AVE</t>
  </si>
  <si>
    <t>201281</t>
  </si>
  <si>
    <t>MADERA</t>
  </si>
  <si>
    <t>MADERA COMMUNITY HOSPITAL</t>
  </si>
  <si>
    <t>1250 E ALMOND AVE</t>
  </si>
  <si>
    <t>93637</t>
  </si>
  <si>
    <t>Madera</t>
  </si>
  <si>
    <t>204019</t>
  </si>
  <si>
    <t>VALLEY CHILDREN'S HOSPITAL</t>
  </si>
  <si>
    <t>9300 VALLEY CHILDREN'S PL</t>
  </si>
  <si>
    <t>93636</t>
  </si>
  <si>
    <t>210992</t>
  </si>
  <si>
    <t>MARIN</t>
  </si>
  <si>
    <t>KAISER FOUNDATION HOSPITAL - SAN RAFAEL</t>
  </si>
  <si>
    <t>99 MONTECILLO RD</t>
  </si>
  <si>
    <t>SAN RAFAEL</t>
  </si>
  <si>
    <t>94903</t>
  </si>
  <si>
    <t>Corte Madera/Fairfax/Kentfield/Larkspur/Marinwood/Mill Valley/Ross/San Anselmo/San Rafael West/Terra Linda</t>
  </si>
  <si>
    <t>210993</t>
  </si>
  <si>
    <t>KENTFIELD HOSPITAL</t>
  </si>
  <si>
    <t>1125 SIR FRANCIS DRAKE BLVD.</t>
  </si>
  <si>
    <t>KENTFIELD</t>
  </si>
  <si>
    <t>94904</t>
  </si>
  <si>
    <t>211006</t>
  </si>
  <si>
    <t>MARINHEALTH MEDICAL CENTER</t>
  </si>
  <si>
    <t>250 BON AIR RD</t>
  </si>
  <si>
    <t>GREENBRAE</t>
  </si>
  <si>
    <t>214034</t>
  </si>
  <si>
    <t>NOVATO COMMUNITY HOSPITAL</t>
  </si>
  <si>
    <t>180 ROWLAND WAY</t>
  </si>
  <si>
    <t>NOVATO</t>
  </si>
  <si>
    <t>94945</t>
  </si>
  <si>
    <t>Bel Marin Keys/Black Point/Ignacio/Novato/San Rafael East/Santa Venetia</t>
  </si>
  <si>
    <t>220733</t>
  </si>
  <si>
    <t>MARIPOSA</t>
  </si>
  <si>
    <t>JOHN C FREMONT HEALTHCARE DISTRICT</t>
  </si>
  <si>
    <t>5189 HOSPITAL RD</t>
  </si>
  <si>
    <t>95338</t>
  </si>
  <si>
    <t>Bootjack/Cathey’s Valley/Coulterville/Don Pedro/El Portal/Fish Camp/Mariposa</t>
  </si>
  <si>
    <t>231013</t>
  </si>
  <si>
    <t>MENDOCINO</t>
  </si>
  <si>
    <t>ADVENTIST HEALTH MENDOCINO COAST</t>
  </si>
  <si>
    <t>700 RIVER DR</t>
  </si>
  <si>
    <t>FORT BRAGG</t>
  </si>
  <si>
    <t>95437</t>
  </si>
  <si>
    <t>Fort Bragg/Westport</t>
  </si>
  <si>
    <t>231396</t>
  </si>
  <si>
    <t>ADVENTIST HEALTH UKIAH VALLEY</t>
  </si>
  <si>
    <t>275 HOSPITAL DR</t>
  </si>
  <si>
    <t>UKIAH</t>
  </si>
  <si>
    <t>95482</t>
  </si>
  <si>
    <t>Ukiah</t>
  </si>
  <si>
    <t>234038</t>
  </si>
  <si>
    <t>ADVENTIST HEALTH HOWARD MEMORIAL</t>
  </si>
  <si>
    <t>95490</t>
  </si>
  <si>
    <t>WILLITS</t>
  </si>
  <si>
    <t>Brooktrails/Pine Mountain/Willits</t>
  </si>
  <si>
    <t>240924</t>
  </si>
  <si>
    <t>MERCED</t>
  </si>
  <si>
    <t>MEMORIAL HOSPITAL LOS BANOS</t>
  </si>
  <si>
    <t>520 W I ST</t>
  </si>
  <si>
    <t>LOS BANOS</t>
  </si>
  <si>
    <t>93635</t>
  </si>
  <si>
    <t>Dos Palos/Gustine/Los Banos</t>
  </si>
  <si>
    <t>240942</t>
  </si>
  <si>
    <t>MERCY MEDICAL CENTER - MERCED</t>
  </si>
  <si>
    <t>333 MERCY AVE</t>
  </si>
  <si>
    <t>95340</t>
  </si>
  <si>
    <t>Merced Central and North/Merced Southeast</t>
  </si>
  <si>
    <t>244027</t>
  </si>
  <si>
    <t>MARIE GREEN PSYCHIATRIC CENTER - P H F</t>
  </si>
  <si>
    <t>300 E 15TH ST</t>
  </si>
  <si>
    <t>El Nido/Merced Southwest</t>
  </si>
  <si>
    <t>250955</t>
  </si>
  <si>
    <t>MODOC</t>
  </si>
  <si>
    <t>SURPRISE VALLEY COMMUNITY HOSPITAL</t>
  </si>
  <si>
    <t>741 MAIN ST</t>
  </si>
  <si>
    <t>CEDARVILLE</t>
  </si>
  <si>
    <t>96104</t>
  </si>
  <si>
    <t>Surprise Valley</t>
  </si>
  <si>
    <t>254005</t>
  </si>
  <si>
    <t>MODOC MEDICAL CENTER</t>
  </si>
  <si>
    <t>N NAGLE ST</t>
  </si>
  <si>
    <t>ALTURAS</t>
  </si>
  <si>
    <t>96101</t>
  </si>
  <si>
    <t>Alturas/Canby</t>
  </si>
  <si>
    <t>260011</t>
  </si>
  <si>
    <t>MONO</t>
  </si>
  <si>
    <t>MAMMOTH HOSPITAL</t>
  </si>
  <si>
    <t>85 SIERRA PARK ROAD</t>
  </si>
  <si>
    <t>MAMMOTH LAKES</t>
  </si>
  <si>
    <t>93546</t>
  </si>
  <si>
    <t>Mammoth Lakes</t>
  </si>
  <si>
    <t>270744</t>
  </si>
  <si>
    <t>MONTEREY</t>
  </si>
  <si>
    <t>COMMUNITY HOSPITAL OF THE MONTEREY PENINSULA</t>
  </si>
  <si>
    <t>23625 HOLMAN HWY</t>
  </si>
  <si>
    <t>93940</t>
  </si>
  <si>
    <t>District 17</t>
  </si>
  <si>
    <t>District 29</t>
  </si>
  <si>
    <t>Carmel/Del Rey Oaks/Monterey/Pacific Grove/Sand City/Seaside</t>
  </si>
  <si>
    <t>270777</t>
  </si>
  <si>
    <t>GEORGE L. MEE MEMORIAL HOSPITAL</t>
  </si>
  <si>
    <t>300 CANAL ST</t>
  </si>
  <si>
    <t>KING CITY</t>
  </si>
  <si>
    <t>93930</t>
  </si>
  <si>
    <t>King City/San Lucas</t>
  </si>
  <si>
    <t>270875</t>
  </si>
  <si>
    <t>SALINAS VALLEY HEALTH MEDICAL CENTER</t>
  </si>
  <si>
    <t>450 E ROMIE LN</t>
  </si>
  <si>
    <t>SALINAS</t>
  </si>
  <si>
    <t>93901</t>
  </si>
  <si>
    <t>Salinas/Spreckels</t>
  </si>
  <si>
    <t>274043</t>
  </si>
  <si>
    <t>NATIVIDAD MEDICAL CENTER</t>
  </si>
  <si>
    <t>1441 CONSTITUTION BLVD</t>
  </si>
  <si>
    <t>93906</t>
  </si>
  <si>
    <t>281047</t>
  </si>
  <si>
    <t>NAPA</t>
  </si>
  <si>
    <t>PROVIDENCE QUEEN OF THE VALLEY MEDICAL CENTER</t>
  </si>
  <si>
    <t>1000 TRANCAS ST</t>
  </si>
  <si>
    <t>94558</t>
  </si>
  <si>
    <t>Napa Central</t>
  </si>
  <si>
    <t>281078</t>
  </si>
  <si>
    <t>ADVENTIST HEALTH ST. HELENA</t>
  </si>
  <si>
    <t>10 WOODLAND RD</t>
  </si>
  <si>
    <t>ST. HELENA</t>
  </si>
  <si>
    <t>94574</t>
  </si>
  <si>
    <t>Angwin/Deer Park/St. Helena</t>
  </si>
  <si>
    <t>291023</t>
  </si>
  <si>
    <t>NEVADA</t>
  </si>
  <si>
    <t>SIERRA NEVADA MEMORIAL HOSPITAL</t>
  </si>
  <si>
    <t>155 GLASSON WAY</t>
  </si>
  <si>
    <t>GRASS VALLEY</t>
  </si>
  <si>
    <t>95945</t>
  </si>
  <si>
    <t>Grass Valley/Nevada City/Penn Valley/Rough and Ready/Wildwood</t>
  </si>
  <si>
    <t>291053</t>
  </si>
  <si>
    <t>TAHOE FOREST HOSPITAL</t>
  </si>
  <si>
    <t>10121 PINE AVE</t>
  </si>
  <si>
    <t>TRUCKEE</t>
  </si>
  <si>
    <t>96161</t>
  </si>
  <si>
    <t>North Bloomfield/North San Juan/Truckee</t>
  </si>
  <si>
    <t>300032</t>
  </si>
  <si>
    <t>ORANGE</t>
  </si>
  <si>
    <t>CHILDREN'S HOSPITAL OF ORANGE COUNTY</t>
  </si>
  <si>
    <t>1201 W LA VETA AVE</t>
  </si>
  <si>
    <t>92868</t>
  </si>
  <si>
    <t>District 37</t>
  </si>
  <si>
    <t>District 68</t>
  </si>
  <si>
    <t>City of Orange South/Santa Ana North/Tustin Foothills/Tustin West</t>
  </si>
  <si>
    <t>300225</t>
  </si>
  <si>
    <t>MEMORIALCARE ORANGE COAST MEDICAL CENTER</t>
  </si>
  <si>
    <t>9920 TALBERT AVE</t>
  </si>
  <si>
    <t>FOUNTAIN VALLEY</t>
  </si>
  <si>
    <t>92708</t>
  </si>
  <si>
    <t>District 72</t>
  </si>
  <si>
    <t>Fountain Valley/Huntington Beach Central</t>
  </si>
  <si>
    <t>301097</t>
  </si>
  <si>
    <t>ANAHEIM COMMUNITY HOSPITAL, LLC</t>
  </si>
  <si>
    <t>3350 W BALL RD</t>
  </si>
  <si>
    <t>ANAHEIM</t>
  </si>
  <si>
    <t>92804</t>
  </si>
  <si>
    <t>District 65</t>
  </si>
  <si>
    <t>Anaheim West</t>
  </si>
  <si>
    <t>301098</t>
  </si>
  <si>
    <t>AHMC ANAHEIM REGIONAL MEDICAL CENTER</t>
  </si>
  <si>
    <t>1111 W LA PALMA AVE</t>
  </si>
  <si>
    <t>92801</t>
  </si>
  <si>
    <t>District 69</t>
  </si>
  <si>
    <t>Anaheim Central</t>
  </si>
  <si>
    <t>301127</t>
  </si>
  <si>
    <t>KINDRED HOSPITAL - BREA</t>
  </si>
  <si>
    <t>875 N BREA BLVD</t>
  </si>
  <si>
    <t>BREA</t>
  </si>
  <si>
    <t>92821</t>
  </si>
  <si>
    <t>District 55</t>
  </si>
  <si>
    <t>Brea West/Fullerton North/La Habra</t>
  </si>
  <si>
    <t>301140</t>
  </si>
  <si>
    <t>CHAPMAN GLOBAL MEDICAL CENTER</t>
  </si>
  <si>
    <t>2601 E CHAPMAN AVE</t>
  </si>
  <si>
    <t>92869</t>
  </si>
  <si>
    <t>Anaheim Hills/City of Orange East/Villa Park</t>
  </si>
  <si>
    <t>301155</t>
  </si>
  <si>
    <t>COLLEGE HOSPITAL COSTA MESA</t>
  </si>
  <si>
    <t>301 VICTORIA ST</t>
  </si>
  <si>
    <t>COSTA MESA</t>
  </si>
  <si>
    <t>92627</t>
  </si>
  <si>
    <t>District 74</t>
  </si>
  <si>
    <t>Costa Mesa</t>
  </si>
  <si>
    <t>301175</t>
  </si>
  <si>
    <t>FOUNTAIN VALLEY REGIONAL HOSPITAL &amp; MEDICAL CENTER - EUCLID</t>
  </si>
  <si>
    <t>17100 EUCLID ST</t>
  </si>
  <si>
    <t>301188</t>
  </si>
  <si>
    <t>ANAHEIM GLOBAL MEDICAL CENTER</t>
  </si>
  <si>
    <t>1025 S ANAHEIM BLVD</t>
  </si>
  <si>
    <t>92805</t>
  </si>
  <si>
    <t>301205</t>
  </si>
  <si>
    <t>HOAG MEMORIAL HOSPITAL PRESBYTERIAN</t>
  </si>
  <si>
    <t>1 HOAG DR</t>
  </si>
  <si>
    <t>NEWPORT BEACH</t>
  </si>
  <si>
    <t>92663</t>
  </si>
  <si>
    <t>301209</t>
  </si>
  <si>
    <t>HUNTINGTON BEACH HOSPITAL</t>
  </si>
  <si>
    <t>17772 BEACH BLVD</t>
  </si>
  <si>
    <t>HUNTINGTON BEACH</t>
  </si>
  <si>
    <t>92647</t>
  </si>
  <si>
    <t>Huntington Beach North/Seal Beach East/Westminster</t>
  </si>
  <si>
    <t>301234</t>
  </si>
  <si>
    <t>LA PALMA INTERCOMMUNITY HOSPITAL</t>
  </si>
  <si>
    <t>7901 WALKER ST</t>
  </si>
  <si>
    <t>LA PALMA</t>
  </si>
  <si>
    <t>90623</t>
  </si>
  <si>
    <t>Buena Park/La Palma</t>
  </si>
  <si>
    <t>301248</t>
  </si>
  <si>
    <t>LOS ALAMITOS MEDICAL CENTER</t>
  </si>
  <si>
    <t>3751 KATELLA AVE</t>
  </si>
  <si>
    <t>LOS ALAMITOS</t>
  </si>
  <si>
    <t>90720</t>
  </si>
  <si>
    <t>Cypress/Los Alamitos/Rossmoor</t>
  </si>
  <si>
    <t>301258</t>
  </si>
  <si>
    <t>SOUTH COAST GLOBAL MEDICAL CENTER</t>
  </si>
  <si>
    <t>2701 S BRISTOL ST</t>
  </si>
  <si>
    <t>SANTA ANA</t>
  </si>
  <si>
    <t>92704</t>
  </si>
  <si>
    <t>Santa Ana South</t>
  </si>
  <si>
    <t>301262</t>
  </si>
  <si>
    <t>PROVIDENCE MISSION HOSPITAL</t>
  </si>
  <si>
    <t>27700 MEDICAL CENTER RD</t>
  </si>
  <si>
    <t>MISSION VIEJO</t>
  </si>
  <si>
    <t>92691</t>
  </si>
  <si>
    <t>District 73</t>
  </si>
  <si>
    <t>Lake Forest East/Mission Viejo Central and South</t>
  </si>
  <si>
    <t>301279</t>
  </si>
  <si>
    <t>UNIVERSITY OF CALIFORNIA IRVINE MEDICAL CENTER</t>
  </si>
  <si>
    <t>101 CITY DRIVE SOUTH</t>
  </si>
  <si>
    <t>Garden Grove North/Stanton</t>
  </si>
  <si>
    <t>301283</t>
  </si>
  <si>
    <t>GARDEN GROVE HOSPITAL AND MEDICAL CENTER</t>
  </si>
  <si>
    <t>12601 GARDEN GROVE BLVD</t>
  </si>
  <si>
    <t>GARDEN GROVE</t>
  </si>
  <si>
    <t>92843</t>
  </si>
  <si>
    <t>301297</t>
  </si>
  <si>
    <t>PLACENTIA LINDA HOSPITAL</t>
  </si>
  <si>
    <t>1301 N ROSE DR</t>
  </si>
  <si>
    <t>PLACENTIA</t>
  </si>
  <si>
    <t>92870</t>
  </si>
  <si>
    <t>Brea East/Placentia Central and North/Yorba Linda</t>
  </si>
  <si>
    <t>301304</t>
  </si>
  <si>
    <t>NEWPORT BAY HOSPITAL</t>
  </si>
  <si>
    <t>1501 E 16TH ST</t>
  </si>
  <si>
    <t>Irvine South/Newport Beach/Newport Coast/San Joaquin Hills</t>
  </si>
  <si>
    <t>301317</t>
  </si>
  <si>
    <t>MEMORIALCARE SADDLEBACK MEDICAL CENTER</t>
  </si>
  <si>
    <t>24451 HEALTH CENTER DR</t>
  </si>
  <si>
    <t>LAGUNA HILLS</t>
  </si>
  <si>
    <t>92653</t>
  </si>
  <si>
    <t>Laguna Beach/Laguna Woods</t>
  </si>
  <si>
    <t>301337</t>
  </si>
  <si>
    <t>PROVIDENCE MISSION HOSPITAL - LAGUNA BEACH</t>
  </si>
  <si>
    <t>31872 COAST HWY</t>
  </si>
  <si>
    <t>LAGUNA BEACH</t>
  </si>
  <si>
    <t>92651</t>
  </si>
  <si>
    <t>Aliso Viejo/Laguna Hills/Laguna Niguel</t>
  </si>
  <si>
    <t>301340</t>
  </si>
  <si>
    <t>PROVIDENCE ST. JOSEPH HOSPITAL</t>
  </si>
  <si>
    <t>1100 W STEWART DR</t>
  </si>
  <si>
    <t>301342</t>
  </si>
  <si>
    <t>PROVIDENCE ST. JUDE MEDICAL CENTER</t>
  </si>
  <si>
    <t>101 E VALENCIA MESA DR</t>
  </si>
  <si>
    <t>FULLERTON</t>
  </si>
  <si>
    <t>92835</t>
  </si>
  <si>
    <t>Fullerton Central and South</t>
  </si>
  <si>
    <t>301357</t>
  </si>
  <si>
    <t>FOOTHILL REGIONAL MEDICAL CENTER</t>
  </si>
  <si>
    <t>14662 NEWPORT AVE</t>
  </si>
  <si>
    <t>TUSTIN</t>
  </si>
  <si>
    <t>92780</t>
  </si>
  <si>
    <t>301379</t>
  </si>
  <si>
    <t>WEST ANAHEIM MEDICAL CENTER</t>
  </si>
  <si>
    <t>3033 W ORANGE AVE</t>
  </si>
  <si>
    <t>301380</t>
  </si>
  <si>
    <t>KINDRED HOSPITAL WESTMINSTER</t>
  </si>
  <si>
    <t>200 HOSPITAL CIR</t>
  </si>
  <si>
    <t>WESTMINSTER</t>
  </si>
  <si>
    <t>92683</t>
  </si>
  <si>
    <t>301566</t>
  </si>
  <si>
    <t>ORANGE COUNTY GLOBAL MEDICAL CENTER</t>
  </si>
  <si>
    <t>1001 N TUSTIN AVE</t>
  </si>
  <si>
    <t>92705</t>
  </si>
  <si>
    <t>304079</t>
  </si>
  <si>
    <t>ENCOMPASS HEALTH REHABILITATION HOSPITAL OF TUSTIN</t>
  </si>
  <si>
    <t>14851 YORBA ST</t>
  </si>
  <si>
    <t>304113</t>
  </si>
  <si>
    <t>CHILDREN'S HOSPITAL AT MISSION</t>
  </si>
  <si>
    <t>304159</t>
  </si>
  <si>
    <t>HEALTHBRIDGE CHILDREN'S HOSPITAL-ORANGE</t>
  </si>
  <si>
    <t>393 S TUSTIN ST</t>
  </si>
  <si>
    <t>92866</t>
  </si>
  <si>
    <t>304409</t>
  </si>
  <si>
    <t>KAISER FOUNDATION HOSPITAL - ORANGE COUNTY - ANAHEIM</t>
  </si>
  <si>
    <t>3440 E LA PALMA AVE</t>
  </si>
  <si>
    <t>92806</t>
  </si>
  <si>
    <t>304460</t>
  </si>
  <si>
    <t>HOAG ORTHOPEDIC INSTITUTE</t>
  </si>
  <si>
    <t>16250 SAND CANYON AVE</t>
  </si>
  <si>
    <t>IRVINE</t>
  </si>
  <si>
    <t>92618</t>
  </si>
  <si>
    <t>Irvine Central/Tustin East</t>
  </si>
  <si>
    <t>304583</t>
  </si>
  <si>
    <t>LAGUNA TREATMENT HOSPITAL, LLC</t>
  </si>
  <si>
    <t>24552 PACIFIC PARK DR</t>
  </si>
  <si>
    <t>ALISO VIEJO</t>
  </si>
  <si>
    <t>92677</t>
  </si>
  <si>
    <t>304585</t>
  </si>
  <si>
    <t>15120 KENSINGTON PARK DR</t>
  </si>
  <si>
    <t>92782</t>
  </si>
  <si>
    <t>304589</t>
  </si>
  <si>
    <t>ALISO RIDGE BEHAVIORAL HEALTH, LLC</t>
  </si>
  <si>
    <t>200 FREEDOM LN</t>
  </si>
  <si>
    <t>92656</t>
  </si>
  <si>
    <t>310791</t>
  </si>
  <si>
    <t>PLACER</t>
  </si>
  <si>
    <t>SUTTER AUBURN FAITH HOSPITAL</t>
  </si>
  <si>
    <t>11815 EDUCATION ST</t>
  </si>
  <si>
    <t>AUBURN</t>
  </si>
  <si>
    <t>95602</t>
  </si>
  <si>
    <t>Auburn/Newcastle/Lincoln/Sheridan</t>
  </si>
  <si>
    <t>311000</t>
  </si>
  <si>
    <t>SUTTER ROSEVILLE MEDICAL CENTER</t>
  </si>
  <si>
    <t>1 MEDICAL PLAZA DR</t>
  </si>
  <si>
    <t>ROSEVILLE</t>
  </si>
  <si>
    <t>95661</t>
  </si>
  <si>
    <t>District 6</t>
  </si>
  <si>
    <t>Rocklin/Granite Bay</t>
  </si>
  <si>
    <t>314024</t>
  </si>
  <si>
    <t>KAISER FOUNDATION HOSPITAL - ROSEVILLE</t>
  </si>
  <si>
    <t>1600 EUREKA RD</t>
  </si>
  <si>
    <t>314029</t>
  </si>
  <si>
    <t>CIRBY HILLS BEHAVIORAL HEALTH</t>
  </si>
  <si>
    <t>101 CIRBY HILLS DR</t>
  </si>
  <si>
    <t>95678</t>
  </si>
  <si>
    <t>Roseville</t>
  </si>
  <si>
    <t>320859</t>
  </si>
  <si>
    <t>PLUMAS</t>
  </si>
  <si>
    <t>EASTERN PLUMAS HOSPITAL-PORTOLA CAMPUS</t>
  </si>
  <si>
    <t>500 1ST AVE</t>
  </si>
  <si>
    <t>PORTOLA</t>
  </si>
  <si>
    <t>96122</t>
  </si>
  <si>
    <t>Beckwourth/Chilcoot/Crocker Mountain/Delleker/Iron Horse/Lake Davis/Maybe/Portola/Valley View/Vinton</t>
  </si>
  <si>
    <t>320986</t>
  </si>
  <si>
    <t>PLUMAS DISTRICT HOSPITAL</t>
  </si>
  <si>
    <t>1065 BUCKS LAKE RD</t>
  </si>
  <si>
    <t>QUINCY</t>
  </si>
  <si>
    <t>95971</t>
  </si>
  <si>
    <t>Bucks Lake/Cromberg/East Quincy/Greenhorn/Keddie/Laporte/Little Grass Valley/Meadow Valley/Quincy/Sloat/Spring Garden</t>
  </si>
  <si>
    <t>321016</t>
  </si>
  <si>
    <t>SENECA DISTRICT HOSPITAL</t>
  </si>
  <si>
    <t>130 BRENTWOOD DR</t>
  </si>
  <si>
    <t>CHESTER</t>
  </si>
  <si>
    <t>96020</t>
  </si>
  <si>
    <t>Bailey Creek/Canyondam/Chester/Eastshore/Foxwood/Hamilton Branch/Lake Almanor Peninsula/Lake Almanor Peninsula/Lake Almanor West/Prattville/Warner Valley</t>
  </si>
  <si>
    <t>330120</t>
  </si>
  <si>
    <t>RIVERSIDE</t>
  </si>
  <si>
    <t>THE BETTY FORD CENTER</t>
  </si>
  <si>
    <t>39000 BOB HOPE DR</t>
  </si>
  <si>
    <t>RANCHO MIRAGE</t>
  </si>
  <si>
    <t>92270</t>
  </si>
  <si>
    <t>District 28</t>
  </si>
  <si>
    <t>District 42</t>
  </si>
  <si>
    <t>Bermuda Dunes South/Indian Wells/La Quinta West/Palm Desert/Rancho Mirage Central and South</t>
  </si>
  <si>
    <t>331152</t>
  </si>
  <si>
    <t>CORONA REGIONAL MEDICAL CENTER-MAIN</t>
  </si>
  <si>
    <t>800 S MAIN ST</t>
  </si>
  <si>
    <t>CORONA</t>
  </si>
  <si>
    <t>92882</t>
  </si>
  <si>
    <t>District 60</t>
  </si>
  <si>
    <t>Arlington/Corona East/Home Gardens/La Sierra/Riverside Southwest</t>
  </si>
  <si>
    <t>331164</t>
  </si>
  <si>
    <t>DESERT REGIONAL MEDICAL CENTER</t>
  </si>
  <si>
    <t>1150 N INDIAN CANYON DR</t>
  </si>
  <si>
    <t>PALM SPRINGS</t>
  </si>
  <si>
    <t>92262</t>
  </si>
  <si>
    <t>Cathedral City Southeast/Palm Desert North/Palm Springs South/Rancho Mirage North</t>
  </si>
  <si>
    <t>331168</t>
  </si>
  <si>
    <t>EISENHOWER MEDICAL CENTER</t>
  </si>
  <si>
    <t>331194</t>
  </si>
  <si>
    <t>HEMET GLOBAL MEDICAL CENTER</t>
  </si>
  <si>
    <t>1117 E DEVONSHIRE AVE</t>
  </si>
  <si>
    <t>HEMET</t>
  </si>
  <si>
    <t>92543</t>
  </si>
  <si>
    <t>East Hemet/Hemet/Valle Vista</t>
  </si>
  <si>
    <t>331216</t>
  </si>
  <si>
    <t>JOHN F. KENNEDY MEMORIAL HOSPITAL</t>
  </si>
  <si>
    <t>47111 MONROE ST</t>
  </si>
  <si>
    <t>INDIO</t>
  </si>
  <si>
    <t>92201</t>
  </si>
  <si>
    <t>Arabia/Coachella/Desert Beach/Flowing Wells/Indio South/La Quinta East/Mecca/Oasis/Thermal</t>
  </si>
  <si>
    <t>331226</t>
  </si>
  <si>
    <t>PACIFIC GROVE HOSPITAL</t>
  </si>
  <si>
    <t>5900 BROCKTON AVE</t>
  </si>
  <si>
    <t>92506</t>
  </si>
  <si>
    <t>District 61</t>
  </si>
  <si>
    <t>Casablanca/Riverside Central</t>
  </si>
  <si>
    <t>331288</t>
  </si>
  <si>
    <t>PALO VERDE HOSPITAL</t>
  </si>
  <si>
    <t>250 N 1ST ST</t>
  </si>
  <si>
    <t>BLYTHE</t>
  </si>
  <si>
    <t>92225</t>
  </si>
  <si>
    <t>Blythe</t>
  </si>
  <si>
    <t>331293</t>
  </si>
  <si>
    <t>DOCTORS HOSPITAL OF RIVERSIDE</t>
  </si>
  <si>
    <t>3865 JACKSON ST</t>
  </si>
  <si>
    <t>92503</t>
  </si>
  <si>
    <t>331312</t>
  </si>
  <si>
    <t>RIVERSIDE COMMUNITY HOSPITAL</t>
  </si>
  <si>
    <t>4445 MAGNOLIA AVE</t>
  </si>
  <si>
    <t>92501</t>
  </si>
  <si>
    <t>Eastside/Fairmont Park/Riverside Downtown/Rubidoux/University</t>
  </si>
  <si>
    <t>331326</t>
  </si>
  <si>
    <t>SAN GORGONIO MEMORIAL HOSPITAL</t>
  </si>
  <si>
    <t>600 N HIGHLAND SPRINGS AVE</t>
  </si>
  <si>
    <t>BANNING</t>
  </si>
  <si>
    <t>92220</t>
  </si>
  <si>
    <t>Banning/Beaumont/Cabizon/Calimesa/Cherry Valley</t>
  </si>
  <si>
    <t>332172</t>
  </si>
  <si>
    <t>KINDRED HOSPITAL - RIVERSIDE</t>
  </si>
  <si>
    <t>2224 MEDICAL CENTER DR</t>
  </si>
  <si>
    <t>PERRIS</t>
  </si>
  <si>
    <t>92571</t>
  </si>
  <si>
    <t>Canyon Lake/Perris/Quail Valley/Romoland/Sun City/Winchester</t>
  </si>
  <si>
    <t>334018</t>
  </si>
  <si>
    <t>MENIFEE GLOBAL MEDICAL CENTER</t>
  </si>
  <si>
    <t>28400 MCCALL BLVD</t>
  </si>
  <si>
    <t>SUN CITY</t>
  </si>
  <si>
    <t>92585</t>
  </si>
  <si>
    <t>District 67</t>
  </si>
  <si>
    <t>334025</t>
  </si>
  <si>
    <t>KAISER FOUNDATION HOSPITAL - RIVERSIDE</t>
  </si>
  <si>
    <t>10800 MAGNOLIA AVE</t>
  </si>
  <si>
    <t>92505</t>
  </si>
  <si>
    <t>334048</t>
  </si>
  <si>
    <t>KAISER FOUNDATION HOSPITAL - MORENO VALLEY</t>
  </si>
  <si>
    <t>27300 IRIS AVE</t>
  </si>
  <si>
    <t>MORENO VALLEY</t>
  </si>
  <si>
    <t>92555</t>
  </si>
  <si>
    <t>334068</t>
  </si>
  <si>
    <t>SOUTHWEST HEALTHCARE SYSTEM-MURRIETA</t>
  </si>
  <si>
    <t>25500 MEDICAL CENTER DR</t>
  </si>
  <si>
    <t>MURRIETA</t>
  </si>
  <si>
    <t>92562</t>
  </si>
  <si>
    <t>Lake Elsinore/Murrieta West/Sedco Hills/Wildomar</t>
  </si>
  <si>
    <t>334457</t>
  </si>
  <si>
    <t>TELECARE RIVERSIDE COUNTY PSYCHIATRIC HEALTH FACILITY</t>
  </si>
  <si>
    <t>47915 OASIS ST</t>
  </si>
  <si>
    <t>334487</t>
  </si>
  <si>
    <t>RIVERSIDE UNIVERSITY HEALTH SYSTEM - MEDICAL CENTER</t>
  </si>
  <si>
    <t>26520 CACTUS AVE</t>
  </si>
  <si>
    <t>334533</t>
  </si>
  <si>
    <t>VIBRA REHABILITATION HOSPITAL OF RANCHO MIRAGE</t>
  </si>
  <si>
    <t>70077 RAMON RD</t>
  </si>
  <si>
    <t>334564</t>
  </si>
  <si>
    <t>TEMECULA VALLEY HOSPITAL</t>
  </si>
  <si>
    <t>31700 TEMECULA PKWY</t>
  </si>
  <si>
    <t>TEMECULA</t>
  </si>
  <si>
    <t>92592</t>
  </si>
  <si>
    <t>District 75</t>
  </si>
  <si>
    <t>Temecula South</t>
  </si>
  <si>
    <t>334589</t>
  </si>
  <si>
    <t>LOMA LINDA UNIVERSITY MEDICAL CENTER-MURRIETA</t>
  </si>
  <si>
    <t>28100 BAXTER RD</t>
  </si>
  <si>
    <t>92563</t>
  </si>
  <si>
    <t>French Valley/Murrieta East/Temecula/Winchester</t>
  </si>
  <si>
    <t>334678</t>
  </si>
  <si>
    <t>ENCOMPASS HEALTH REHABILITATION HOSPITAL OF MURRIETA</t>
  </si>
  <si>
    <t>35470 WHITEWOOD RD</t>
  </si>
  <si>
    <t>340041</t>
  </si>
  <si>
    <t>SACRAMENTO</t>
  </si>
  <si>
    <t>HERITAGE OAKS ENRICHMENT CENTER</t>
  </si>
  <si>
    <t>4378 AUBURN BLVD</t>
  </si>
  <si>
    <t>95841</t>
  </si>
  <si>
    <t>Carmichael/Fair Oaks/Gold River</t>
  </si>
  <si>
    <t>340913</t>
  </si>
  <si>
    <t>KAISER FOUNDATION HOSPITAL - SACRAMENTO</t>
  </si>
  <si>
    <t>2025 MORSE AVE</t>
  </si>
  <si>
    <t>95825</t>
  </si>
  <si>
    <t>Arcade/Arden/Town and Country Village</t>
  </si>
  <si>
    <t>340947</t>
  </si>
  <si>
    <t>MERCY GENERAL HOSPITAL</t>
  </si>
  <si>
    <t>4001 J ST</t>
  </si>
  <si>
    <t>95819</t>
  </si>
  <si>
    <t>Greenhaven/Land Park/Midtown/Pocket/Riverside/Sutterville</t>
  </si>
  <si>
    <t>340950</t>
  </si>
  <si>
    <t>MERCY SAN JUAN MEDICAL CENTER</t>
  </si>
  <si>
    <t>6501 COYLE AVE</t>
  </si>
  <si>
    <t>CARMICHAEL</t>
  </si>
  <si>
    <t>95608</t>
  </si>
  <si>
    <t>340951</t>
  </si>
  <si>
    <t>METHODIST HOSPITAL OF SACRAMENTO</t>
  </si>
  <si>
    <t>7500 HOSPITAL DR</t>
  </si>
  <si>
    <t>95823</t>
  </si>
  <si>
    <t>Elk Grove/Laguna/Laguna West/Lakeside</t>
  </si>
  <si>
    <t>341006</t>
  </si>
  <si>
    <t>UNIVERSITY OF CALIFORNIA DAVIS MEDICAL CENTER</t>
  </si>
  <si>
    <t>2315 STOCKTON BLVD</t>
  </si>
  <si>
    <t>95817</t>
  </si>
  <si>
    <t>Florin/Fruitridge/Oak Park/Parkway/South Sacramento</t>
  </si>
  <si>
    <t>341051</t>
  </si>
  <si>
    <t>SUTTER MEDICAL CENTER, SACRAMENTO</t>
  </si>
  <si>
    <t>2825 CAPITOL AVE</t>
  </si>
  <si>
    <t>95816</t>
  </si>
  <si>
    <t>342344</t>
  </si>
  <si>
    <t>KAISER FOUNDATION HOSPITAL - SOUTH SACRAMENTO</t>
  </si>
  <si>
    <t>6600 BRUCEVILLE RD</t>
  </si>
  <si>
    <t>342392</t>
  </si>
  <si>
    <t>SIERRA VISTA HOSPITAL</t>
  </si>
  <si>
    <t>8001 BRUCEVILLE RD</t>
  </si>
  <si>
    <t>344011</t>
  </si>
  <si>
    <t>SACRAMENTO MENTAL HEALTH TREATMENT CENTER</t>
  </si>
  <si>
    <t>2150 STOCKTON BLVD</t>
  </si>
  <si>
    <t>344017</t>
  </si>
  <si>
    <t>SUTTER CENTER FOR PSYCHIATRY</t>
  </si>
  <si>
    <t>7700 FOLSOM BLVD</t>
  </si>
  <si>
    <t>95826</t>
  </si>
  <si>
    <t>East Sacramento/La Riviera/Mather/Rancho Cordova/Rosemont</t>
  </si>
  <si>
    <t>344021</t>
  </si>
  <si>
    <t>HERITAGE OAKS HOSPITAL</t>
  </si>
  <si>
    <t>4250 AUBURN BLVD</t>
  </si>
  <si>
    <t>344029</t>
  </si>
  <si>
    <t>MERCY HOSPITAL OF FOLSOM</t>
  </si>
  <si>
    <t>1650 CREEKSIDE DR</t>
  </si>
  <si>
    <t>FOLSOM</t>
  </si>
  <si>
    <t>95630</t>
  </si>
  <si>
    <t>Folsom/Orangevale</t>
  </si>
  <si>
    <t>344035</t>
  </si>
  <si>
    <t>VIBRA HOSPITAL OF SACRAMENTO</t>
  </si>
  <si>
    <t>330 MONTROSE DR</t>
  </si>
  <si>
    <t>344114</t>
  </si>
  <si>
    <t>SHRINERS HOSPITALS FOR CHILDREN NORTHERN CALIF.</t>
  </si>
  <si>
    <t>2425 STOCKTON BLVD</t>
  </si>
  <si>
    <t>344170</t>
  </si>
  <si>
    <t>CRESTWOOD PSYCHIATRIC HEALTH FACILITY-CARMICHAEL</t>
  </si>
  <si>
    <t>4741 ENGLE RD</t>
  </si>
  <si>
    <t>344188</t>
  </si>
  <si>
    <t>CRESTWOOD PSYCHIATRIC HEALTH FACILITY-SACRAMENTO</t>
  </si>
  <si>
    <t>2600 STOCKTON BLVD</t>
  </si>
  <si>
    <t>344210</t>
  </si>
  <si>
    <t>SACRAMENTO BEHAVIORAL HEALTHCARE HOSPITAL, LLC</t>
  </si>
  <si>
    <t>1400 EXPO PKWY</t>
  </si>
  <si>
    <t>95815</t>
  </si>
  <si>
    <t>Capitol Park/Del Paso Heights/Downtown/Gardenland/North Sacramento</t>
  </si>
  <si>
    <t>350784</t>
  </si>
  <si>
    <t>SAN BENITO</t>
  </si>
  <si>
    <t>HAZEL HAWKINS MEMORIAL HOSPITAL</t>
  </si>
  <si>
    <t>911 SUNSET DR</t>
  </si>
  <si>
    <t>HOLLISTER</t>
  </si>
  <si>
    <t>95023</t>
  </si>
  <si>
    <t>Hollister/Paicines/Panoche/San Juan Bautista</t>
  </si>
  <si>
    <t>361110</t>
  </si>
  <si>
    <t>SAN BERNARDINO</t>
  </si>
  <si>
    <t>BEAR VALLEY COMMUNITY HOSPITAL</t>
  </si>
  <si>
    <t>41870 GARSTIN DR</t>
  </si>
  <si>
    <t>BIG BEAR LAKE</t>
  </si>
  <si>
    <t>92315</t>
  </si>
  <si>
    <t>Big Bear Lake/Fawnskin/Moorridge/Running Springs/Sugarloaf</t>
  </si>
  <si>
    <t>361144</t>
  </si>
  <si>
    <t>CHINO VALLEY MEDICAL CENTER</t>
  </si>
  <si>
    <t>5451 WALNUT AVE</t>
  </si>
  <si>
    <t>CHINO</t>
  </si>
  <si>
    <t>91710</t>
  </si>
  <si>
    <t>Chino Hills/Chino West Central/Los Serranos/Sleepy Hollow</t>
  </si>
  <si>
    <t>361166</t>
  </si>
  <si>
    <t>MONTCLAIR HOSPITAL MEDICAL CENTER</t>
  </si>
  <si>
    <t>5000 SAN BERNARDINO ST</t>
  </si>
  <si>
    <t>MONTCLAIR</t>
  </si>
  <si>
    <t>91763</t>
  </si>
  <si>
    <t>Montclair/Ontario Northwest/Upland South</t>
  </si>
  <si>
    <t>361223</t>
  </si>
  <si>
    <t>KAISER FOUNDATION HOSPITAL - FONTANA</t>
  </si>
  <si>
    <t>9961 SIERRA AVE</t>
  </si>
  <si>
    <t>FONTANA</t>
  </si>
  <si>
    <t>92335</t>
  </si>
  <si>
    <t>District 47</t>
  </si>
  <si>
    <t>Bloomington/Colton Central and West/Fontana South/Rialto South</t>
  </si>
  <si>
    <t>361246</t>
  </si>
  <si>
    <t>LOMA LINDA UNIVERSITY MEDICAL CENTER</t>
  </si>
  <si>
    <t>11234 ANDERSON ST</t>
  </si>
  <si>
    <t>LOMA LINDA</t>
  </si>
  <si>
    <t>92354</t>
  </si>
  <si>
    <t>Colton Southeast/Grand Terrace/Loma Linda/Redlands North</t>
  </si>
  <si>
    <t>361266</t>
  </si>
  <si>
    <t>MOUNTAINS COMMUNITY HOSPITAL</t>
  </si>
  <si>
    <t>29101 HOSPITAL RD</t>
  </si>
  <si>
    <t>LAKE ARROWHEAD</t>
  </si>
  <si>
    <t>92352</t>
  </si>
  <si>
    <t>Blue Jay/Crestline/Lake Arrowhead/Skyforest/Twin Peaks</t>
  </si>
  <si>
    <t>361274</t>
  </si>
  <si>
    <t>KINDRED HOSPITAL - ONTARIO</t>
  </si>
  <si>
    <t>550 N MONTEREY AVE</t>
  </si>
  <si>
    <t>ONTARIO</t>
  </si>
  <si>
    <t>91764</t>
  </si>
  <si>
    <t>361308</t>
  </si>
  <si>
    <t>REDLANDS COMMUNITY HOSPITAL</t>
  </si>
  <si>
    <t>350 TERRACINA BLVD</t>
  </si>
  <si>
    <t>REDLANDS</t>
  </si>
  <si>
    <t>92373</t>
  </si>
  <si>
    <t>Mentone/Redlands South/Yucaipa</t>
  </si>
  <si>
    <t>361318</t>
  </si>
  <si>
    <t>SAN ANTONIO REGIONAL HOSPITAL</t>
  </si>
  <si>
    <t>999 SAN BERNARDINO RD</t>
  </si>
  <si>
    <t>UPLAND</t>
  </si>
  <si>
    <t>91786</t>
  </si>
  <si>
    <t>361323</t>
  </si>
  <si>
    <t>COMMUNITY HOSPITAL OF SAN BERNARDINO</t>
  </si>
  <si>
    <t>1805 MEDICAL CENTER DR</t>
  </si>
  <si>
    <t>92411</t>
  </si>
  <si>
    <t>Muscoy/San Bernardino Central</t>
  </si>
  <si>
    <t>361339</t>
  </si>
  <si>
    <t>ST. BERNARDINE MEDICAL CENTER</t>
  </si>
  <si>
    <t>2101 N WATERMAN AVE</t>
  </si>
  <si>
    <t>92404</t>
  </si>
  <si>
    <t>Highland/San Bernardino East</t>
  </si>
  <si>
    <t>361343</t>
  </si>
  <si>
    <t>ST. MARY MEDICAL CENTER - APPLE VALLEY</t>
  </si>
  <si>
    <t>18300 US HIGHWAY 18</t>
  </si>
  <si>
    <t>APPLE VALLEY</t>
  </si>
  <si>
    <t>92307</t>
  </si>
  <si>
    <t>Apple Valley/Hesperia East</t>
  </si>
  <si>
    <t>361370</t>
  </si>
  <si>
    <t>VICTOR VALLEY GLOBAL MEDICAL CENTER</t>
  </si>
  <si>
    <t>15248 11TH ST</t>
  </si>
  <si>
    <t>VICTORVILLE</t>
  </si>
  <si>
    <t>92395</t>
  </si>
  <si>
    <t>Hesperia West/Mountain View Acres/Victorville Central and South</t>
  </si>
  <si>
    <t>361458</t>
  </si>
  <si>
    <t>COLORADO RIVER MEDICAL CENTER</t>
  </si>
  <si>
    <t>1401 BAILEY AVE</t>
  </si>
  <si>
    <t>NEEDLES</t>
  </si>
  <si>
    <t>92363</t>
  </si>
  <si>
    <t>Big River/Needles</t>
  </si>
  <si>
    <t>362041</t>
  </si>
  <si>
    <t>HI-DESERT MEDICAL CENTER</t>
  </si>
  <si>
    <t>6601 WHITE FEATHER RD</t>
  </si>
  <si>
    <t>JOSHUA TREE</t>
  </si>
  <si>
    <t>92252</t>
  </si>
  <si>
    <t>Joshua Tree/Landers/Morongo Valley/Rimrock/Yucca Valley</t>
  </si>
  <si>
    <t>364014</t>
  </si>
  <si>
    <t>LOMA LINDA UNIVERSITY BEHAVIORAL MEDICINE CENTER</t>
  </si>
  <si>
    <t>1710 BARTON RD</t>
  </si>
  <si>
    <t>364050</t>
  </si>
  <si>
    <t>CANYON RIDGE HOSPITAL</t>
  </si>
  <si>
    <t>5353 G ST</t>
  </si>
  <si>
    <t>364121</t>
  </si>
  <si>
    <t>BALLARD REHABILITATION HOSPITAL</t>
  </si>
  <si>
    <t>1760 W 16TH ST</t>
  </si>
  <si>
    <t>364144</t>
  </si>
  <si>
    <t>DESERT VALLEY HOSPITAL</t>
  </si>
  <si>
    <t>16850 BEAR VALLEY RD</t>
  </si>
  <si>
    <t>364188</t>
  </si>
  <si>
    <t>KINDRED HOSPITAL RANCHO</t>
  </si>
  <si>
    <t>10841 WHITE OAK AVE</t>
  </si>
  <si>
    <t>RANCHO CUCAMONGA</t>
  </si>
  <si>
    <t>91730</t>
  </si>
  <si>
    <t>Ontario Northeast/Rancho Cucamonga South</t>
  </si>
  <si>
    <t>364231</t>
  </si>
  <si>
    <t>ARROWHEAD REGIONAL MEDICAL CENTER</t>
  </si>
  <si>
    <t>400 N. PEPPER AVENUE</t>
  </si>
  <si>
    <t>COLTON</t>
  </si>
  <si>
    <t>92324</t>
  </si>
  <si>
    <t>364430</t>
  </si>
  <si>
    <t>BARSTOW COMMUNITY HOSPITAL</t>
  </si>
  <si>
    <t>820 E MOUNTAIN VIEW ST</t>
  </si>
  <si>
    <t>BARSTOW</t>
  </si>
  <si>
    <t>92311</t>
  </si>
  <si>
    <t>Barstow/Daggett/Lenwood/Nebo Center/Oro Grande/Yermo</t>
  </si>
  <si>
    <t>364451</t>
  </si>
  <si>
    <t>TOTALLY KIDS REHABILITATION HOSPITAL</t>
  </si>
  <si>
    <t>1720 MOUNTAIN VIEW AVE</t>
  </si>
  <si>
    <t>364502</t>
  </si>
  <si>
    <t>LOMA LINDA UNIVERSITY CHILDREN'S HOSPITAL</t>
  </si>
  <si>
    <t>370033</t>
  </si>
  <si>
    <t>SAN DIEGO</t>
  </si>
  <si>
    <t>CASA PALMERA CARE CENTER, LLC</t>
  </si>
  <si>
    <t>14750 EL CAMINO REAL</t>
  </si>
  <si>
    <t>DEL MAR</t>
  </si>
  <si>
    <t>92014</t>
  </si>
  <si>
    <t>District 77</t>
  </si>
  <si>
    <t>Cardiff by the Sea/Eden Gardens/Harmony Grove/La Costa/Ocean Hills/Lomas Santa Fe/Olivehain/Rancho Santa Fe/San Marcos South/Solana Beach/Vista South</t>
  </si>
  <si>
    <t>370652</t>
  </si>
  <si>
    <t>ALVARADO HOSPITAL MEDICAL CENTER</t>
  </si>
  <si>
    <t>6655 ALVARADO RD</t>
  </si>
  <si>
    <t>92120</t>
  </si>
  <si>
    <t>District 79</t>
  </si>
  <si>
    <t>College Heights/Hillcrest Southeast/Kensington/Rolando North/University Heights</t>
  </si>
  <si>
    <t>370673</t>
  </si>
  <si>
    <t>RADY CHILDREN'S HOSPITAL - SAN DIEGO</t>
  </si>
  <si>
    <t>3020 CHILDRENS WAY</t>
  </si>
  <si>
    <t>92123</t>
  </si>
  <si>
    <t>Bay Park/Five Points/Hillcrest Northwest/Mission Hills/Mission Valley/Morena/Normal Heights/Old Town/Serra Mesa</t>
  </si>
  <si>
    <t>370689</t>
  </si>
  <si>
    <t>SHARP CORONADO HOSPITAL AND HEALTHCARE CENTER</t>
  </si>
  <si>
    <t>250 PROSPECT PL</t>
  </si>
  <si>
    <t>CORONADO</t>
  </si>
  <si>
    <t>92118</t>
  </si>
  <si>
    <t>District 78</t>
  </si>
  <si>
    <t>Castle Park/Chula Vista Southwest/Imperial Beach West/Nestor East/Palm City/San Ysidro/South San Diego</t>
  </si>
  <si>
    <t>370694</t>
  </si>
  <si>
    <t>SHARP MEMORIAL HOSPITAL</t>
  </si>
  <si>
    <t>7901 FROST ST</t>
  </si>
  <si>
    <t>370695</t>
  </si>
  <si>
    <t>SHARP MARY BIRCH HOSPITAL FOR WOMEN AND NEWBORNS</t>
  </si>
  <si>
    <t>3003 HEALTH CENTER DR</t>
  </si>
  <si>
    <t>370714</t>
  </si>
  <si>
    <t>GROSSMONT HOSPITAL</t>
  </si>
  <si>
    <t>5555 GROSSMONT CENTER DR</t>
  </si>
  <si>
    <t>LA MESA</t>
  </si>
  <si>
    <t>91942</t>
  </si>
  <si>
    <t>La Mesa/Rolando South</t>
  </si>
  <si>
    <t>370721</t>
  </si>
  <si>
    <t>KINDRED HOSPITAL - SAN DIEGO</t>
  </si>
  <si>
    <t>1940 EL CAJON BLVD</t>
  </si>
  <si>
    <t>92104</t>
  </si>
  <si>
    <t>370730</t>
  </si>
  <si>
    <t>KAISER FOUNDATION HOSPITAL - SAN DIEGO - ZION</t>
  </si>
  <si>
    <t>4647 ZION AVE</t>
  </si>
  <si>
    <t>Allied Gardens/Del Cerro/Grantville/Miramar/Tierrasanta</t>
  </si>
  <si>
    <t>370744</t>
  </si>
  <si>
    <t>SCRIPPS MERCY HOSPITAL</t>
  </si>
  <si>
    <t>4077 5TH AVE</t>
  </si>
  <si>
    <t>92103</t>
  </si>
  <si>
    <t>370745</t>
  </si>
  <si>
    <t>SHARP MESA VISTA HOSPITAL</t>
  </si>
  <si>
    <t>7850 VISTA HILL AVE</t>
  </si>
  <si>
    <t>370749</t>
  </si>
  <si>
    <t>ALVARADO PARKWAY INSTITUTE B.H.S.</t>
  </si>
  <si>
    <t>7050 PARKWAY DR</t>
  </si>
  <si>
    <t>370759</t>
  </si>
  <si>
    <t>PARADISE VALLEY HOSPITAL</t>
  </si>
  <si>
    <t>2400 E 4TH ST</t>
  </si>
  <si>
    <t>NATIONAL CITY</t>
  </si>
  <si>
    <t>91950</t>
  </si>
  <si>
    <t>Encanto/Lemon Grove Northwest/Lincoln Acres/National City East/Paradise Hills Southwest</t>
  </si>
  <si>
    <t>370771</t>
  </si>
  <si>
    <t>SCRIPPS MEMORIAL HOSPITAL - LA JOLLA</t>
  </si>
  <si>
    <t>9888 GENESEE AVE</t>
  </si>
  <si>
    <t>LA JOLLA</t>
  </si>
  <si>
    <t>92037</t>
  </si>
  <si>
    <t>Crown Point/Del Mar/La Jolla/Pacific Beach</t>
  </si>
  <si>
    <t>370780</t>
  </si>
  <si>
    <t>TRI-CITY MEDICAL CENTER</t>
  </si>
  <si>
    <t>4002 VISTA WAY</t>
  </si>
  <si>
    <t>OCEANSIDE</t>
  </si>
  <si>
    <t>92056</t>
  </si>
  <si>
    <t>District 76</t>
  </si>
  <si>
    <t>Oceanside East/San Marcos West/Vista</t>
  </si>
  <si>
    <t>370782</t>
  </si>
  <si>
    <t>UC SAN DIEGO HEALTH HILLCREST - HILLCREST MEDICAL CENTER</t>
  </si>
  <si>
    <t>200 W ARBOR DR</t>
  </si>
  <si>
    <t>370875</t>
  </si>
  <si>
    <t>SHARP CHULA VISTA MEDICAL CENTER</t>
  </si>
  <si>
    <t>751 MEDICAL CENTER CT</t>
  </si>
  <si>
    <t>CHULA VISTA</t>
  </si>
  <si>
    <t>91911</t>
  </si>
  <si>
    <t>Cockatoo Grove/Eastlake Greens/Otay Mesa</t>
  </si>
  <si>
    <t>370977</t>
  </si>
  <si>
    <t>PALOMAR MEDICAL CENTER POWAY</t>
  </si>
  <si>
    <t>15615 POMERADO RD</t>
  </si>
  <si>
    <t>POWAY</t>
  </si>
  <si>
    <t>92064</t>
  </si>
  <si>
    <t>Poway Central/Poway Grove/Rancho Bernardo Southwest/Sabre Springs</t>
  </si>
  <si>
    <t>371256</t>
  </si>
  <si>
    <t>SCRIPPS GREEN HOSPITAL</t>
  </si>
  <si>
    <t>10666 N TORREY PINES RD</t>
  </si>
  <si>
    <t>371394</t>
  </si>
  <si>
    <t>SCRIPPS MEMORIAL HOSPITAL - ENCINITAS</t>
  </si>
  <si>
    <t>354 SANTA FE DR</t>
  </si>
  <si>
    <t>ENCINITAS</t>
  </si>
  <si>
    <t>92024</t>
  </si>
  <si>
    <t>Encinitas Central/Leucadia/Oceanside North and West/San Luis Rey/South Oceanside</t>
  </si>
  <si>
    <t>374024</t>
  </si>
  <si>
    <t>AURORA SAN DIEGO</t>
  </si>
  <si>
    <t>11878 AVE OF INDUSTRY</t>
  </si>
  <si>
    <t>92128</t>
  </si>
  <si>
    <t>374049</t>
  </si>
  <si>
    <t>SHARP MCDONALD CENTER</t>
  </si>
  <si>
    <t>7989 LINDA VISTA RD</t>
  </si>
  <si>
    <t>92111</t>
  </si>
  <si>
    <t>374055</t>
  </si>
  <si>
    <t>SAN DIEGO COUNTY PSYCHIATRIC HOSPITAL</t>
  </si>
  <si>
    <t>3853 ROSECRANS ST</t>
  </si>
  <si>
    <t>92110</t>
  </si>
  <si>
    <t>374094</t>
  </si>
  <si>
    <t>SELECT SPECIALTY HOSPITAL - SAN DIEGO</t>
  </si>
  <si>
    <t>555 WASHINGTON ST</t>
  </si>
  <si>
    <t>374382</t>
  </si>
  <si>
    <t>PALOMAR MEDICAL CENTER</t>
  </si>
  <si>
    <t>2185 W CITRACADO PKWY</t>
  </si>
  <si>
    <t>ESCONDIDO</t>
  </si>
  <si>
    <t>92029</t>
  </si>
  <si>
    <t>Escondido Central and South/San Marcos Central and East</t>
  </si>
  <si>
    <t>374572</t>
  </si>
  <si>
    <t>PALOMAR REHABILITATION INSTITUTE</t>
  </si>
  <si>
    <t>2181 W CITRACADO PKWY</t>
  </si>
  <si>
    <t>380842</t>
  </si>
  <si>
    <t>SAN FRANCISCO</t>
  </si>
  <si>
    <t>JEWISH HOME &amp; REHAB CENTER</t>
  </si>
  <si>
    <t>302 SILVER AVE</t>
  </si>
  <si>
    <t>94112</t>
  </si>
  <si>
    <t>District 19</t>
  </si>
  <si>
    <t>Bernal Heights/Mission District/Potrero Hill</t>
  </si>
  <si>
    <t>380857</t>
  </si>
  <si>
    <t>KAISER FOUNDATION HOSPITAL - SAN FRANCISCO</t>
  </si>
  <si>
    <t>2425 GEARY BLVD</t>
  </si>
  <si>
    <t>94115</t>
  </si>
  <si>
    <t>Laurel Heights/Ocean Beach North/Richmond/Sutro Heights</t>
  </si>
  <si>
    <t>380865</t>
  </si>
  <si>
    <t>LAGUNA HONDA HOSPITAL AND REHABILITATION CENTER</t>
  </si>
  <si>
    <t>375 LAGUNA HONDA BLVD</t>
  </si>
  <si>
    <t>94116</t>
  </si>
  <si>
    <t>Buena Vista/Castro/Eureka Valley/Forest Hill/Haight-Ashbury/Noe Valley/West of Twin Peaks</t>
  </si>
  <si>
    <t>380868</t>
  </si>
  <si>
    <t>LANGLEY PORTER PSYCHIATRIC INSTITUTE</t>
  </si>
  <si>
    <t>401 PARNASSUS AVE</t>
  </si>
  <si>
    <t>94143</t>
  </si>
  <si>
    <t>380933</t>
  </si>
  <si>
    <t>CALIFORNIA PACIFIC MEDICAL CENTER - DAVIES CAMPUS HOSPITAL</t>
  </si>
  <si>
    <t>601 DUBOCE AVE</t>
  </si>
  <si>
    <t>94117</t>
  </si>
  <si>
    <t>380939</t>
  </si>
  <si>
    <t>PRISCILLA CHAN &amp; MARK ZUCKERBERG SAN FRANCISCO GENERAL HOSPITAL &amp; TRAUMA CENTER</t>
  </si>
  <si>
    <t>1001 POTRERO AVE</t>
  </si>
  <si>
    <t>94110</t>
  </si>
  <si>
    <t>380960</t>
  </si>
  <si>
    <t>ST. FRANCIS MEMORIAL HOSPITAL</t>
  </si>
  <si>
    <t>900 HYDE ST</t>
  </si>
  <si>
    <t>94109</t>
  </si>
  <si>
    <t>Cow Hollow/Financial District/Marina/Nob Hill/Pacific Heights/Russian Hill/Seacliff</t>
  </si>
  <si>
    <t>380965</t>
  </si>
  <si>
    <t>ST. MARY'S MEDICAL CENTER</t>
  </si>
  <si>
    <t>450 STANYAN ST</t>
  </si>
  <si>
    <t>381154</t>
  </si>
  <si>
    <t>UCSF MEDICAL CENTER</t>
  </si>
  <si>
    <t>505 PARNASSUS AVE</t>
  </si>
  <si>
    <t>382715</t>
  </si>
  <si>
    <t>CHINESE HOSPITAL</t>
  </si>
  <si>
    <t>845 JACKSON ST</t>
  </si>
  <si>
    <t>94133</t>
  </si>
  <si>
    <t>Chinatown/Civic Center/Inner Mission/North Beach/South of Market/Tenderloin/Western Addition</t>
  </si>
  <si>
    <t>384176</t>
  </si>
  <si>
    <t>CALIFORNIA PACIFIC MEDICAL CENTER - VAN NESS CAMPUS</t>
  </si>
  <si>
    <t>1101 VAN NESS AVE</t>
  </si>
  <si>
    <t>384202</t>
  </si>
  <si>
    <t>CALIFORNIA PACIFIC MEDICAL CENTER - MISSION BERNAL CAMPUS</t>
  </si>
  <si>
    <t>3555 CESAR CHAVEZ ST</t>
  </si>
  <si>
    <t>390846</t>
  </si>
  <si>
    <t>SAN JOAQUIN</t>
  </si>
  <si>
    <t>DAMERON HOSPITAL</t>
  </si>
  <si>
    <t>525 W ACACIA ST</t>
  </si>
  <si>
    <t>STOCKTON</t>
  </si>
  <si>
    <t>95203</t>
  </si>
  <si>
    <t>District 13</t>
  </si>
  <si>
    <t>French Camp/Stockton South/Stockton Southeast</t>
  </si>
  <si>
    <t>390923</t>
  </si>
  <si>
    <t>ADVENTIST HEALTH LODI MEMORIAL</t>
  </si>
  <si>
    <t>975 S FAIRMONT AVE</t>
  </si>
  <si>
    <t>LODI</t>
  </si>
  <si>
    <t>95240</t>
  </si>
  <si>
    <t>Lodi</t>
  </si>
  <si>
    <t>391010</t>
  </si>
  <si>
    <t>SAN JOAQUIN GENERAL HOSPITAL</t>
  </si>
  <si>
    <t>500 W HOSPITAL RD</t>
  </si>
  <si>
    <t>FRENCH CAMP</t>
  </si>
  <si>
    <t>95231</t>
  </si>
  <si>
    <t>391042</t>
  </si>
  <si>
    <t>ST. JOSEPH'S MEDICAL CENTER OF STOCKTON</t>
  </si>
  <si>
    <t>1800 N CALIFORNIA ST</t>
  </si>
  <si>
    <t>95204</t>
  </si>
  <si>
    <t>Stockton North Central/Stockton Northeast</t>
  </si>
  <si>
    <t>391056</t>
  </si>
  <si>
    <t>SUTTER TRACY COMMUNITY HOSPITAL</t>
  </si>
  <si>
    <t>1420 N TRACY BLVD</t>
  </si>
  <si>
    <t>TRACY</t>
  </si>
  <si>
    <t>95376</t>
  </si>
  <si>
    <t>Tracy</t>
  </si>
  <si>
    <t>392232</t>
  </si>
  <si>
    <t>ST. JOSEPH'S BEHAVIORAL HEALTH CENTER</t>
  </si>
  <si>
    <t>2510 N CALIFORNIA ST</t>
  </si>
  <si>
    <t>392287</t>
  </si>
  <si>
    <t>DOCTORS HOSPITAL OF MANTECA</t>
  </si>
  <si>
    <t>1205 E NORTH ST</t>
  </si>
  <si>
    <t>MANTECA</t>
  </si>
  <si>
    <t>95336</t>
  </si>
  <si>
    <t>Lathrop/Manteca</t>
  </si>
  <si>
    <t>394003</t>
  </si>
  <si>
    <t>SAN JOAQUIN PHF</t>
  </si>
  <si>
    <t>1212 N CALIFORNIA ST</t>
  </si>
  <si>
    <t>95202</t>
  </si>
  <si>
    <t>394009</t>
  </si>
  <si>
    <t>KAISER FOUNDATION HOSPITAL - MANTECA</t>
  </si>
  <si>
    <t>1777 W YOSEMITE AVE</t>
  </si>
  <si>
    <t>95337</t>
  </si>
  <si>
    <t>400466</t>
  </si>
  <si>
    <t>SAN LUIS OBISPO</t>
  </si>
  <si>
    <t>MARIAN REGIONAL MEDICAL CENTER, ARROYO GRANDE</t>
  </si>
  <si>
    <t>345 S HALCYON RD</t>
  </si>
  <si>
    <t>ARROYO GRANDE</t>
  </si>
  <si>
    <t>93420</t>
  </si>
  <si>
    <t>Arroyo Grande/Nipomo/Oceano/Pismo Beach</t>
  </si>
  <si>
    <t>400480</t>
  </si>
  <si>
    <t>FRENCH HOSPITAL MEDICAL CENTER</t>
  </si>
  <si>
    <t>1911 JOHNSON AVE</t>
  </si>
  <si>
    <t>93401</t>
  </si>
  <si>
    <t>San Luis Obispo</t>
  </si>
  <si>
    <t>400524</t>
  </si>
  <si>
    <t>TENET HEALTH CENTRAL COAST SIERRA VISTA REGIONAL MEDICAL CENTER</t>
  </si>
  <si>
    <t>1010 MURRAY ST</t>
  </si>
  <si>
    <t>93405</t>
  </si>
  <si>
    <t>400548</t>
  </si>
  <si>
    <t>TENET HEALTH CENTRAL COAST TWIN CITIES COMMUNITY HOSPITAL</t>
  </si>
  <si>
    <t>1100 LAS TABLAS RD</t>
  </si>
  <si>
    <t>TEMPLETON</t>
  </si>
  <si>
    <t>93465</t>
  </si>
  <si>
    <t>Atascadero/Templeton</t>
  </si>
  <si>
    <t>404046</t>
  </si>
  <si>
    <t>SAN LUIS OBISPO CO PSYCHIATRIC HEALTH FACILITY</t>
  </si>
  <si>
    <t>2178 JOHNSON AVE</t>
  </si>
  <si>
    <t>410782</t>
  </si>
  <si>
    <t>SAN MATEO</t>
  </si>
  <si>
    <t>SAN MATEO MEDICAL CENTER</t>
  </si>
  <si>
    <t>222 W 39TH AVE</t>
  </si>
  <si>
    <t>94403</t>
  </si>
  <si>
    <t>Burlingame Hills/Burlingame Southwest/Hillsborough/Hillsdale/Millbrae West/San Bruno Central/San Mateo West</t>
  </si>
  <si>
    <t>410806</t>
  </si>
  <si>
    <t>KAISER FOUNDATION HOSPITAL - SOUTH SAN FRANCISCO</t>
  </si>
  <si>
    <t>1200 EL CAMINO REAL</t>
  </si>
  <si>
    <t>SOUTH SAN FRANCISCO</t>
  </si>
  <si>
    <t>94080</t>
  </si>
  <si>
    <t>Brisbane/Burlingame Northeast/Colma/Daly City East/Millbrae East/San Bruno/South San Francisco</t>
  </si>
  <si>
    <t>410817</t>
  </si>
  <si>
    <t>AHMC SETON MEDICAL CENTER</t>
  </si>
  <si>
    <t>1900 SULLIVAN AVE</t>
  </si>
  <si>
    <t>DALY CITY</t>
  </si>
  <si>
    <t>94015</t>
  </si>
  <si>
    <t>Broadmoor Village/Daly City West/San Bruno Northwest/Serramonte/Westborough</t>
  </si>
  <si>
    <t>410828</t>
  </si>
  <si>
    <t>AHMC SETON MEDICAL CENTER COASTSIDE</t>
  </si>
  <si>
    <t>600 MARINE BLVD</t>
  </si>
  <si>
    <t>MOSS BEACH</t>
  </si>
  <si>
    <t>94038</t>
  </si>
  <si>
    <t>El Granada/Half Moon Bay/Miramar/Montara/Moss Beach/Princeton by the Sea/Skyline</t>
  </si>
  <si>
    <t>410852</t>
  </si>
  <si>
    <t>MILLS-PENINSULA MEDICAL CENTER</t>
  </si>
  <si>
    <t>1501 TROUSDALE DR</t>
  </si>
  <si>
    <t>BURLINGAME</t>
  </si>
  <si>
    <t>94010</t>
  </si>
  <si>
    <t>410891</t>
  </si>
  <si>
    <t>SEQUOIA HOSPITAL</t>
  </si>
  <si>
    <t>170 ALAMEDA</t>
  </si>
  <si>
    <t>REDWOOD CITY</t>
  </si>
  <si>
    <t>94062</t>
  </si>
  <si>
    <t>Belmont/Devonshire/Emerald Lake/Farm Hills/Palomar Park/San Carlos West/The Highlands</t>
  </si>
  <si>
    <t>414139</t>
  </si>
  <si>
    <t>KAISER FOUNDATION HOSPITAL - REDWOOD CITY</t>
  </si>
  <si>
    <t>1100 VETERANS BLVD</t>
  </si>
  <si>
    <t>94063</t>
  </si>
  <si>
    <t>Atherton/Lindenwood/Menlo Oaks/Menlo Park/Redwood City Central/Sharon Heights/West Menlo Park/Woodside/Woodside Hills</t>
  </si>
  <si>
    <t>420483</t>
  </si>
  <si>
    <t>SANTA BARBARA</t>
  </si>
  <si>
    <t>GOLETA VALLEY COTTAGE HOSPITAL</t>
  </si>
  <si>
    <t>351 S PATTERSON AVE</t>
  </si>
  <si>
    <t>93111</t>
  </si>
  <si>
    <t>Goleta South/Isla Vista/Santa Barbara South</t>
  </si>
  <si>
    <t>420491</t>
  </si>
  <si>
    <t>LOMPOC VALLEY MEDICAL CENTER</t>
  </si>
  <si>
    <t>1515 E OCEAN AVE</t>
  </si>
  <si>
    <t>LOMPOC</t>
  </si>
  <si>
    <t>93436</t>
  </si>
  <si>
    <t>Lompoc/Mission Hills/Vandenberg</t>
  </si>
  <si>
    <t>420493</t>
  </si>
  <si>
    <t>MARIAN REGIONAL MEDICAL CENTER</t>
  </si>
  <si>
    <t>1400 E CHURCH ST</t>
  </si>
  <si>
    <t>SANTA MARIA</t>
  </si>
  <si>
    <t>93454</t>
  </si>
  <si>
    <t>Orcutt/Santa Maria</t>
  </si>
  <si>
    <t>420514</t>
  </si>
  <si>
    <t>SANTA BARBARA COTTAGE HOSPITAL</t>
  </si>
  <si>
    <t>400 W PUEBLO ST</t>
  </si>
  <si>
    <t>93105</t>
  </si>
  <si>
    <t>Goleta North/Mission Canyon/Montecito/Riviera/Santa Barbara North</t>
  </si>
  <si>
    <t>420522</t>
  </si>
  <si>
    <t>SANTA YNEZ VALLEY COTTAGE HOSPITAL</t>
  </si>
  <si>
    <t>2050 VIBORG RD</t>
  </si>
  <si>
    <t>SOLVANG</t>
  </si>
  <si>
    <t>93463</t>
  </si>
  <si>
    <t>Buellton/Los Olivos/Santa Ynez/Solvang</t>
  </si>
  <si>
    <t>424002</t>
  </si>
  <si>
    <t>SANTA BARBARA PSYCHIATRIC HEALTH FACILITY</t>
  </si>
  <si>
    <t>315 CAMINO DEL REMEDIO</t>
  </si>
  <si>
    <t>93110</t>
  </si>
  <si>
    <t>430705</t>
  </si>
  <si>
    <t>SANTA CLARA</t>
  </si>
  <si>
    <t>REGIONAL MEDICAL CENTER OF SAN JOSE</t>
  </si>
  <si>
    <t>225 N JACKSON AVE</t>
  </si>
  <si>
    <t>SAN JOSE</t>
  </si>
  <si>
    <t>95116</t>
  </si>
  <si>
    <t>Berryessa/East San Jose/Milpitas East</t>
  </si>
  <si>
    <t>430763</t>
  </si>
  <si>
    <t>EL CAMINO HEALTH</t>
  </si>
  <si>
    <t>2500 GRANT RD</t>
  </si>
  <si>
    <t>MOUNTAIN VIEW</t>
  </si>
  <si>
    <t>94040</t>
  </si>
  <si>
    <t>Los Altos/Los Altos Hills/Palo Alto Central/Stanford</t>
  </si>
  <si>
    <t>430779</t>
  </si>
  <si>
    <t>GOOD SAMARITAN HOSPITAL-SAN JOSE</t>
  </si>
  <si>
    <t>2425 SAMARITAN DR</t>
  </si>
  <si>
    <t>95124</t>
  </si>
  <si>
    <t>Cambrian Village West/Campbell South/Los Gatos/Monte Sereno/San Tomas</t>
  </si>
  <si>
    <t>430837</t>
  </si>
  <si>
    <t>O'CONNOR HOSPITAL</t>
  </si>
  <si>
    <t>2105 FOREST AVE</t>
  </si>
  <si>
    <t>95128</t>
  </si>
  <si>
    <t>San Jose Northwest</t>
  </si>
  <si>
    <t>430883</t>
  </si>
  <si>
    <t>SANTA CLARA VALLEY MEDICAL CENTER</t>
  </si>
  <si>
    <t>751 S BASCOM AVE</t>
  </si>
  <si>
    <t>430905</t>
  </si>
  <si>
    <t>STANFORD HEALTH CARE</t>
  </si>
  <si>
    <t>300 PASTEUR DR</t>
  </si>
  <si>
    <t>PALO ALTO</t>
  </si>
  <si>
    <t>94305</t>
  </si>
  <si>
    <t>431506</t>
  </si>
  <si>
    <t>KAISER FOUNDATION HOSPITAL - SAN JOSE</t>
  </si>
  <si>
    <t>250 HOSPITAL PKWY</t>
  </si>
  <si>
    <t>95119</t>
  </si>
  <si>
    <t>New Almaden/San Jose Southwest</t>
  </si>
  <si>
    <t>434032</t>
  </si>
  <si>
    <t>SAN JOSE BEHAVIORAL HEALTH</t>
  </si>
  <si>
    <t>455 SILICON VALLEY BLVD</t>
  </si>
  <si>
    <t>95138</t>
  </si>
  <si>
    <t>Evergreen/San Jose East Central</t>
  </si>
  <si>
    <t>434040</t>
  </si>
  <si>
    <t>LUCILE PACKARD CHILDREN'S HOSPITAL STANFORD</t>
  </si>
  <si>
    <t>725 WELCH RD</t>
  </si>
  <si>
    <t>94304</t>
  </si>
  <si>
    <t>434051</t>
  </si>
  <si>
    <t>CHILDREN'S HEALTHCARE ORGANIZATION OF NORTHERN CA - PEDIATRIC HOSPITAL</t>
  </si>
  <si>
    <t>3777 S BASCOM AVE</t>
  </si>
  <si>
    <t>CAMPBELL</t>
  </si>
  <si>
    <t>95008</t>
  </si>
  <si>
    <t>434138</t>
  </si>
  <si>
    <t>ST. LOUISE REGIONAL HOSPITAL</t>
  </si>
  <si>
    <t>9400 N NAME UNO</t>
  </si>
  <si>
    <t>GILROY</t>
  </si>
  <si>
    <t>95020</t>
  </si>
  <si>
    <t>Gilroy/Morgan Hill/Rucker/San Martin</t>
  </si>
  <si>
    <t>434153</t>
  </si>
  <si>
    <t>KAISER FOUNDATION HOSPITAL - SANTA CLARA</t>
  </si>
  <si>
    <t>700 LAWRENCE EXPY</t>
  </si>
  <si>
    <t>95051</t>
  </si>
  <si>
    <t>Cupertino/Rancho Rinconada/San Jose West/Saratoga</t>
  </si>
  <si>
    <t>434218</t>
  </si>
  <si>
    <t>KAISER PERMANENTE P.H.F - SANTA CLARA</t>
  </si>
  <si>
    <t>3598 HOMESTEAD RD</t>
  </si>
  <si>
    <t>Santa Clara South and West</t>
  </si>
  <si>
    <t>434220</t>
  </si>
  <si>
    <t>CRESTWOOD PSYCHIATRIC HEALTH FACILITY-SAN JOSE</t>
  </si>
  <si>
    <t>1425 FRUITDALE AVE</t>
  </si>
  <si>
    <t>440755</t>
  </si>
  <si>
    <t>SANTA CRUZ</t>
  </si>
  <si>
    <t>DOMINICAN HOSPITAL</t>
  </si>
  <si>
    <t>1555 SOQUEL DR</t>
  </si>
  <si>
    <t>95065</t>
  </si>
  <si>
    <t>Aptos/Capitola/Live Oak/Rio del Mar/Santa Cruz</t>
  </si>
  <si>
    <t>444012</t>
  </si>
  <si>
    <t>SUTTER MATERNITY AND SURGERY CENTER OF SANTA CRUZ</t>
  </si>
  <si>
    <t>2900 CHANTICLEER AVE</t>
  </si>
  <si>
    <t>444013</t>
  </si>
  <si>
    <t>WATSONVILLE COMMUNITY HOSPITAL</t>
  </si>
  <si>
    <t>75 NEILSON ST</t>
  </si>
  <si>
    <t>WATSONVILLE</t>
  </si>
  <si>
    <t>95076</t>
  </si>
  <si>
    <t>Freedom/Watsonville</t>
  </si>
  <si>
    <t>444029</t>
  </si>
  <si>
    <t>TELECARE SANTA CRUZ PHF</t>
  </si>
  <si>
    <t>2250 SOQUEL AVE</t>
  </si>
  <si>
    <t>95062</t>
  </si>
  <si>
    <t>450936</t>
  </si>
  <si>
    <t>SHASTA</t>
  </si>
  <si>
    <t>MAYERS MEMORIAL HOSPITAL</t>
  </si>
  <si>
    <t>43563 CA-299 E</t>
  </si>
  <si>
    <t>FALL RIVER MILLS</t>
  </si>
  <si>
    <t>96028</t>
  </si>
  <si>
    <t>Burney/Cassel/Fall River Mills/Hat Creek/McArthur</t>
  </si>
  <si>
    <t>450940</t>
  </si>
  <si>
    <t>SHASTA REGIONAL MEDICAL CENTER</t>
  </si>
  <si>
    <t>1100 BUTTE ST</t>
  </si>
  <si>
    <t>REDDING</t>
  </si>
  <si>
    <t>96001</t>
  </si>
  <si>
    <t>Redding</t>
  </si>
  <si>
    <t>450949</t>
  </si>
  <si>
    <t>MERCY MEDICAL CENTER - REDDING</t>
  </si>
  <si>
    <t>2175 ROSALINE AVE</t>
  </si>
  <si>
    <t>454012</t>
  </si>
  <si>
    <t>VIBRA HOSPITAL OF NORTHERN CALIFORNIA</t>
  </si>
  <si>
    <t>2801 EUREKA WAY</t>
  </si>
  <si>
    <t>454013</t>
  </si>
  <si>
    <t>PATIENTS' HOSPITAL OF REDDING</t>
  </si>
  <si>
    <t>2900 EUREKA WAY</t>
  </si>
  <si>
    <t>Investor - Individual</t>
  </si>
  <si>
    <t>454068</t>
  </si>
  <si>
    <t>RESTPADD PSYCHIATRIC HEALTH FACILITY</t>
  </si>
  <si>
    <t>2750 EUREKA WAY</t>
  </si>
  <si>
    <t>470871</t>
  </si>
  <si>
    <t>SISKIYOU</t>
  </si>
  <si>
    <t>MERCY MEDICAL CENTER MT. SHASTA</t>
  </si>
  <si>
    <t>914 PINE ST</t>
  </si>
  <si>
    <t>MOUNT SHASTA</t>
  </si>
  <si>
    <t>96067</t>
  </si>
  <si>
    <t>Carrick/Edgewood/Mount Shasta/Weed</t>
  </si>
  <si>
    <t>474007</t>
  </si>
  <si>
    <t>FAIRCHILD MEDICAL CENTER</t>
  </si>
  <si>
    <t>444 BRUCE ST</t>
  </si>
  <si>
    <t>YREKA</t>
  </si>
  <si>
    <t>96097</t>
  </si>
  <si>
    <t>Gazelle/Grenada/Hilt/Hornbrook/Yreka</t>
  </si>
  <si>
    <t>480989</t>
  </si>
  <si>
    <t>SOLANO</t>
  </si>
  <si>
    <t>KAISER FOUNDATION HOSPITAL &amp; REHAB CENTER - VALLEJO</t>
  </si>
  <si>
    <t>975 SERENO DR</t>
  </si>
  <si>
    <t>VALLEJO</t>
  </si>
  <si>
    <t>94589</t>
  </si>
  <si>
    <t>Vallejo</t>
  </si>
  <si>
    <t>481015</t>
  </si>
  <si>
    <t>ADVENTIST HEALTH VALLEJO</t>
  </si>
  <si>
    <t>525 OREGON ST</t>
  </si>
  <si>
    <t>94590</t>
  </si>
  <si>
    <t>481094</t>
  </si>
  <si>
    <t>SUTTER SOLANO MEDICAL CENTER</t>
  </si>
  <si>
    <t>300 HOSPITAL DR</t>
  </si>
  <si>
    <t>481357</t>
  </si>
  <si>
    <t>NORTHBAY MEDICAL CENTER</t>
  </si>
  <si>
    <t>1200 B GALE WILSON BLVD</t>
  </si>
  <si>
    <t>FAIRFIELD</t>
  </si>
  <si>
    <t>94533</t>
  </si>
  <si>
    <t>Fairfield</t>
  </si>
  <si>
    <t>484044</t>
  </si>
  <si>
    <t>KAISER FOUNDATION HOSPITAL - VACAVILLE</t>
  </si>
  <si>
    <t>1 QUALITY DRIVE</t>
  </si>
  <si>
    <t>VACAVILLE</t>
  </si>
  <si>
    <t>95688</t>
  </si>
  <si>
    <t>Vacaville</t>
  </si>
  <si>
    <t>484062</t>
  </si>
  <si>
    <t>CRESTWOOD SOLANO PSYCHIATRIC HEALTH FACILITY</t>
  </si>
  <si>
    <t>2201 TUOLUMNE ST</t>
  </si>
  <si>
    <t>490040</t>
  </si>
  <si>
    <t>SONOMA</t>
  </si>
  <si>
    <t>SONOMA COUNTY HEALING CENTER</t>
  </si>
  <si>
    <t>7440 RANCHO LOS GUILICOS RD</t>
  </si>
  <si>
    <t>SANTA ROSA</t>
  </si>
  <si>
    <t>95409</t>
  </si>
  <si>
    <t>Santa Rosa</t>
  </si>
  <si>
    <t>490964</t>
  </si>
  <si>
    <t>HEALDSBURG HOSPITAL</t>
  </si>
  <si>
    <t>1375 UNIVERSITY ST</t>
  </si>
  <si>
    <t>HEALDSBURG</t>
  </si>
  <si>
    <t>95448</t>
  </si>
  <si>
    <t>Geyserville/Healdsburg</t>
  </si>
  <si>
    <t>491001</t>
  </si>
  <si>
    <t>PETALUMA VALLEY HOSPITAL</t>
  </si>
  <si>
    <t>400 N MCDOWELL BLVD</t>
  </si>
  <si>
    <t>PETALUMA</t>
  </si>
  <si>
    <t>94954</t>
  </si>
  <si>
    <t>Petaluma</t>
  </si>
  <si>
    <t>491064</t>
  </si>
  <si>
    <t>PROVIDENCE SANTA ROSA MEMORIAL HOSPITAL-MONTGOMERY</t>
  </si>
  <si>
    <t>1165 MONTGOMERY DR</t>
  </si>
  <si>
    <t>95405</t>
  </si>
  <si>
    <t>491076</t>
  </si>
  <si>
    <t>SONOMA VALLEY HOSPITAL</t>
  </si>
  <si>
    <t>347 ANDRIEUX ST</t>
  </si>
  <si>
    <t>95476</t>
  </si>
  <si>
    <t>Boyes Hot Springs/Glen Ellen/Kenwood/Sonoma/Vineburg</t>
  </si>
  <si>
    <t>491338</t>
  </si>
  <si>
    <t>SONOMA SPECIALTY HOSPITAL</t>
  </si>
  <si>
    <t>501 PETALUMA AVE</t>
  </si>
  <si>
    <t>SEBASTOPOL</t>
  </si>
  <si>
    <t>95472</t>
  </si>
  <si>
    <t>Bodega/Sebastopol</t>
  </si>
  <si>
    <t>494019</t>
  </si>
  <si>
    <t>KAISER FOUNDATION HOSPITAL - SANTA ROSA</t>
  </si>
  <si>
    <t>401 BICENTENNIAL WAY</t>
  </si>
  <si>
    <t>95403</t>
  </si>
  <si>
    <t>494048</t>
  </si>
  <si>
    <t>AURORA BEHAVIORAL HEALTHCARE-SANTA ROSA, LLC</t>
  </si>
  <si>
    <t>1287 FULTON RD</t>
  </si>
  <si>
    <t>95401</t>
  </si>
  <si>
    <t>494106</t>
  </si>
  <si>
    <t>SUTTER SANTA ROSA REGIONAL HOSPITAL</t>
  </si>
  <si>
    <t>30 MARK WEST SPRINGS RD</t>
  </si>
  <si>
    <t>500852</t>
  </si>
  <si>
    <t>STANISLAUS</t>
  </si>
  <si>
    <t>DOCTORS MEDICAL CENTER</t>
  </si>
  <si>
    <t>1441 FLORIDA AVE</t>
  </si>
  <si>
    <t>MODESTO</t>
  </si>
  <si>
    <t>95350</t>
  </si>
  <si>
    <t>Modesto West</t>
  </si>
  <si>
    <t>500867</t>
  </si>
  <si>
    <t>EMANUEL MEDICAL CENTER</t>
  </si>
  <si>
    <t>825 DELBON AVE</t>
  </si>
  <si>
    <t>TURLOCK</t>
  </si>
  <si>
    <t>95382</t>
  </si>
  <si>
    <t>Denair/Turlock</t>
  </si>
  <si>
    <t>500939</t>
  </si>
  <si>
    <t>MEMORIAL MEDICAL CENTER - MODESTO</t>
  </si>
  <si>
    <t>1700 COFFEE RD</t>
  </si>
  <si>
    <t>95355</t>
  </si>
  <si>
    <t>Modesto East</t>
  </si>
  <si>
    <t>500954</t>
  </si>
  <si>
    <t>CENTRAL VALLEY SPECIALTY HOSPITAL</t>
  </si>
  <si>
    <t>730 17TH ST</t>
  </si>
  <si>
    <t>95354</t>
  </si>
  <si>
    <t>Ceres/Modesto South Central</t>
  </si>
  <si>
    <t>500967</t>
  </si>
  <si>
    <t>OAK VALLEY HOSPITAL DISTRICT</t>
  </si>
  <si>
    <t>350 S OAK AVE</t>
  </si>
  <si>
    <t>OAKDALE</t>
  </si>
  <si>
    <t>95361</t>
  </si>
  <si>
    <t>Oakdale/Riverbank</t>
  </si>
  <si>
    <t>504038</t>
  </si>
  <si>
    <t>STANISLAUS SURGICAL HOSPITAL</t>
  </si>
  <si>
    <t>1421 OAKDALE RD</t>
  </si>
  <si>
    <t>504079</t>
  </si>
  <si>
    <t>ENCOMPASS HEALTH REHABILITATION HOSPITAL OF MODESTO</t>
  </si>
  <si>
    <t>1303 MABLE AVE</t>
  </si>
  <si>
    <t>504081</t>
  </si>
  <si>
    <t>TELECARE STANISLAUS COUNTY PHF</t>
  </si>
  <si>
    <t>1904 RICHLAND AVE</t>
  </si>
  <si>
    <t>CERES</t>
  </si>
  <si>
    <t>95307</t>
  </si>
  <si>
    <t>514001</t>
  </si>
  <si>
    <t>SUTTER</t>
  </si>
  <si>
    <t>SUTTER-YUBA PSYCHIATRIC HEALTH FACILITY</t>
  </si>
  <si>
    <t>1965 LIVE OAK BLVD</t>
  </si>
  <si>
    <t>YUBA CITY</t>
  </si>
  <si>
    <t>95991</t>
  </si>
  <si>
    <t>Meridian/Robbins/Yuba City</t>
  </si>
  <si>
    <t>514005</t>
  </si>
  <si>
    <t>STABLER LANE BEHAVIORAL HEALTH</t>
  </si>
  <si>
    <t>1253 STABLER LN</t>
  </si>
  <si>
    <t>95993</t>
  </si>
  <si>
    <t>514030</t>
  </si>
  <si>
    <t>SUTTER SURGICAL HOSPITAL-NORTH VALLEY</t>
  </si>
  <si>
    <t>455 PLUMAS BLVD</t>
  </si>
  <si>
    <t>514033</t>
  </si>
  <si>
    <t>NORTH VALLEY BEHAVIORAL HEALTH</t>
  </si>
  <si>
    <t>1535 PLUMAS COURT</t>
  </si>
  <si>
    <t>521041</t>
  </si>
  <si>
    <t>TEHAMA</t>
  </si>
  <si>
    <t>ST. ELIZABETH COMMUNITY HOSPITAL</t>
  </si>
  <si>
    <t>2550 SISTER MARY COLUMBA DR</t>
  </si>
  <si>
    <t>RED BLUFF</t>
  </si>
  <si>
    <t>96080</t>
  </si>
  <si>
    <t>Gerber/Los Flores/Proberta/Red Bluff</t>
  </si>
  <si>
    <t>524017</t>
  </si>
  <si>
    <t>RESTPADD RED BLUFF PSYCHIATRIC HEALTH FACILITY</t>
  </si>
  <si>
    <t>925 WALNUT ST</t>
  </si>
  <si>
    <t>531059</t>
  </si>
  <si>
    <t>TRINITY</t>
  </si>
  <si>
    <t>TRINITY HOSPITAL</t>
  </si>
  <si>
    <t>60 EASTER AVE</t>
  </si>
  <si>
    <t>WEAVERVILLE</t>
  </si>
  <si>
    <t>96093</t>
  </si>
  <si>
    <t>Douglas City/Lewiston/Trinity Center/Weaverville</t>
  </si>
  <si>
    <t>540734</t>
  </si>
  <si>
    <t>TULARE</t>
  </si>
  <si>
    <t>KAWEAH HEALTH MEDICAL CENTER</t>
  </si>
  <si>
    <t>400 W MINERAL KING AVE</t>
  </si>
  <si>
    <t>VISALIA</t>
  </si>
  <si>
    <t>93291</t>
  </si>
  <si>
    <t>Farmersville/Goshen/Visalia</t>
  </si>
  <si>
    <t>540798</t>
  </si>
  <si>
    <t>SIERRA VIEW MEDICAL CENTER</t>
  </si>
  <si>
    <t>465 W PUTNAM AVE</t>
  </si>
  <si>
    <t>PORTERVILLE</t>
  </si>
  <si>
    <t>93257</t>
  </si>
  <si>
    <t>Alpaugh/Earlimart/Pixley/Porterville/Rich Grove/Terra Bella</t>
  </si>
  <si>
    <t>540816</t>
  </si>
  <si>
    <t>ADVENTIST HEALTH TULARE</t>
  </si>
  <si>
    <t>869 N CHERRY ST</t>
  </si>
  <si>
    <t>93274</t>
  </si>
  <si>
    <t>Tipton/Tulare/Woodville</t>
  </si>
  <si>
    <t>554011</t>
  </si>
  <si>
    <t>TUOLUMNE</t>
  </si>
  <si>
    <t>ADVENTIST HEALTH SONORA - GREENLEY</t>
  </si>
  <si>
    <t>1000 GREENLEY RD</t>
  </si>
  <si>
    <t>SONORA</t>
  </si>
  <si>
    <t>95370</t>
  </si>
  <si>
    <t>Columbia/Jamestown/Sonora</t>
  </si>
  <si>
    <t>560203</t>
  </si>
  <si>
    <t>VENTURA</t>
  </si>
  <si>
    <t>AURORA VISTA DEL MAR HOSPITAL</t>
  </si>
  <si>
    <t>801 SENECA ST</t>
  </si>
  <si>
    <t>93001</t>
  </si>
  <si>
    <t>Ventura</t>
  </si>
  <si>
    <t>560473</t>
  </si>
  <si>
    <t>COMMUNITY MEMORIAL HOSPITAL-SAN BUENAVENTURA</t>
  </si>
  <si>
    <t>147 N BRENT ST</t>
  </si>
  <si>
    <t>93003</t>
  </si>
  <si>
    <t>560481</t>
  </si>
  <si>
    <t>VENTURA COUNTY MEDICAL CENTER</t>
  </si>
  <si>
    <t>300 HILLMONT AVE</t>
  </si>
  <si>
    <t>560492</t>
  </si>
  <si>
    <t>LOS ROBLES HOSPITAL &amp; MEDICAL CENTER</t>
  </si>
  <si>
    <t>215 W JANSS RD</t>
  </si>
  <si>
    <t>THOUSAND OAKS</t>
  </si>
  <si>
    <t>91360</t>
  </si>
  <si>
    <t>District 44</t>
  </si>
  <si>
    <t>Thousand Oaks Central and West</t>
  </si>
  <si>
    <t>560501</t>
  </si>
  <si>
    <t>OJAI VALLEY COMMUNITY HOSPITAL</t>
  </si>
  <si>
    <t>1306 MARICOPA HWY</t>
  </si>
  <si>
    <t>OJAI</t>
  </si>
  <si>
    <t>93023</t>
  </si>
  <si>
    <t>Meiners Oaks/Oak View/Ojai</t>
  </si>
  <si>
    <t>560508</t>
  </si>
  <si>
    <t>ST. JOHN'S HOSPITAL CAMARILLO</t>
  </si>
  <si>
    <t>2309 ANTONIO AVE</t>
  </si>
  <si>
    <t>CAMARILLO</t>
  </si>
  <si>
    <t>93010</t>
  </si>
  <si>
    <t>Camarillo/Moorpark</t>
  </si>
  <si>
    <t>560525</t>
  </si>
  <si>
    <t>ADVENTIST HEALTH SIMI VALLEY</t>
  </si>
  <si>
    <t>2975 SYCAMORE DR</t>
  </si>
  <si>
    <t>SIMI VALLEY</t>
  </si>
  <si>
    <t>93065</t>
  </si>
  <si>
    <t>Simi Valley East</t>
  </si>
  <si>
    <t>560529</t>
  </si>
  <si>
    <t>ST. JOHNS REGIONAL MEDICAL CENTER</t>
  </si>
  <si>
    <t>1600 N ROSE AVE</t>
  </si>
  <si>
    <t>OXNARD</t>
  </si>
  <si>
    <t>93030</t>
  </si>
  <si>
    <t>Oxnard North Central</t>
  </si>
  <si>
    <t>571086</t>
  </si>
  <si>
    <t>YOLO</t>
  </si>
  <si>
    <t>WOODLAND MEMORIAL HOSPITAL</t>
  </si>
  <si>
    <t>1325 COTTONWOOD ST</t>
  </si>
  <si>
    <t>WOODLAND</t>
  </si>
  <si>
    <t>95695</t>
  </si>
  <si>
    <t>Woodland</t>
  </si>
  <si>
    <t>574010</t>
  </si>
  <si>
    <t>SUTTER DAVIS HOSPITAL</t>
  </si>
  <si>
    <t>2000 SUTTER PL</t>
  </si>
  <si>
    <t>DAVIS</t>
  </si>
  <si>
    <t>95616</t>
  </si>
  <si>
    <t>Davis</t>
  </si>
  <si>
    <t>580996</t>
  </si>
  <si>
    <t>YUBA</t>
  </si>
  <si>
    <t>ADVENTIST HEALTH AND RIDEOUT</t>
  </si>
  <si>
    <t>726 FOURTH ST</t>
  </si>
  <si>
    <t>MARYSVILLE</t>
  </si>
  <si>
    <t>95901</t>
  </si>
  <si>
    <t>Marysville</t>
  </si>
  <si>
    <t>State of California</t>
  </si>
  <si>
    <t>Department of Health Care Access and Information</t>
  </si>
  <si>
    <t>July 2023</t>
  </si>
  <si>
    <r>
      <rPr>
        <rFont val="Arial"/>
        <b/>
        <color theme="1"/>
        <sz val="8.0"/>
      </rPr>
      <t>NOTE:</t>
    </r>
    <r>
      <rPr>
        <rFont val="Arial"/>
        <b val="0"/>
        <color theme="1"/>
        <sz val="8.0"/>
      </rPr>
      <t xml:space="preserve"> The Patient Discharge Data Pivot Profile uses the data from all hospitals reporting during the discharge year.  No adjustments have been made to the data for any hospitals with reporting modifications, non-compliances, data anomalies, or shortened report periods due to facility openings, closures, or consolidations.  The data is aggregated at the facility level.  </t>
    </r>
    <r>
      <rPr>
        <rFont val="Arial"/>
        <b/>
        <color theme="1"/>
        <sz val="8.0"/>
      </rPr>
      <t>Therefore, it does not contain individually identifiable health information.</t>
    </r>
  </si>
  <si>
    <t>INSTRUCTIONS FOR USING THE PIVOT PROFILE:</t>
  </si>
  <si>
    <r>
      <rPr>
        <rFont val="Arial"/>
        <b/>
        <color theme="1"/>
        <sz val="8.0"/>
      </rPr>
      <t>1.</t>
    </r>
    <r>
      <rPr>
        <rFont val="Arial"/>
        <b val="0"/>
        <color theme="1"/>
        <sz val="8.0"/>
      </rPr>
      <t xml:space="preserve">  Make your subsetting selections from the pulldown arrows on the </t>
    </r>
    <r>
      <rPr>
        <rFont val="Arial"/>
        <b/>
        <color theme="1"/>
        <sz val="8.0"/>
      </rPr>
      <t>"PIVOT</t>
    </r>
    <r>
      <rPr>
        <rFont val="Arial"/>
        <b val="0"/>
        <color theme="1"/>
        <sz val="8.0"/>
      </rPr>
      <t xml:space="preserve">" worksheet.  Note: Selecting incompatible parameters (e.g. incorrect county for a facility) may yield errors on the </t>
    </r>
    <r>
      <rPr>
        <rFont val="Arial"/>
        <b/>
        <color theme="1"/>
        <sz val="8.0"/>
      </rPr>
      <t>"PROFILE</t>
    </r>
    <r>
      <rPr>
        <rFont val="Arial"/>
        <b val="0"/>
        <color theme="1"/>
        <sz val="8.0"/>
      </rPr>
      <t xml:space="preserve">".  To get </t>
    </r>
    <r>
      <rPr>
        <rFont val="Arial"/>
        <b/>
        <color theme="1"/>
        <sz val="8.0"/>
      </rPr>
      <t>Statewide</t>
    </r>
    <r>
      <rPr>
        <rFont val="Arial"/>
        <b val="0"/>
        <color theme="1"/>
        <sz val="8.0"/>
      </rPr>
      <t xml:space="preserve"> totals, select </t>
    </r>
    <r>
      <rPr>
        <rFont val="Arial"/>
        <b/>
        <color theme="1"/>
        <sz val="8.0"/>
      </rPr>
      <t>"All."</t>
    </r>
  </si>
  <si>
    <r>
      <rPr>
        <rFont val="Arial"/>
        <b/>
        <color theme="1"/>
        <sz val="8.0"/>
      </rPr>
      <t>2.</t>
    </r>
    <r>
      <rPr>
        <rFont val="Arial"/>
        <b val="0"/>
        <color theme="1"/>
        <sz val="8.0"/>
      </rPr>
      <t xml:space="preserve">  Click on the </t>
    </r>
    <r>
      <rPr>
        <rFont val="Arial"/>
        <b/>
        <color theme="1"/>
        <sz val="8.0"/>
      </rPr>
      <t>"PROFILE"</t>
    </r>
    <r>
      <rPr>
        <rFont val="Arial"/>
        <b val="0"/>
        <color theme="1"/>
        <sz val="8.0"/>
      </rPr>
      <t xml:space="preserve"> worksheet tab to view your results.</t>
    </r>
  </si>
  <si>
    <r>
      <rPr>
        <rFont val="Arial"/>
        <b/>
        <color theme="1"/>
        <sz val="8.0"/>
      </rPr>
      <t>3.  Database</t>
    </r>
    <r>
      <rPr>
        <rFont val="Arial"/>
        <b val="0"/>
        <color theme="1"/>
        <sz val="8.0"/>
      </rPr>
      <t xml:space="preserve">:  The background data that is necessary to run the pivot table is located in the </t>
    </r>
    <r>
      <rPr>
        <rFont val="Arial"/>
        <b/>
        <color theme="1"/>
        <sz val="8.0"/>
      </rPr>
      <t>"DATA"</t>
    </r>
    <r>
      <rPr>
        <rFont val="Arial"/>
        <b val="0"/>
        <color theme="1"/>
        <sz val="8.0"/>
      </rPr>
      <t xml:space="preserve"> worksheet.  </t>
    </r>
    <r>
      <rPr>
        <rFont val="Arial"/>
        <b/>
        <color theme="1"/>
        <sz val="8.0"/>
      </rPr>
      <t>DO NOT MAKE ANY CHANGES TO THIS WORKSHEET, AS IT CONTAINS MANY LINKS, FORMULAS AND CUSTOM FORMATS THAT CAN EASILY BE CORRUPTED.</t>
    </r>
    <r>
      <rPr>
        <rFont val="Arial"/>
        <b val="0"/>
        <color theme="1"/>
        <sz val="8.0"/>
      </rPr>
      <t xml:space="preserve">  If you would like to use the data in the </t>
    </r>
    <r>
      <rPr>
        <rFont val="Arial"/>
        <b/>
        <color theme="1"/>
        <sz val="8.0"/>
      </rPr>
      <t>"DATA"</t>
    </r>
    <r>
      <rPr>
        <rFont val="Arial"/>
        <b val="0"/>
        <color theme="1"/>
        <sz val="8.0"/>
      </rPr>
      <t xml:space="preserve"> worksheet, make a copy of it and use the copy (in Excel, 'Copy Sheet' function).</t>
    </r>
  </si>
  <si>
    <t>DATA REFERENCES/NOTES:</t>
  </si>
  <si>
    <r>
      <rPr>
        <rFont val="Arial"/>
        <color theme="1"/>
        <sz val="8.0"/>
      </rPr>
      <t xml:space="preserve">The purpose of the following notes is to help the data user understand the categorization of selected profile tables.  Detailed information regarding the individual data elements can be found in the </t>
    </r>
    <r>
      <rPr>
        <rFont val="Arial"/>
        <b/>
        <i/>
        <color theme="1"/>
        <sz val="8.0"/>
        <u/>
      </rPr>
      <t>California Inpatient Data Reporting Manual</t>
    </r>
    <r>
      <rPr>
        <rFont val="Arial"/>
        <color theme="1"/>
        <sz val="8.0"/>
      </rPr>
      <t xml:space="preserve"> on the OSHPD web site (</t>
    </r>
    <r>
      <rPr>
        <rFont val="Arial"/>
        <b/>
        <color theme="1"/>
        <sz val="8.0"/>
        <u/>
      </rPr>
      <t>www.oshpd.ca.gov</t>
    </r>
    <r>
      <rPr>
        <rFont val="Arial"/>
        <color theme="1"/>
        <sz val="8.0"/>
      </rPr>
      <t>).</t>
    </r>
  </si>
  <si>
    <t>Disposition</t>
  </si>
  <si>
    <t>Description</t>
  </si>
  <si>
    <r>
      <rPr>
        <rFont val="Arial"/>
        <b/>
        <color theme="1"/>
        <sz val="8.0"/>
      </rPr>
      <t>02</t>
    </r>
    <r>
      <rPr>
        <rFont val="Arial"/>
        <color theme="1"/>
        <sz val="8.0"/>
      </rPr>
      <t xml:space="preserve">=Discharged/transferred to a short term general hospital for inpatient care
</t>
    </r>
    <r>
      <rPr>
        <rFont val="Arial"/>
        <b/>
        <color theme="1"/>
        <sz val="8.0"/>
      </rPr>
      <t>82</t>
    </r>
    <r>
      <rPr>
        <rFont val="Arial"/>
        <color theme="1"/>
        <sz val="8.0"/>
      </rPr>
      <t xml:space="preserve">=Discharged/Transferred to a Short Term General Hospital for Inpatient Care with a Planned Acute Care Hospital Inpatient Readmission
</t>
    </r>
    <r>
      <rPr>
        <rFont val="Arial"/>
        <b/>
        <color theme="1"/>
        <sz val="8.0"/>
      </rPr>
      <t>63</t>
    </r>
    <r>
      <rPr>
        <rFont val="Arial"/>
        <color theme="1"/>
        <sz val="8.0"/>
      </rPr>
      <t xml:space="preserve">=Discharged/transferred to a Medicare certified long term care hospital (LTCH)
</t>
    </r>
    <r>
      <rPr>
        <rFont val="Arial"/>
        <b/>
        <color theme="1"/>
        <sz val="8.0"/>
      </rPr>
      <t>91</t>
    </r>
    <r>
      <rPr>
        <rFont val="Arial"/>
        <color theme="1"/>
        <sz val="8.0"/>
      </rPr>
      <t xml:space="preserve">=Discharged/Transferred to a Medicare certified Long Term Care Hospital (LTCH) with a Planned Acute Care Hospital Inpatient Readmission
</t>
    </r>
    <r>
      <rPr>
        <rFont val="Arial"/>
        <b/>
        <color theme="1"/>
        <sz val="8.0"/>
      </rPr>
      <t>43</t>
    </r>
    <r>
      <rPr>
        <rFont val="Arial"/>
        <color theme="1"/>
        <sz val="8.0"/>
      </rPr>
      <t xml:space="preserve">=Discharged/transferred to a federal health care facility
</t>
    </r>
    <r>
      <rPr>
        <rFont val="Arial"/>
        <b/>
        <color theme="1"/>
        <sz val="8.0"/>
      </rPr>
      <t>88</t>
    </r>
    <r>
      <rPr>
        <rFont val="Arial"/>
        <color theme="1"/>
        <sz val="8.0"/>
      </rPr>
      <t>=Discharged/Transferred to a Federal Health Care Facility with a Planned Acute Care Hospital Inpatient Readmission</t>
    </r>
  </si>
  <si>
    <r>
      <rPr>
        <rFont val="Arial"/>
        <b/>
        <color theme="1"/>
        <sz val="8.0"/>
      </rPr>
      <t>07</t>
    </r>
    <r>
      <rPr>
        <rFont val="Arial"/>
        <color theme="1"/>
        <sz val="8.0"/>
      </rPr>
      <t>=Left against medical advice or discontinued care</t>
    </r>
  </si>
  <si>
    <t>Children's Hospital or Cancer Center</t>
  </si>
  <si>
    <r>
      <rPr>
        <rFont val="Arial"/>
        <b/>
        <color theme="1"/>
        <sz val="8.0"/>
      </rPr>
      <t>05</t>
    </r>
    <r>
      <rPr>
        <rFont val="Arial"/>
        <color theme="1"/>
        <sz val="8.0"/>
      </rPr>
      <t xml:space="preserve">=Discharged/transferred to a designated cancer center or children’s hospital
</t>
    </r>
    <r>
      <rPr>
        <rFont val="Arial"/>
        <b/>
        <color theme="1"/>
        <sz val="8.0"/>
      </rPr>
      <t>85</t>
    </r>
    <r>
      <rPr>
        <rFont val="Arial"/>
        <color theme="1"/>
        <sz val="8.0"/>
      </rPr>
      <t>=Discharged/Transferred to a designated Cancer Center or Children's Hospital with a Planned Acute Care Hospital Inpatient Readmission</t>
    </r>
  </si>
  <si>
    <r>
      <rPr>
        <rFont val="Arial"/>
        <b/>
        <color theme="1"/>
        <sz val="8.0"/>
      </rPr>
      <t>21</t>
    </r>
    <r>
      <rPr>
        <rFont val="Arial"/>
        <color theme="1"/>
        <sz val="8.0"/>
      </rPr>
      <t xml:space="preserve">=Discharged/transferred to court/law enforcement
</t>
    </r>
    <r>
      <rPr>
        <rFont val="Arial"/>
        <b/>
        <color theme="1"/>
        <sz val="8.0"/>
      </rPr>
      <t>87</t>
    </r>
    <r>
      <rPr>
        <rFont val="Arial"/>
        <color theme="1"/>
        <sz val="8.0"/>
      </rPr>
      <t>=Discharged/Transferred to Court/Law Enforcement with a Planned Acute Care Hospital Inpatient Readmission</t>
    </r>
  </si>
  <si>
    <r>
      <rPr>
        <rFont val="Arial"/>
        <b/>
        <color theme="1"/>
        <sz val="8.0"/>
      </rPr>
      <t>66</t>
    </r>
    <r>
      <rPr>
        <rFont val="Arial"/>
        <color theme="1"/>
        <sz val="8.0"/>
      </rPr>
      <t xml:space="preserve">=Discharged/transferred to a Critical Access Hospital (CAH)
</t>
    </r>
    <r>
      <rPr>
        <rFont val="Arial"/>
        <b/>
        <color theme="1"/>
        <sz val="8.0"/>
      </rPr>
      <t>94</t>
    </r>
    <r>
      <rPr>
        <rFont val="Arial"/>
        <color theme="1"/>
        <sz val="8.0"/>
      </rPr>
      <t>=Discharged/Transferred to a Critical Access Hospital (CAH) with a Planned Acute Care Hospital Inpatient Readmission</t>
    </r>
  </si>
  <si>
    <r>
      <rPr>
        <rFont val="Arial"/>
        <b/>
        <color theme="1"/>
        <sz val="8.0"/>
      </rPr>
      <t>20</t>
    </r>
    <r>
      <rPr>
        <rFont val="Arial"/>
        <color theme="1"/>
        <sz val="8.0"/>
      </rPr>
      <t>=Expired</t>
    </r>
  </si>
  <si>
    <r>
      <rPr>
        <rFont val="Arial"/>
        <b/>
        <color theme="1"/>
        <sz val="8.0"/>
      </rPr>
      <t>69</t>
    </r>
    <r>
      <rPr>
        <rFont val="Arial"/>
        <color theme="1"/>
        <sz val="8.0"/>
      </rPr>
      <t>=Discharged/Transferred to a designated Disaster Alternative Care Site</t>
    </r>
  </si>
  <si>
    <t>Home Health Services</t>
  </si>
  <si>
    <r>
      <rPr>
        <rFont val="Arial"/>
        <b/>
        <color theme="1"/>
        <sz val="8.0"/>
      </rPr>
      <t>06</t>
    </r>
    <r>
      <rPr>
        <rFont val="Arial"/>
        <color theme="1"/>
        <sz val="8.0"/>
      </rPr>
      <t xml:space="preserve">=Discharged/transferred to home under care of organized home health service organization in anticipation of covered skilled care
</t>
    </r>
    <r>
      <rPr>
        <rFont val="Arial"/>
        <b/>
        <color theme="1"/>
        <sz val="8.0"/>
      </rPr>
      <t>86</t>
    </r>
    <r>
      <rPr>
        <rFont val="Arial"/>
        <color theme="1"/>
        <sz val="8.0"/>
      </rPr>
      <t>=Discharged/Transferred to home under care of organized home health service organization with a Planned Acute Care Hospital Inpatient Readmission</t>
    </r>
  </si>
  <si>
    <r>
      <rPr>
        <rFont val="Arial"/>
        <b/>
        <color theme="1"/>
        <sz val="8.0"/>
      </rPr>
      <t>50</t>
    </r>
    <r>
      <rPr>
        <rFont val="Arial"/>
        <color theme="1"/>
        <sz val="8.0"/>
      </rPr>
      <t xml:space="preserve">=Discharged home with hospice care
</t>
    </r>
    <r>
      <rPr>
        <rFont val="Arial"/>
        <b/>
        <color theme="1"/>
        <sz val="8.0"/>
      </rPr>
      <t>51</t>
    </r>
    <r>
      <rPr>
        <rFont val="Arial"/>
        <color theme="1"/>
        <sz val="8.0"/>
      </rPr>
      <t>=Discharged to a medical facility with hospice care</t>
    </r>
  </si>
  <si>
    <r>
      <rPr>
        <rFont val="Arial"/>
        <b/>
        <color theme="1"/>
        <sz val="8.0"/>
      </rPr>
      <t>62</t>
    </r>
    <r>
      <rPr>
        <rFont val="Arial"/>
        <color theme="1"/>
        <sz val="8.0"/>
      </rPr>
      <t xml:space="preserve">=Discharged/transferred to an inpatient rehabilitation facility (IRF) including a rehabilitation distinct part unit of a hospital
</t>
    </r>
    <r>
      <rPr>
        <rFont val="Arial"/>
        <b/>
        <color theme="1"/>
        <sz val="8.0"/>
      </rPr>
      <t>90</t>
    </r>
    <r>
      <rPr>
        <rFont val="Arial"/>
        <color theme="1"/>
        <sz val="8.0"/>
      </rPr>
      <t>=Discharged/Transferred to an Inpatient Rehabilitation Facility (IRF) including Rehabilitation Distinct Part Unit of a Hospital with a Planned Acute Care Hospital Inpatient Readmission</t>
    </r>
  </si>
  <si>
    <t>Invalid/Blank</t>
  </si>
  <si>
    <r>
      <rPr>
        <rFont val="Arial"/>
        <b/>
        <color theme="1"/>
        <sz val="8.0"/>
      </rPr>
      <t>99</t>
    </r>
    <r>
      <rPr>
        <rFont val="Arial"/>
        <color theme="1"/>
        <sz val="8.0"/>
      </rPr>
      <t>=Invalid/Missing</t>
    </r>
  </si>
  <si>
    <r>
      <rPr>
        <rFont val="Arial"/>
        <b/>
        <color theme="1"/>
        <sz val="8.0"/>
      </rPr>
      <t>70</t>
    </r>
    <r>
      <rPr>
        <rFont val="Arial"/>
        <color theme="1"/>
        <sz val="8.0"/>
      </rPr>
      <t xml:space="preserve">=Discharged/transferred to another type of health care institution not defined elsewhere in this code list
</t>
    </r>
    <r>
      <rPr>
        <rFont val="Arial"/>
        <b/>
        <color theme="1"/>
        <sz val="8.0"/>
      </rPr>
      <t>95</t>
    </r>
    <r>
      <rPr>
        <rFont val="Arial"/>
        <color theme="1"/>
        <sz val="8.0"/>
      </rPr>
      <t>=Discharged/Transferred to another type of health care institution not defined elsewhere in this code list with a Planned Acute Care Hospital Inpatient Readmission</t>
    </r>
  </si>
  <si>
    <r>
      <rPr>
        <rFont val="Arial"/>
        <b/>
        <color theme="1"/>
        <sz val="8.0"/>
      </rPr>
      <t>00</t>
    </r>
    <r>
      <rPr>
        <rFont val="Arial"/>
        <color theme="1"/>
        <sz val="8.0"/>
      </rPr>
      <t>=Other</t>
    </r>
  </si>
  <si>
    <r>
      <rPr>
        <rFont val="Arial"/>
        <b/>
        <color theme="1"/>
        <sz val="8.0"/>
      </rPr>
      <t>65</t>
    </r>
    <r>
      <rPr>
        <rFont val="Arial"/>
        <color theme="1"/>
        <sz val="8.0"/>
      </rPr>
      <t xml:space="preserve">=Discharged/transferred to a psychiatric hospital or psychiatric distinct part unit of a hospital
</t>
    </r>
    <r>
      <rPr>
        <rFont val="Arial"/>
        <b/>
        <color theme="1"/>
        <sz val="8.0"/>
      </rPr>
      <t>93</t>
    </r>
    <r>
      <rPr>
        <rFont val="Arial"/>
        <color theme="1"/>
        <sz val="8.0"/>
      </rPr>
      <t>=Discharged/Transferred to a Psychiatric Hospital or Psychiatric Distinct Part Unit of a Hospital with a Planned Acute Care Hospital Inpatient Readmission</t>
    </r>
  </si>
  <si>
    <r>
      <rPr>
        <rFont val="Arial"/>
        <b/>
        <color theme="1"/>
        <sz val="8.0"/>
      </rPr>
      <t>04</t>
    </r>
    <r>
      <rPr>
        <rFont val="Arial"/>
        <color theme="1"/>
        <sz val="8.0"/>
      </rPr>
      <t xml:space="preserve">=Discharged/transferred to a facility that provides custodial or supportive care
</t>
    </r>
    <r>
      <rPr>
        <rFont val="Arial"/>
        <b/>
        <color theme="1"/>
        <sz val="8.0"/>
      </rPr>
      <t>84</t>
    </r>
    <r>
      <rPr>
        <rFont val="Arial"/>
        <color theme="1"/>
        <sz val="8.0"/>
      </rPr>
      <t>=Discharged/Transferred to a facility that provides custodial or supportive care (includes intermediate care facility) with a Planned Acute Care Hospital Inpatient Readmission</t>
    </r>
  </si>
  <si>
    <t>Routine</t>
  </si>
  <si>
    <r>
      <rPr>
        <rFont val="Arial"/>
        <b/>
        <color theme="1"/>
        <sz val="8.0"/>
      </rPr>
      <t>01</t>
    </r>
    <r>
      <rPr>
        <rFont val="Arial"/>
        <color theme="1"/>
        <sz val="8.0"/>
      </rPr>
      <t xml:space="preserve">=Discharged to home or self care (routine discharge) o
</t>
    </r>
    <r>
      <rPr>
        <rFont val="Arial"/>
        <b/>
        <color theme="1"/>
        <sz val="8.0"/>
      </rPr>
      <t>81</t>
    </r>
    <r>
      <rPr>
        <rFont val="Arial"/>
        <color theme="1"/>
        <sz val="8.0"/>
      </rPr>
      <t>=Discharged/Transferred to Home or Self Care with a Planned Acute Care Hospital Inpatient Readmission</t>
    </r>
  </si>
  <si>
    <r>
      <rPr>
        <rFont val="Arial"/>
        <b/>
        <color theme="1"/>
        <sz val="8.0"/>
      </rPr>
      <t>03</t>
    </r>
    <r>
      <rPr>
        <rFont val="Arial"/>
        <color theme="1"/>
        <sz val="8.0"/>
      </rPr>
      <t xml:space="preserve">=Discharged/transferred to skilled nursing facility (SNF) with Medicare certification in anticipation of covered skilled care
</t>
    </r>
    <r>
      <rPr>
        <rFont val="Arial"/>
        <b/>
        <color theme="1"/>
        <sz val="8.0"/>
      </rPr>
      <t>83</t>
    </r>
    <r>
      <rPr>
        <rFont val="Arial"/>
        <color theme="1"/>
        <sz val="8.0"/>
      </rPr>
      <t xml:space="preserve">=Discharged/Transferred to Skilled Nursing Facility (SNF) with Medicare Certification with a Planned Acute Care Hospital Inpatient Readmission
</t>
    </r>
    <r>
      <rPr>
        <rFont val="Arial"/>
        <b/>
        <color theme="1"/>
        <sz val="8.0"/>
      </rPr>
      <t>61</t>
    </r>
    <r>
      <rPr>
        <rFont val="Arial"/>
        <color theme="1"/>
        <sz val="8.0"/>
      </rPr>
      <t xml:space="preserve">=Discharged/transferred to a hospital-based Medicare approved swing bed
</t>
    </r>
    <r>
      <rPr>
        <rFont val="Arial"/>
        <b/>
        <color theme="1"/>
        <sz val="8.0"/>
      </rPr>
      <t>89</t>
    </r>
    <r>
      <rPr>
        <rFont val="Arial"/>
        <color theme="1"/>
        <sz val="8.0"/>
      </rPr>
      <t xml:space="preserve">=Discharged/Transferred to a hospital-based Medicare approved swing bed with a Planned Acute Care Hospital Inpatient Readmission
</t>
    </r>
    <r>
      <rPr>
        <rFont val="Arial"/>
        <b/>
        <color theme="1"/>
        <sz val="8.0"/>
      </rPr>
      <t>64</t>
    </r>
    <r>
      <rPr>
        <rFont val="Arial"/>
        <color theme="1"/>
        <sz val="8.0"/>
      </rPr>
      <t xml:space="preserve">=Discharged/transferred to a nursing facility certified under Medicaid (Medi-Cal), but not certified under Medicare
</t>
    </r>
    <r>
      <rPr>
        <rFont val="Arial"/>
        <b/>
        <color theme="1"/>
        <sz val="8.0"/>
      </rPr>
      <t>92</t>
    </r>
    <r>
      <rPr>
        <rFont val="Arial"/>
        <color theme="1"/>
        <sz val="8.0"/>
      </rPr>
      <t>=Discharged/Transferred to a Nursing Facility certified under Medicaid (Medi-Cal), but not certified under Medicare with a Planned Acute Care Hospital Inpatient Readmission</t>
    </r>
  </si>
  <si>
    <t>Expected Payer Source</t>
  </si>
  <si>
    <t>01-A federally administered third party reimbursement program authorized by Title XVIII of the Social Security Act. Includes crossovers to secondary payers.</t>
  </si>
  <si>
    <t>02-A state administered third party reimbursement program authorized by Title XIX of the Social Security Act.</t>
  </si>
  <si>
    <t>03-Payment covered by private, non-profit, or commercial health plans, whether insurance or other coverage, or organizations. Included are payments by local or organized charities, such as the Cerebral Palsy Foundation, Easter Seals, March of Dimes, or Shriners.</t>
  </si>
  <si>
    <t>04-Payment from workers’ compensation insurance, government or privately sponsored.</t>
  </si>
  <si>
    <t>05-Patients covered under Welfare and Institutions Code Section 17000. Includes programs funded in whole or in part by County Medical Services Program (CMSP), California Healthcare for Indigents Program (CHIP), and/or Realignment Funds whether or not a bill is rendered.</t>
  </si>
  <si>
    <t>06-Any form of payment from government agencies, whether local, state, federal, or foreign, except those already specified. Includes funds received through the California Children Services (CCS), the Civilian Health and Medical Program of the Uniformed Services (TRICARE), and the Veterans Administration.</t>
  </si>
  <si>
    <t>07-Patients receiving care pursuant to Hill-Burton obligations or who meet the standards for charity care pursuant to the hospital's established charity care policy.</t>
  </si>
  <si>
    <t>Self-pay</t>
  </si>
  <si>
    <t>08-Payment directly by the patient, personal guarantor, relatives, or friends. The greatest share of the patient’s bill is not expected to be paid by any form of insurance or other health plan.</t>
  </si>
  <si>
    <t>09-Any third party payment not included in any other category.  Included are cases where no payment will be required by the facility, such as special research or courtesy patients.</t>
  </si>
  <si>
    <t>Unknown</t>
  </si>
  <si>
    <t>00-Invalid/Blank</t>
  </si>
  <si>
    <t>Principal Diagnosis Group (based on CCSR Grouping)</t>
  </si>
  <si>
    <r>
      <rPr>
        <rFont val="Arial"/>
        <b/>
        <color theme="1"/>
        <sz val="8.0"/>
      </rPr>
      <t xml:space="preserve">Principal Diagnosis (ICD-10-CM) Code Range
</t>
    </r>
    <r>
      <rPr>
        <rFont val="Arial"/>
        <b val="0"/>
        <color theme="1"/>
        <sz val="8.0"/>
      </rPr>
      <t>These ranges reflect the majority of codes in this grouping, not the entirety of codes.</t>
    </r>
  </si>
  <si>
    <t>P00-P96; Z38</t>
  </si>
  <si>
    <t>O00-O99; O9A; Z30-Z37</t>
  </si>
  <si>
    <t>Q00-Q99</t>
  </si>
  <si>
    <t>D50-D89</t>
  </si>
  <si>
    <t>I01-I99</t>
  </si>
  <si>
    <t>K00-K95</t>
  </si>
  <si>
    <t>N00-N99</t>
  </si>
  <si>
    <t>M00-M99</t>
  </si>
  <si>
    <t>G00-G99; H00-H95</t>
  </si>
  <si>
    <t>J00-J99</t>
  </si>
  <si>
    <t>L00-L99</t>
  </si>
  <si>
    <t>E00-E88</t>
  </si>
  <si>
    <t>A15-A99; B00-B99</t>
  </si>
  <si>
    <t>S00-S99; T14-T88</t>
  </si>
  <si>
    <t>F01-F99</t>
  </si>
  <si>
    <t>C00-C96; D00-D49</t>
  </si>
  <si>
    <t>Residual codes; unclassified; External Cause codes</t>
  </si>
  <si>
    <t>Varied Codes within T and Z</t>
  </si>
  <si>
    <t>Varied Codes within I, L, R, T, Z</t>
  </si>
  <si>
    <t>Not Valid as Principal Diagnosis</t>
  </si>
  <si>
    <t>The supplied principal diagnosis is not considered valid in that position.</t>
  </si>
  <si>
    <t>* Clinical Classifications Software Refined (CCSR).  For more information:https://www.hcup-us.ahrq.gov/toolssoftware/ccsr/ccs_refined.jsp</t>
  </si>
  <si>
    <t xml:space="preserve">Principal Procedure Group (based on CCS Grouping), </t>
  </si>
  <si>
    <r>
      <rPr>
        <rFont val="Arial"/>
        <b/>
        <color theme="1"/>
        <sz val="8.0"/>
      </rPr>
      <t xml:space="preserve">Principal Procedure (ICD-10-PCS) Code Range**
</t>
    </r>
    <r>
      <rPr>
        <rFont val="Arial"/>
        <b val="0"/>
        <color theme="1"/>
        <sz val="8.0"/>
      </rPr>
      <t>These ranges reflect the majority of codes in this grouping, not the entirety of codes.</t>
    </r>
  </si>
  <si>
    <t xml:space="preserve">F0, 2W, B5, 3E, B3 </t>
  </si>
  <si>
    <t>02, 03, 04, 05, 06</t>
  </si>
  <si>
    <t>0D, 0F, 0W</t>
  </si>
  <si>
    <t>09</t>
  </si>
  <si>
    <t>0G</t>
  </si>
  <si>
    <t>Operations on the female genital organs</t>
  </si>
  <si>
    <t>0U</t>
  </si>
  <si>
    <t>07</t>
  </si>
  <si>
    <t>0J, 0H</t>
  </si>
  <si>
    <t>Operations on the male genital organs</t>
  </si>
  <si>
    <t>0V</t>
  </si>
  <si>
    <t>0P-0S, 0K-0N, 0X, 0Y</t>
  </si>
  <si>
    <t>00, 01</t>
  </si>
  <si>
    <t>0C, 0W</t>
  </si>
  <si>
    <t>0B, 0W</t>
  </si>
  <si>
    <t>0T</t>
  </si>
  <si>
    <t>-</t>
  </si>
  <si>
    <t>* Clinical Classifications Software Refined (CCSR).  For more information:https: //www.hcup-us.ahrq.gov/toolssoftware/ccsr/ccs_refined.jsp</t>
  </si>
  <si>
    <t>** The first two digits of the code groupings are shown. These ranges reflect the majority of codes in this grouping, not the entirety of codes.</t>
  </si>
  <si>
    <t>Newborn Admit Type</t>
  </si>
  <si>
    <t>This count includes 'Born in this Hospital', 'Born outside of this hospital' and those records with an 'illogical source of admission'.  These are records where the Admit Type is 'Newborn' but the Site of Admission indicattes something other than the expected categories listed above.</t>
  </si>
  <si>
    <t>Homeless</t>
  </si>
  <si>
    <t>Hospitals are instructed to report a patient zip code of 'ZZZZZ' for patients who lack a residence.  The counts of 'Homeless' patients are based solely on reported patient zip code.</t>
  </si>
  <si>
    <t>Data De-identification and Masking</t>
  </si>
  <si>
    <t>Variables requiring masking:</t>
  </si>
  <si>
    <t>Age Group, Race Group, Ethnicity, Principal Diagnosis Group*, Preferred Language Spoken, Point of Origin, Admission Type</t>
  </si>
  <si>
    <t xml:space="preserve">*Only conditions originating in the perinatal period and diagnoses related to pregnancy and childbirth were masked for cells &lt; 11.  </t>
  </si>
  <si>
    <t>Other', 'Blank/Invalid', and 'Unknown' variabls were not masked unless needed for complementary masking.</t>
  </si>
  <si>
    <t>For variables requiring masking, cells with &lt; 11 were combined with Other_Unknown.</t>
  </si>
  <si>
    <t>The data de-identification guidelines can be found here:</t>
  </si>
  <si>
    <t>https://chhsdata.github.io/dataplaybook/documents/CHHS-DDG-V1.0-092316.pdf</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</si>
</sst>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09]mmmm\ d\,\ yyyy"/>
    <numFmt numFmtId="165" formatCode="0.0%"/>
    <numFmt numFmtId="166" formatCode="#,##0.0"/>
    <numFmt numFmtId="167" formatCode="_(* #,##0_);_(* \(#,##0\);_(* &quot;-&quot;??_);_(@_)"/>
  </numFmts>
  <fonts count="19">
    <font>
      <sz val="10.0"/>
      <color rgb="FF000000"/>
      <name val="Open Sans"/>
      <scheme val="minor"/>
    </font>
    <font>
      <sz val="14.0"/>
      <color theme="1"/>
      <name val="Arial"/>
    </font>
    <font/>
    <font>
      <sz val="8.0"/>
      <color theme="1"/>
      <name val="Arial"/>
    </font>
    <font>
      <sz val="9.0"/>
      <color theme="1"/>
      <name val="Arial"/>
    </font>
    <font>
      <b/>
      <sz val="12.0"/>
      <color theme="1"/>
      <name val="Arial"/>
    </font>
    <font>
      <b/>
      <sz val="10.0"/>
      <color theme="1"/>
      <name val="Arial"/>
    </font>
    <font>
      <sz val="10.0"/>
      <color theme="1"/>
      <name val="Arial"/>
    </font>
    <font>
      <b/>
      <sz val="8.0"/>
      <color rgb="FFFF0000"/>
      <name val="Arial"/>
    </font>
    <font>
      <sz val="16.0"/>
      <color theme="1"/>
      <name val="Arial"/>
    </font>
    <font>
      <b/>
      <sz val="10.0"/>
      <color rgb="FFFFFFFF"/>
      <name val="Arial"/>
    </font>
    <font>
      <sz val="8.0"/>
      <color rgb="FFFFFFFF"/>
      <name val="Arial"/>
    </font>
    <font>
      <sz val="10.0"/>
      <color theme="1"/>
      <name val="Open Sans"/>
    </font>
    <font>
      <i/>
      <sz val="8.0"/>
      <color theme="1"/>
      <name val="Arial"/>
    </font>
    <font>
      <b/>
      <sz val="10.0"/>
      <color rgb="FFFF0000"/>
      <name val="Arial"/>
    </font>
    <font>
      <sz val="14.0"/>
      <color theme="1"/>
      <name val="Calibri"/>
    </font>
    <font>
      <sz val="11.0"/>
      <color theme="1"/>
      <name val="Calibri"/>
    </font>
    <font>
      <b/>
      <sz val="8.0"/>
      <color theme="1"/>
      <name val="Arial"/>
    </font>
    <font>
      <u/>
      <sz val="9.0"/>
      <color theme="10"/>
      <name val="Arial"/>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theme="0"/>
        <bgColor theme="0"/>
      </patternFill>
    </fill>
    <fill>
      <patternFill patternType="solid">
        <fgColor rgb="FFC6D9F0"/>
        <bgColor rgb="FFC6D9F0"/>
      </patternFill>
    </fill>
    <fill>
      <patternFill patternType="solid">
        <fgColor rgb="FFFFFF00"/>
        <bgColor rgb="FFFFFF00"/>
      </patternFill>
    </fill>
  </fills>
  <borders count="39">
    <border/>
    <border>
      <left/>
      <top/>
      <bottom/>
    </border>
    <border>
      <top/>
      <bottom/>
    </border>
    <border>
      <right/>
      <top/>
      <bottom/>
    </border>
    <border>
      <left/>
      <right/>
      <top/>
      <bottom/>
    </border>
    <border>
      <left/>
      <top/>
    </border>
    <border>
      <top/>
    </border>
    <border>
      <right/>
      <top/>
    </border>
    <border>
      <left/>
      <bottom/>
    </border>
    <border>
      <bottom/>
    </border>
    <border>
      <right/>
      <bottom/>
    </border>
    <border>
      <left/>
      <right/>
      <top/>
      <bottom style="thin">
        <color rgb="FF000000"/>
      </bottom>
    </border>
    <border>
      <left/>
      <right/>
      <top style="thin">
        <color rgb="FF000000"/>
      </top>
      <bottom style="double">
        <color rgb="FF000000"/>
      </bottom>
    </border>
    <border>
      <left/>
      <right/>
      <top/>
      <bottom style="double">
        <color rgb="FF000000"/>
      </bottom>
    </border>
    <border>
      <left style="thin">
        <color rgb="FF999999"/>
      </left>
      <right style="thin">
        <color rgb="FF999999"/>
      </right>
      <top style="thin">
        <color rgb="FF999999"/>
      </top>
      <bottom style="thin">
        <color rgb="FF999999"/>
      </bottom>
    </border>
    <border>
      <left style="thin">
        <color rgb="FF999999"/>
      </left>
      <top style="thin">
        <color rgb="FF999999"/>
      </top>
    </border>
    <border>
      <left style="thin">
        <color rgb="FF999999"/>
      </left>
      <right style="thin">
        <color rgb="FF999999"/>
      </right>
      <top style="thin">
        <color rgb="FF999999"/>
      </top>
    </border>
    <border>
      <left style="thin">
        <color rgb="FF999999"/>
      </left>
      <top style="thin">
        <color rgb="FF999999"/>
      </top>
      <bottom style="thin">
        <color rgb="FF000000"/>
      </bottom>
    </border>
    <border>
      <left style="thin">
        <color rgb="FF999999"/>
      </left>
      <right style="thin">
        <color rgb="FF999999"/>
      </right>
      <top style="thin">
        <color rgb="FF999999"/>
      </top>
      <bottom style="thin">
        <color rgb="FF000000"/>
      </bottom>
    </border>
    <border>
      <left style="thin">
        <color rgb="FF999999"/>
      </left>
    </border>
    <border>
      <left style="thin">
        <color rgb="FF999999"/>
      </left>
      <right style="thin">
        <color rgb="FF999999"/>
      </right>
    </border>
    <border>
      <left style="thin">
        <color rgb="FF999999"/>
      </left>
      <bottom style="thin">
        <color rgb="FF999999"/>
      </bottom>
    </border>
    <border>
      <left style="thin">
        <color rgb="FF999999"/>
      </left>
      <right style="thin">
        <color rgb="FF999999"/>
      </right>
      <bottom style="thin">
        <color rgb="FF999999"/>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top/>
      <bottom style="thin">
        <color rgb="FF000000"/>
      </bottom>
    </border>
    <border>
      <right/>
      <top/>
      <bottom style="thin">
        <color rgb="FF000000"/>
      </bottom>
    </border>
    <border>
      <top style="thin">
        <color rgb="FF000000"/>
      </top>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2" fontId="3" numFmtId="0" xfId="0" applyBorder="1" applyFont="1"/>
    <xf borderId="4" fillId="2" fontId="4" numFmtId="0" xfId="0" applyAlignment="1" applyBorder="1" applyFont="1">
      <alignment horizontal="left"/>
    </xf>
    <xf borderId="4" fillId="2" fontId="5" numFmtId="0" xfId="0" applyAlignment="1" applyBorder="1" applyFont="1">
      <alignment horizontal="center"/>
    </xf>
    <xf borderId="4" fillId="2" fontId="3" numFmtId="3" xfId="0" applyBorder="1" applyFont="1" applyNumberFormat="1"/>
    <xf borderId="4" fillId="2" fontId="6" numFmtId="0" xfId="0" applyBorder="1" applyFont="1"/>
    <xf borderId="4" fillId="2" fontId="3" numFmtId="3" xfId="0" applyAlignment="1" applyBorder="1" applyFont="1" applyNumberFormat="1">
      <alignment horizontal="left"/>
    </xf>
    <xf borderId="4" fillId="2" fontId="7" numFmtId="0" xfId="0" applyAlignment="1" applyBorder="1" applyFont="1">
      <alignment horizontal="left"/>
    </xf>
    <xf borderId="1" fillId="2" fontId="3" numFmtId="1" xfId="0" applyAlignment="1" applyBorder="1" applyFont="1" applyNumberFormat="1">
      <alignment horizontal="left"/>
    </xf>
    <xf borderId="1" fillId="2" fontId="3" numFmtId="3" xfId="0" applyAlignment="1" applyBorder="1" applyFont="1" applyNumberFormat="1">
      <alignment horizontal="left"/>
    </xf>
    <xf borderId="1" fillId="2" fontId="3" numFmtId="0" xfId="0" applyAlignment="1" applyBorder="1" applyFont="1">
      <alignment horizontal="left"/>
    </xf>
    <xf borderId="4" fillId="2" fontId="8" numFmtId="0" xfId="0" applyBorder="1" applyFont="1"/>
    <xf borderId="1" fillId="2" fontId="3" numFmtId="0" xfId="0" applyAlignment="1" applyBorder="1" applyFont="1">
      <alignment horizontal="right"/>
    </xf>
    <xf borderId="4" fillId="2" fontId="9" numFmtId="0" xfId="0" applyBorder="1" applyFont="1"/>
    <xf borderId="1" fillId="2" fontId="3" numFmtId="164" xfId="0" applyAlignment="1" applyBorder="1" applyFont="1" applyNumberFormat="1">
      <alignment horizontal="right"/>
    </xf>
    <xf borderId="4" fillId="2" fontId="3" numFmtId="164" xfId="0" applyAlignment="1" applyBorder="1" applyFont="1" applyNumberFormat="1">
      <alignment horizontal="right"/>
    </xf>
    <xf borderId="5" fillId="2" fontId="3" numFmtId="3" xfId="0" applyAlignment="1" applyBorder="1" applyFont="1" applyNumberFormat="1">
      <alignment horizontal="left" shrinkToFit="0" vertical="top" wrapText="1"/>
    </xf>
    <xf borderId="6" fillId="0" fontId="2" numFmtId="0" xfId="0" applyBorder="1" applyFont="1"/>
    <xf borderId="7" fillId="0" fontId="2" numFmtId="0" xfId="0" applyBorder="1" applyFont="1"/>
    <xf borderId="4" fillId="2" fontId="3" numFmtId="3" xfId="0" applyAlignment="1" applyBorder="1" applyFont="1" applyNumberFormat="1">
      <alignment shrinkToFit="0" wrapText="1"/>
    </xf>
    <xf borderId="4" fillId="2" fontId="3" numFmtId="0" xfId="0" applyAlignment="1" applyBorder="1" applyFont="1">
      <alignment horizontal="right"/>
    </xf>
    <xf borderId="8" fillId="0" fontId="2" numFmtId="0" xfId="0" applyBorder="1" applyFont="1"/>
    <xf borderId="9" fillId="0" fontId="2" numFmtId="0" xfId="0" applyBorder="1" applyFont="1"/>
    <xf borderId="10" fillId="0" fontId="2" numFmtId="0" xfId="0" applyBorder="1" applyFont="1"/>
    <xf borderId="4" fillId="3" fontId="10" numFmtId="0" xfId="0" applyBorder="1" applyFill="1" applyFont="1"/>
    <xf borderId="4" fillId="3" fontId="10" numFmtId="3" xfId="0" applyAlignment="1" applyBorder="1" applyFont="1" applyNumberFormat="1">
      <alignment horizontal="center"/>
    </xf>
    <xf borderId="4" fillId="3" fontId="11" numFmtId="0" xfId="0" applyBorder="1" applyFont="1"/>
    <xf borderId="4" fillId="2" fontId="3" numFmtId="0" xfId="0" applyAlignment="1" applyBorder="1" applyFont="1">
      <alignment horizontal="left"/>
    </xf>
    <xf borderId="4" fillId="2" fontId="3" numFmtId="165" xfId="0" applyBorder="1" applyFont="1" applyNumberFormat="1"/>
    <xf borderId="4" fillId="2" fontId="3" numFmtId="166" xfId="0" applyBorder="1" applyFont="1" applyNumberFormat="1"/>
    <xf borderId="11" fillId="2" fontId="3" numFmtId="0" xfId="0" applyAlignment="1" applyBorder="1" applyFont="1">
      <alignment horizontal="left"/>
    </xf>
    <xf borderId="12" fillId="2" fontId="3" numFmtId="3" xfId="0" applyBorder="1" applyFont="1" applyNumberFormat="1"/>
    <xf borderId="12" fillId="2" fontId="3" numFmtId="165" xfId="0" applyBorder="1" applyFont="1" applyNumberFormat="1"/>
    <xf borderId="11" fillId="3" fontId="10" numFmtId="0" xfId="0" applyBorder="1" applyFont="1"/>
    <xf borderId="11" fillId="3" fontId="10" numFmtId="3" xfId="0" applyAlignment="1" applyBorder="1" applyFont="1" applyNumberFormat="1">
      <alignment horizontal="center"/>
    </xf>
    <xf borderId="11" fillId="2" fontId="3" numFmtId="0" xfId="0" applyBorder="1" applyFont="1"/>
    <xf borderId="4" fillId="2" fontId="12" numFmtId="0" xfId="0" applyBorder="1" applyFont="1"/>
    <xf borderId="4" fillId="2" fontId="3" numFmtId="49" xfId="0" applyAlignment="1" applyBorder="1" applyFont="1" applyNumberFormat="1">
      <alignment horizontal="left"/>
    </xf>
    <xf borderId="4" fillId="2" fontId="3" numFmtId="167" xfId="0" applyBorder="1" applyFont="1" applyNumberFormat="1"/>
    <xf borderId="11" fillId="2" fontId="3" numFmtId="167" xfId="0" applyBorder="1" applyFont="1" applyNumberFormat="1"/>
    <xf borderId="11" fillId="2" fontId="3" numFmtId="165" xfId="0" applyBorder="1" applyFont="1" applyNumberFormat="1"/>
    <xf borderId="13" fillId="2" fontId="3" numFmtId="3" xfId="0" applyBorder="1" applyFont="1" applyNumberFormat="1"/>
    <xf borderId="13" fillId="2" fontId="3" numFmtId="165" xfId="0" applyBorder="1" applyFont="1" applyNumberFormat="1"/>
    <xf borderId="4" fillId="2" fontId="3" numFmtId="49" xfId="0" applyBorder="1" applyFont="1" applyNumberFormat="1"/>
    <xf borderId="11" fillId="4" fontId="3" numFmtId="3" xfId="0" applyBorder="1" applyFill="1" applyFont="1" applyNumberFormat="1"/>
    <xf borderId="4" fillId="2" fontId="3" numFmtId="0" xfId="0" applyAlignment="1" applyBorder="1" applyFont="1">
      <alignment horizontal="center"/>
    </xf>
    <xf borderId="4" fillId="2" fontId="3" numFmtId="0" xfId="0" applyAlignment="1" applyBorder="1" applyFont="1">
      <alignment horizontal="left" shrinkToFit="0" wrapText="1"/>
    </xf>
    <xf borderId="12" fillId="2" fontId="3" numFmtId="3" xfId="0" applyAlignment="1" applyBorder="1" applyFont="1" applyNumberFormat="1">
      <alignment vertical="center"/>
    </xf>
    <xf borderId="12" fillId="2" fontId="3" numFmtId="165" xfId="0" applyAlignment="1" applyBorder="1" applyFont="1" applyNumberFormat="1">
      <alignment vertical="center"/>
    </xf>
    <xf borderId="4" fillId="2" fontId="13" numFmtId="0" xfId="0" applyBorder="1" applyFont="1"/>
    <xf borderId="4" fillId="4" fontId="3" numFmtId="0" xfId="0" applyAlignment="1" applyBorder="1" applyFont="1">
      <alignment horizontal="left" shrinkToFit="0" wrapText="1"/>
    </xf>
    <xf borderId="4" fillId="2" fontId="3" numFmtId="167" xfId="0" applyAlignment="1" applyBorder="1" applyFont="1" applyNumberFormat="1">
      <alignment horizontal="right" vertical="center"/>
    </xf>
    <xf borderId="4" fillId="2" fontId="3" numFmtId="165" xfId="0" applyAlignment="1" applyBorder="1" applyFont="1" applyNumberFormat="1">
      <alignment horizontal="right" shrinkToFit="0" vertical="center" wrapText="1"/>
    </xf>
    <xf borderId="4" fillId="2" fontId="4" numFmtId="0" xfId="0" applyAlignment="1" applyBorder="1" applyFont="1">
      <alignment shrinkToFit="0" vertical="center" wrapText="1"/>
    </xf>
    <xf borderId="4" fillId="2" fontId="3" numFmtId="0" xfId="0" applyAlignment="1" applyBorder="1" applyFont="1">
      <alignment horizontal="left" shrinkToFit="0" vertical="center" wrapText="1"/>
    </xf>
    <xf borderId="4" fillId="2" fontId="3" numFmtId="167" xfId="0" applyAlignment="1" applyBorder="1" applyFont="1" applyNumberFormat="1">
      <alignment shrinkToFit="0" vertical="center" wrapText="1"/>
    </xf>
    <xf borderId="4" fillId="2" fontId="3" numFmtId="165" xfId="0" applyAlignment="1" applyBorder="1" applyFont="1" applyNumberFormat="1">
      <alignment shrinkToFit="0" vertical="center" wrapText="1"/>
    </xf>
    <xf borderId="4" fillId="2" fontId="3" numFmtId="167" xfId="0" applyAlignment="1" applyBorder="1" applyFont="1" applyNumberFormat="1">
      <alignment shrinkToFit="0" wrapText="1"/>
    </xf>
    <xf borderId="4" fillId="2" fontId="3" numFmtId="165" xfId="0" applyAlignment="1" applyBorder="1" applyFont="1" applyNumberFormat="1">
      <alignment shrinkToFit="0" wrapText="1"/>
    </xf>
    <xf borderId="11" fillId="2" fontId="3" numFmtId="0" xfId="0" applyAlignment="1" applyBorder="1" applyFont="1">
      <alignment horizontal="left" shrinkToFit="0" vertical="center" wrapText="1"/>
    </xf>
    <xf borderId="11" fillId="2" fontId="3" numFmtId="167" xfId="0" applyAlignment="1" applyBorder="1" applyFont="1" applyNumberFormat="1">
      <alignment shrinkToFit="0" vertical="center" wrapText="1"/>
    </xf>
    <xf borderId="11" fillId="2" fontId="3" numFmtId="165" xfId="0" applyAlignment="1" applyBorder="1" applyFont="1" applyNumberFormat="1">
      <alignment shrinkToFit="0" vertical="center" wrapText="1"/>
    </xf>
    <xf borderId="13" fillId="2" fontId="3" numFmtId="167" xfId="0" applyBorder="1" applyFont="1" applyNumberFormat="1"/>
    <xf borderId="4" fillId="4" fontId="12" numFmtId="0" xfId="0" applyBorder="1" applyFont="1"/>
    <xf borderId="4" fillId="4" fontId="3" numFmtId="167" xfId="0" applyBorder="1" applyFont="1" applyNumberFormat="1"/>
    <xf borderId="4" fillId="4" fontId="3" numFmtId="0" xfId="0" applyBorder="1" applyFont="1"/>
    <xf borderId="4" fillId="4" fontId="3" numFmtId="3" xfId="0" applyBorder="1" applyFont="1" applyNumberFormat="1"/>
    <xf borderId="0" fillId="0" fontId="7" numFmtId="0" xfId="0" applyFont="1"/>
    <xf borderId="0" fillId="0" fontId="7" numFmtId="0" xfId="0" applyAlignment="1" applyFont="1">
      <alignment shrinkToFit="0" vertical="top" wrapText="1"/>
    </xf>
    <xf borderId="14" fillId="0" fontId="7" numFmtId="0" xfId="0" applyBorder="1" applyFont="1"/>
    <xf borderId="0" fillId="0" fontId="6" numFmtId="0" xfId="0" applyFont="1"/>
    <xf borderId="0" fillId="0" fontId="7" numFmtId="0" xfId="0" applyAlignment="1" applyFont="1">
      <alignment horizontal="left" shrinkToFit="0" vertical="top" wrapText="1"/>
    </xf>
    <xf borderId="15" fillId="0" fontId="7" numFmtId="0" xfId="0" applyBorder="1" applyFont="1"/>
    <xf borderId="16" fillId="0" fontId="7" numFmtId="0" xfId="0" applyBorder="1" applyFont="1"/>
    <xf borderId="17" fillId="0" fontId="7" numFmtId="0" xfId="0" applyBorder="1" applyFont="1"/>
    <xf borderId="18" fillId="0" fontId="7" numFmtId="0" xfId="0" applyBorder="1" applyFont="1"/>
    <xf borderId="19" fillId="0" fontId="7" numFmtId="0" xfId="0" applyBorder="1" applyFont="1"/>
    <xf borderId="20" fillId="0" fontId="7" numFmtId="49" xfId="0" applyBorder="1" applyFont="1" applyNumberFormat="1"/>
    <xf borderId="20" fillId="0" fontId="7" numFmtId="0" xfId="0" applyBorder="1" applyFont="1"/>
    <xf borderId="0" fillId="0" fontId="14" numFmtId="0" xfId="0" applyFont="1"/>
    <xf borderId="21" fillId="0" fontId="7" numFmtId="0" xfId="0" applyBorder="1" applyFont="1"/>
    <xf borderId="22" fillId="0" fontId="7" numFmtId="0" xfId="0" applyBorder="1" applyFont="1"/>
    <xf borderId="1" fillId="5" fontId="7" numFmtId="0" xfId="0" applyAlignment="1" applyBorder="1" applyFill="1" applyFont="1">
      <alignment horizontal="left" shrinkToFit="0" vertical="top" wrapText="1"/>
    </xf>
    <xf borderId="4" fillId="5" fontId="7" numFmtId="0" xfId="0" applyAlignment="1" applyBorder="1" applyFont="1">
      <alignment shrinkToFit="0" vertical="top" wrapText="1"/>
    </xf>
    <xf borderId="0" fillId="0" fontId="15" numFmtId="0" xfId="0" applyFont="1"/>
    <xf borderId="0" fillId="0" fontId="16" numFmtId="0" xfId="0" applyFont="1"/>
    <xf borderId="0" fillId="0" fontId="15" numFmtId="49" xfId="0" applyFont="1" applyNumberFormat="1"/>
    <xf borderId="0" fillId="0" fontId="16" numFmtId="49" xfId="0" applyFont="1" applyNumberFormat="1"/>
    <xf borderId="23" fillId="0" fontId="6" numFmtId="0" xfId="0" applyAlignment="1" applyBorder="1" applyFont="1">
      <alignment horizontal="center" shrinkToFit="0" vertical="center" wrapText="1"/>
    </xf>
    <xf borderId="24" fillId="0" fontId="2" numFmtId="0" xfId="0" applyBorder="1" applyFont="1"/>
    <xf borderId="0" fillId="0" fontId="17" numFmtId="0" xfId="0" applyFont="1"/>
    <xf borderId="25" fillId="0" fontId="6" numFmtId="0" xfId="0" applyAlignment="1" applyBorder="1" applyFont="1">
      <alignment horizontal="center" shrinkToFit="0" vertical="center" wrapText="1"/>
    </xf>
    <xf borderId="26" fillId="0" fontId="2" numFmtId="0" xfId="0" applyBorder="1" applyFont="1"/>
    <xf borderId="27" fillId="0" fontId="17" numFmtId="49" xfId="0" applyAlignment="1" applyBorder="1" applyFont="1" applyNumberFormat="1">
      <alignment horizontal="center" shrinkToFit="0" vertical="center" wrapText="1"/>
    </xf>
    <xf borderId="28" fillId="0" fontId="2" numFmtId="0" xfId="0" applyBorder="1" applyFont="1"/>
    <xf borderId="0" fillId="0" fontId="6" numFmtId="0" xfId="0" applyAlignment="1" applyFont="1">
      <alignment horizontal="center" shrinkToFit="0" vertical="center" wrapText="1"/>
    </xf>
    <xf borderId="0" fillId="0" fontId="17" numFmtId="0" xfId="0" applyAlignment="1" applyFont="1">
      <alignment horizontal="left" shrinkToFit="0" vertical="center" wrapText="1"/>
    </xf>
    <xf borderId="0" fillId="0" fontId="3" numFmtId="0" xfId="0" applyFont="1"/>
    <xf borderId="0" fillId="0" fontId="8" numFmtId="0" xfId="0" applyFont="1"/>
    <xf borderId="29" fillId="6" fontId="17" numFmtId="0" xfId="0" applyAlignment="1" applyBorder="1" applyFill="1" applyFont="1">
      <alignment horizontal="left" shrinkToFit="0" vertical="center" wrapText="1"/>
    </xf>
    <xf borderId="30" fillId="0" fontId="2" numFmtId="0" xfId="0" applyBorder="1" applyFont="1"/>
    <xf borderId="23" fillId="0" fontId="3" numFmtId="0" xfId="0" applyAlignment="1" applyBorder="1" applyFont="1">
      <alignment horizontal="left" shrinkToFit="0" vertical="center" wrapText="1"/>
    </xf>
    <xf borderId="25" fillId="0" fontId="17" numFmtId="0" xfId="0" applyAlignment="1" applyBorder="1" applyFont="1">
      <alignment horizontal="left" shrinkToFit="0" vertical="center" wrapText="1"/>
    </xf>
    <xf borderId="27" fillId="0" fontId="3" numFmtId="0" xfId="0" applyAlignment="1" applyBorder="1" applyFont="1">
      <alignment horizontal="left" shrinkToFit="0" vertical="center" wrapText="1"/>
    </xf>
    <xf borderId="31" fillId="0" fontId="3" numFmtId="0" xfId="0" applyAlignment="1" applyBorder="1" applyFont="1">
      <alignment horizontal="center" shrinkToFit="0" vertical="center" wrapText="1"/>
    </xf>
    <xf borderId="31" fillId="0" fontId="2" numFmtId="0" xfId="0" applyBorder="1" applyFont="1"/>
    <xf borderId="1" fillId="6" fontId="17" numFmtId="0" xfId="0" applyAlignment="1" applyBorder="1" applyFont="1">
      <alignment horizontal="left" shrinkToFit="0" vertical="center" wrapText="1"/>
    </xf>
    <xf borderId="0" fillId="0" fontId="3" numFmtId="0" xfId="0" applyAlignment="1" applyFont="1">
      <alignment horizontal="left" shrinkToFit="0" vertical="center" wrapText="1"/>
    </xf>
    <xf borderId="32" fillId="0" fontId="3" numFmtId="0" xfId="0" applyAlignment="1" applyBorder="1" applyFont="1">
      <alignment shrinkToFit="0" vertical="center" wrapText="1"/>
    </xf>
    <xf borderId="33" fillId="0" fontId="17" numFmtId="0" xfId="0" applyAlignment="1" applyBorder="1" applyFont="1">
      <alignment horizontal="center" shrinkToFit="0" vertical="center" wrapText="1"/>
    </xf>
    <xf borderId="33" fillId="0" fontId="17" numFmtId="0" xfId="0" applyAlignment="1" applyBorder="1" applyFont="1">
      <alignment horizontal="center" shrinkToFit="0" wrapText="1"/>
    </xf>
    <xf borderId="33" fillId="0" fontId="3" numFmtId="0" xfId="0" applyAlignment="1" applyBorder="1" applyFont="1">
      <alignment shrinkToFit="0" vertical="center" wrapText="1"/>
    </xf>
    <xf borderId="33" fillId="0" fontId="3" numFmtId="0" xfId="0" applyAlignment="1" applyBorder="1" applyFont="1">
      <alignment shrinkToFit="0" wrapText="1"/>
    </xf>
    <xf borderId="0" fillId="0" fontId="3" numFmtId="0" xfId="0" applyAlignment="1" applyFont="1">
      <alignment shrinkToFit="0" vertical="center" wrapText="1"/>
    </xf>
    <xf borderId="0" fillId="0" fontId="3" numFmtId="0" xfId="0" applyAlignment="1" applyFont="1">
      <alignment shrinkToFit="0" wrapText="1"/>
    </xf>
    <xf borderId="34" fillId="0" fontId="3" numFmtId="0" xfId="0" applyAlignment="1" applyBorder="1" applyFont="1">
      <alignment shrinkToFit="0" wrapText="1"/>
    </xf>
    <xf borderId="35" fillId="0" fontId="17" numFmtId="0" xfId="0" applyAlignment="1" applyBorder="1" applyFont="1">
      <alignment horizontal="center" shrinkToFit="0" vertical="center" wrapText="1"/>
    </xf>
    <xf borderId="33" fillId="0" fontId="3" numFmtId="0" xfId="0" applyAlignment="1" applyBorder="1" applyFont="1">
      <alignment horizontal="left" shrinkToFit="0" wrapText="1"/>
    </xf>
    <xf borderId="0" fillId="0" fontId="3" numFmtId="0" xfId="0" applyAlignment="1" applyFont="1">
      <alignment horizontal="left" shrinkToFit="0" wrapText="1"/>
    </xf>
    <xf borderId="0" fillId="0" fontId="3" numFmtId="0" xfId="0" applyAlignment="1" applyFont="1">
      <alignment horizontal="left" vertical="center"/>
    </xf>
    <xf borderId="36" fillId="0" fontId="2" numFmtId="0" xfId="0" applyBorder="1" applyFont="1"/>
    <xf borderId="33" fillId="0" fontId="3" numFmtId="49" xfId="0" applyAlignment="1" applyBorder="1" applyFont="1" applyNumberFormat="1">
      <alignment horizontal="left" shrinkToFit="0" wrapText="1"/>
    </xf>
    <xf quotePrefix="1" borderId="33" fillId="0" fontId="3" numFmtId="49" xfId="0" applyAlignment="1" applyBorder="1" applyFont="1" applyNumberFormat="1">
      <alignment horizontal="left" shrinkToFit="0" wrapText="1"/>
    </xf>
    <xf borderId="0" fillId="0" fontId="17" numFmtId="0" xfId="0" applyAlignment="1" applyFont="1">
      <alignment shrinkToFit="0" vertical="center" wrapText="1"/>
    </xf>
    <xf borderId="0" fillId="0" fontId="3" numFmtId="0" xfId="0" applyAlignment="1" applyFont="1">
      <alignment horizontal="left" shrinkToFit="0" vertical="top" wrapText="1"/>
    </xf>
    <xf borderId="37" fillId="6" fontId="3" numFmtId="0" xfId="0" applyAlignment="1" applyBorder="1" applyFont="1">
      <alignment horizontal="center" shrinkToFit="0" vertical="center" wrapText="1"/>
    </xf>
    <xf borderId="38" fillId="0" fontId="2" numFmtId="0" xfId="0" applyBorder="1" applyFont="1"/>
    <xf quotePrefix="1" borderId="0" fillId="0" fontId="3" numFmtId="0" xfId="0" applyAlignment="1" applyFont="1">
      <alignment horizontal="left" shrinkToFit="0" vertical="center" wrapText="1"/>
    </xf>
    <xf borderId="0" fillId="0" fontId="3" numFmtId="0" xfId="0" applyAlignment="1" applyFont="1">
      <alignment vertical="center"/>
    </xf>
    <xf borderId="0" fillId="0" fontId="18" numFmtId="0" xfId="0" applyFont="1"/>
  </cellXfs>
  <cellStyles count="1">
    <cellStyle xfId="0" name="Normal" builtinId="0"/>
  </cellStyles>
  <dxfs count="1">
    <dxf>
      <font>
        <color theme="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100">
                <a:solidFill>
                  <a:srgbClr val="757575"/>
                </a:solidFill>
                <a:latin typeface="Calibri"/>
              </a:defRPr>
            </a:pPr>
            <a:r>
              <a:rPr b="0" i="0" sz="1100">
                <a:solidFill>
                  <a:srgbClr val="757575"/>
                </a:solidFill>
                <a:latin typeface="Calibri"/>
              </a:rPr>
              <a:t>Type of Care</a:t>
            </a:r>
          </a:p>
        </c:rich>
      </c:tx>
      <c:overlay val="0"/>
    </c:title>
    <c:view3D>
      <c:rotX val="50"/>
      <c:perspective val="0"/>
    </c:view3D>
    <c:plotArea>
      <c:layout/>
      <c:pie3DChart>
        <c:varyColors val="1"/>
        <c:ser>
          <c:idx val="0"/>
          <c:order val="0"/>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chemeClr val="accent5"/>
              </a:solidFill>
            </c:spPr>
          </c:dPt>
          <c:dPt>
            <c:idx val="5"/>
            <c:spPr>
              <a:solidFill>
                <a:schemeClr val="accent6"/>
              </a:solidFill>
            </c:spPr>
          </c:dPt>
          <c:dLbls>
            <c:showLegendKey val="0"/>
            <c:showVal val="0"/>
            <c:showCatName val="0"/>
            <c:showSerName val="0"/>
            <c:showPercent val="0"/>
            <c:showBubbleSize val="0"/>
            <c:showLeaderLines val="1"/>
          </c:dLbls>
          <c:cat>
            <c:strRef>
              <c:f>Profile!$A$21:$A$26</c:f>
            </c:strRef>
          </c:cat>
          <c:val>
            <c:numRef>
              <c:f>Profile!$B$21:$B$26</c:f>
              <c:numCache/>
            </c:numRef>
          </c:val>
        </c:ser>
        <c:dLbls>
          <c:showLegendKey val="0"/>
          <c:showVal val="0"/>
          <c:showCatName val="0"/>
          <c:showSerName val="0"/>
          <c:showPercent val="0"/>
          <c:showBubbleSize val="0"/>
        </c:dLbls>
      </c:pie3DChart>
    </c:plotArea>
    <c:legend>
      <c:legendPos val="b"/>
      <c:layout>
        <c:manualLayout>
          <c:xMode val="edge"/>
          <c:yMode val="edge"/>
          <c:x val="0.13767915848659154"/>
          <c:y val="0.6563050545985994"/>
        </c:manualLayout>
      </c:layout>
      <c:overlay val="0"/>
      <c:txPr>
        <a:bodyPr/>
        <a:lstStyle/>
        <a:p>
          <a:pPr lvl="0">
            <a:defRPr b="0" i="0" sz="900">
              <a:solidFill>
                <a:srgbClr val="1A1A1A"/>
              </a:solidFill>
              <a:latin typeface="Calibri"/>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1371600</xdr:colOff>
      <xdr:row>4</xdr:row>
      <xdr:rowOff>57150</xdr:rowOff>
    </xdr:from>
    <xdr:ext cx="3790950" cy="1609725"/>
    <xdr:graphicFrame>
      <xdr:nvGraphicFramePr>
        <xdr:cNvPr id="549894113"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1647825</xdr:colOff>
      <xdr:row>5</xdr:row>
      <xdr:rowOff>104775</xdr:rowOff>
    </xdr:from>
    <xdr:ext cx="1400175" cy="4762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247650</xdr:colOff>
      <xdr:row>2</xdr:row>
      <xdr:rowOff>0</xdr:rowOff>
    </xdr:from>
    <xdr:ext cx="295275" cy="209550"/>
    <xdr:sp>
      <xdr:nvSpPr>
        <xdr:cNvPr id="3" name="Shape 3"/>
        <xdr:cNvSpPr/>
      </xdr:nvSpPr>
      <xdr:spPr>
        <a:xfrm>
          <a:off x="5212650" y="3684750"/>
          <a:ext cx="266700" cy="190500"/>
        </a:xfrm>
        <a:prstGeom prst="leftArrow">
          <a:avLst>
            <a:gd fmla="val 50000" name="adj1"/>
            <a:gd fmla="val 50000" name="adj2"/>
          </a:avLst>
        </a:prstGeom>
        <a:solidFill>
          <a:schemeClr val="accent1"/>
        </a:solidFill>
        <a:ln cap="flat" cmpd="sng" w="25400">
          <a:solidFill>
            <a:srgbClr val="395E8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J450" sheet="Data"/>
  </cacheSource>
  <cacheFields>
    <cacheField name="oshpd_id9" numFmtId="49">
      <sharedItems containsSemiMixedTypes="0" containsString="0" containsNumber="1" containsInteger="1">
        <n v="1.06010735E8"/>
        <n v="1.06010739E8"/>
        <n v="1.06010776E8"/>
        <n v="1.06010844E8"/>
        <n v="1.06010846E8"/>
        <n v="1.06010887E8"/>
        <n v="1.06010937E8"/>
        <n v="1.06010967E8"/>
        <n v="1.06010987E8"/>
        <n v="1.06013687E8"/>
        <n v="1.06014034E8"/>
        <n v="1.0601405E8"/>
        <n v="1.06014132E8"/>
        <n v="1.06014207E8"/>
        <n v="1.06014226E8"/>
        <n v="1.06014233E8"/>
        <n v="1.06014326E8"/>
        <n v="1.06014337E8"/>
        <n v="1.06034002E8"/>
        <n v="1.06040802E8"/>
        <n v="1.06040937E8"/>
        <n v="1.06040962E8"/>
        <n v="1.06044006E8"/>
        <n v="1.06050932E8"/>
        <n v="1.0606087E8"/>
        <n v="1.06070924E8"/>
        <n v="1.06070934E8"/>
        <n v="1.06070988E8"/>
        <n v="1.0607099E8"/>
        <n v="1.06071018E8"/>
        <n v="1.06074017E8"/>
        <n v="1.06074039E8"/>
        <n v="1.06074097E8"/>
        <n v="1.06084001E8"/>
        <n v="1.06090793E8"/>
        <n v="1.06090933E8"/>
        <n v="1.06094002E8"/>
        <n v="1.06100005E8"/>
        <n v="1.06100697E8"/>
        <n v="1.06100717E8"/>
        <n v="1.06100797E8"/>
        <n v="1.06100899E8"/>
        <n v="1.06104023E8"/>
        <n v="1.06104047E8"/>
        <n v="1.06104062E8"/>
        <n v="1.06104089E8"/>
        <n v="1.06105125E8"/>
        <n v="1.06110889E8"/>
        <n v="1.06121002E8"/>
        <n v="1.06121031E8"/>
        <n v="1.06121051E8"/>
        <n v="1.0612108E8"/>
        <n v="1.06124004E8"/>
        <n v="1.06130699E8"/>
        <n v="1.0613076E8"/>
        <n v="1.06141273E8"/>
        <n v="1.06141338E8"/>
        <n v="1.06150706E8"/>
        <n v="1.06150722E8"/>
        <n v="1.06150736E8"/>
        <n v="1.06150737E8"/>
        <n v="1.06150761E8"/>
        <n v="1.06150775E8"/>
        <n v="1.06150782E8"/>
        <n v="1.06150788E8"/>
        <n v="1.0615082E8"/>
        <n v="1.06154022E8"/>
        <n v="1.06154044E8"/>
        <n v="1.06154101E8"/>
        <n v="1.0615416E8"/>
        <n v="1.06154168E8"/>
        <n v="1.06164029E8"/>
        <n v="1.06171049E8"/>
        <n v="1.06171395E8"/>
        <n v="1.06184008E8"/>
        <n v="1.06190017E8"/>
        <n v="1.0619002E8"/>
        <n v="1.06190034E8"/>
        <n v="1.06190045E8"/>
        <n v="1.06190049E8"/>
        <n v="1.06190052E8"/>
        <n v="1.06190053E8"/>
        <n v="1.06190066E8"/>
        <n v="1.06190081E8"/>
        <n v="1.0619011E8"/>
        <n v="1.06190125E8"/>
        <n v="1.06190137E8"/>
        <n v="1.06190148E8"/>
        <n v="1.0619015E8"/>
        <n v="1.06190155E8"/>
        <n v="1.06190163E8"/>
        <n v="1.0619017E8"/>
        <n v="1.06190176E8"/>
        <n v="1.06190184E8"/>
        <n v="1.06190196E8"/>
        <n v="1.06190197E8"/>
        <n v="1.06190198E8"/>
        <n v="1.061902E8"/>
        <n v="1.06190232E8"/>
        <n v="1.0619024E8"/>
        <n v="1.06190243E8"/>
        <n v="1.06190256E8"/>
        <n v="1.0619028E8"/>
        <n v="1.06190298E8"/>
        <n v="1.06190305E8"/>
        <n v="1.06190315E8"/>
        <n v="1.06190317E8"/>
        <n v="1.06190323E8"/>
        <n v="1.06190328E8"/>
        <n v="1.06190352E8"/>
        <n v="1.0619038E8"/>
        <n v="1.06190382E8"/>
        <n v="1.06190385E8"/>
        <n v="1.06190392E8"/>
        <n v="1.061904E8"/>
        <n v="1.06190413E8"/>
        <n v="1.06190422E8"/>
        <n v="1.06190429E8"/>
        <n v="1.06190431E8"/>
        <n v="1.06190432E8"/>
        <n v="1.06190434E8"/>
        <n v="1.06190449E8"/>
        <n v="1.06190462E8"/>
        <n v="1.0619047E8"/>
        <n v="1.061905E8"/>
        <n v="1.06190517E8"/>
        <n v="1.06190521E8"/>
        <n v="1.06190522E8"/>
        <n v="1.06190524E8"/>
        <n v="1.06190525E8"/>
        <n v="1.06190529E8"/>
        <n v="1.06190541E8"/>
        <n v="1.06190547E8"/>
        <n v="1.06190552E8"/>
        <n v="1.06190555E8"/>
        <n v="1.06190568E8"/>
        <n v="1.0619057E8"/>
        <n v="1.06190587E8"/>
        <n v="1.06190599E8"/>
        <n v="1.0619063E8"/>
        <n v="1.06190631E8"/>
        <n v="1.06190636E8"/>
        <n v="1.06190661E8"/>
        <n v="1.06190673E8"/>
        <n v="1.0619068E8"/>
        <n v="1.06190681E8"/>
        <n v="1.06190687E8"/>
        <n v="1.06190696E8"/>
        <n v="1.06190708E8"/>
        <n v="1.06190754E8"/>
        <n v="1.06190756E8"/>
        <n v="1.06190758E8"/>
        <n v="1.06190766E8"/>
        <n v="1.06190782E8"/>
        <n v="1.06190796E8"/>
        <n v="1.06190812E8"/>
        <n v="1.06190818E8"/>
        <n v="1.06190857E8"/>
        <n v="1.06190859E8"/>
        <n v="1.06190878E8"/>
        <n v="1.06190883E8"/>
        <n v="1.0619093E8"/>
        <n v="1.06190949E8"/>
        <n v="1.06191216E8"/>
        <n v="1.06191225E8"/>
        <n v="1.06191227E8"/>
        <n v="1.06191228E8"/>
        <n v="1.0619123E8"/>
        <n v="1.06191231E8"/>
        <n v="1.06191306E8"/>
        <n v="1.0619145E8"/>
        <n v="1.0619401E8"/>
        <n v="1.06194219E8"/>
        <n v="1.06194967E8"/>
        <n v="1.06194981E8"/>
        <n v="1.06196035E8"/>
        <n v="1.06196168E8"/>
        <n v="1.06196403E8"/>
        <n v="1.06196404E8"/>
        <n v="1.06196405E8"/>
        <n v="1.06197931E8"/>
        <n v="1.06198495E8"/>
        <n v="1.06201281E8"/>
        <n v="1.06204019E8"/>
        <n v="1.06210992E8"/>
        <n v="1.06210993E8"/>
        <n v="1.06211006E8"/>
        <n v="1.06214034E8"/>
        <n v="1.06220733E8"/>
        <n v="1.06231013E8"/>
        <n v="1.06231396E8"/>
        <n v="1.06234038E8"/>
        <n v="1.06240924E8"/>
        <n v="1.06240942E8"/>
        <n v="1.06244027E8"/>
        <n v="1.06250955E8"/>
        <n v="1.06254005E8"/>
        <n v="1.06260011E8"/>
        <n v="1.06270744E8"/>
        <n v="1.06270777E8"/>
        <n v="1.06270875E8"/>
        <n v="1.06274043E8"/>
        <n v="1.06281047E8"/>
        <n v="1.06281078E8"/>
        <n v="1.06291023E8"/>
        <n v="1.06291053E8"/>
        <n v="1.06300032E8"/>
        <n v="1.06300225E8"/>
        <n v="1.06301097E8"/>
        <n v="1.06301098E8"/>
        <n v="1.06301127E8"/>
        <n v="1.0630114E8"/>
        <n v="1.06301155E8"/>
        <n v="1.06301175E8"/>
        <n v="1.06301188E8"/>
        <n v="1.06301205E8"/>
        <n v="1.06301209E8"/>
        <n v="1.06301234E8"/>
        <n v="1.06301248E8"/>
        <n v="1.06301258E8"/>
        <n v="1.06301262E8"/>
        <n v="1.06301279E8"/>
        <n v="1.06301283E8"/>
        <n v="1.06301297E8"/>
        <n v="1.06301304E8"/>
        <n v="1.06301317E8"/>
        <n v="1.06301337E8"/>
        <n v="1.0630134E8"/>
        <n v="1.06301342E8"/>
        <n v="1.06301357E8"/>
        <n v="1.06301379E8"/>
        <n v="1.0630138E8"/>
        <n v="1.06301566E8"/>
        <n v="1.06304079E8"/>
        <n v="1.06304113E8"/>
        <n v="1.06304159E8"/>
        <n v="1.06304409E8"/>
        <n v="1.0630446E8"/>
        <n v="1.06304583E8"/>
        <n v="1.06304585E8"/>
        <n v="1.06304589E8"/>
        <n v="1.06310791E8"/>
        <n v="1.06311E8"/>
        <n v="1.06314024E8"/>
        <n v="1.06314029E8"/>
        <n v="1.06320859E8"/>
        <n v="1.06320986E8"/>
        <n v="1.06321016E8"/>
        <n v="1.0633012E8"/>
        <n v="1.06331152E8"/>
        <n v="1.06331164E8"/>
        <n v="1.06331168E8"/>
        <n v="1.06331194E8"/>
        <n v="1.06331216E8"/>
        <n v="1.06331226E8"/>
        <n v="1.06331288E8"/>
        <n v="1.06331293E8"/>
        <n v="1.06331312E8"/>
        <n v="1.06331326E8"/>
        <n v="1.06332172E8"/>
        <n v="1.06334018E8"/>
        <n v="1.06334025E8"/>
        <n v="1.06334048E8"/>
        <n v="1.06334068E8"/>
        <n v="1.06334457E8"/>
        <n v="1.06334487E8"/>
        <n v="1.06334533E8"/>
        <n v="1.06334564E8"/>
        <n v="1.06334589E8"/>
        <n v="1.06334678E8"/>
        <n v="1.06340041E8"/>
        <n v="1.06340913E8"/>
        <n v="1.06340947E8"/>
        <n v="1.0634095E8"/>
        <n v="1.06340951E8"/>
        <n v="1.06341006E8"/>
        <n v="1.06341051E8"/>
        <n v="1.06342344E8"/>
        <n v="1.06342392E8"/>
        <n v="1.06344011E8"/>
        <n v="1.06344017E8"/>
        <n v="1.06344021E8"/>
        <n v="1.06344029E8"/>
        <n v="1.06344035E8"/>
        <n v="1.06344114E8"/>
        <n v="1.0634417E8"/>
        <n v="1.06344188E8"/>
        <n v="1.0634421E8"/>
        <n v="1.06350784E8"/>
        <n v="1.0636111E8"/>
        <n v="1.06361144E8"/>
        <n v="1.06361166E8"/>
        <n v="1.06361223E8"/>
        <n v="1.06361246E8"/>
        <n v="1.06361266E8"/>
        <n v="1.06361274E8"/>
        <n v="1.06361308E8"/>
        <n v="1.06361318E8"/>
        <n v="1.06361323E8"/>
        <n v="1.06361339E8"/>
        <n v="1.06361343E8"/>
        <n v="1.0636137E8"/>
        <n v="1.06361458E8"/>
        <n v="1.06362041E8"/>
        <n v="1.06364014E8"/>
        <n v="1.0636405E8"/>
        <n v="1.06364121E8"/>
        <n v="1.06364144E8"/>
        <n v="1.06364188E8"/>
        <n v="1.06364231E8"/>
        <n v="1.0636443E8"/>
        <n v="1.06364451E8"/>
        <n v="1.06364502E8"/>
        <n v="1.06370033E8"/>
        <n v="1.06370652E8"/>
        <n v="1.06370673E8"/>
        <n v="1.06370689E8"/>
        <n v="1.06370694E8"/>
        <n v="1.06370695E8"/>
        <n v="1.06370714E8"/>
        <n v="1.06370721E8"/>
        <n v="1.0637073E8"/>
        <n v="1.06370744E8"/>
        <n v="1.06370745E8"/>
        <n v="1.06370749E8"/>
        <n v="1.06370759E8"/>
        <n v="1.06370771E8"/>
        <n v="1.0637078E8"/>
        <n v="1.06370782E8"/>
        <n v="1.06370875E8"/>
        <n v="1.06370977E8"/>
        <n v="1.06371256E8"/>
        <n v="1.06371394E8"/>
        <n v="1.06374024E8"/>
        <n v="1.06374049E8"/>
        <n v="1.06374055E8"/>
        <n v="1.06374094E8"/>
        <n v="1.06374382E8"/>
        <n v="1.06374572E8"/>
        <n v="1.06380842E8"/>
        <n v="1.06380857E8"/>
        <n v="1.06380865E8"/>
        <n v="1.06380868E8"/>
        <n v="1.06380933E8"/>
        <n v="1.06380939E8"/>
        <n v="1.0638096E8"/>
        <n v="1.06380965E8"/>
        <n v="1.06381154E8"/>
        <n v="1.06382715E8"/>
        <n v="1.06384176E8"/>
        <n v="1.06384202E8"/>
        <n v="1.06390846E8"/>
        <n v="1.06390923E8"/>
        <n v="1.0639101E8"/>
        <n v="1.06391042E8"/>
        <n v="1.06391056E8"/>
        <n v="1.06392232E8"/>
        <n v="1.06392287E8"/>
        <n v="1.06394003E8"/>
        <n v="1.06394009E8"/>
        <n v="1.06400466E8"/>
        <n v="1.0640048E8"/>
        <n v="1.06400524E8"/>
        <n v="1.06400548E8"/>
        <n v="1.06404046E8"/>
        <n v="1.06410782E8"/>
        <n v="1.06410806E8"/>
        <n v="1.06410817E8"/>
        <n v="1.06410828E8"/>
        <n v="1.06410852E8"/>
        <n v="1.06410891E8"/>
        <n v="1.06414139E8"/>
        <n v="1.06420483E8"/>
        <n v="1.06420491E8"/>
        <n v="1.06420493E8"/>
        <n v="1.06420514E8"/>
        <n v="1.06420522E8"/>
        <n v="1.06424002E8"/>
        <n v="1.06430705E8"/>
        <n v="1.06430763E8"/>
        <n v="1.06430779E8"/>
        <n v="1.06430837E8"/>
        <n v="1.06430883E8"/>
        <n v="1.06430905E8"/>
        <n v="1.06431506E8"/>
        <n v="1.06434032E8"/>
        <n v="1.0643404E8"/>
        <n v="1.06434051E8"/>
        <n v="1.06434138E8"/>
        <n v="1.06434153E8"/>
        <n v="1.06434218E8"/>
        <n v="1.0643422E8"/>
        <n v="1.06440755E8"/>
        <n v="1.06444012E8"/>
        <n v="1.06444013E8"/>
        <n v="1.06444029E8"/>
        <n v="1.06450936E8"/>
        <n v="1.0645094E8"/>
        <n v="1.06450949E8"/>
        <n v="1.06454012E8"/>
        <n v="1.06454013E8"/>
        <n v="1.06454068E8"/>
        <n v="1.06470871E8"/>
        <n v="1.06474007E8"/>
        <n v="1.06480989E8"/>
        <n v="1.06481015E8"/>
        <n v="1.06481094E8"/>
        <n v="1.06481357E8"/>
        <n v="1.06484044E8"/>
        <n v="1.06484062E8"/>
        <n v="1.0649004E8"/>
        <n v="1.06490964E8"/>
        <n v="1.06491001E8"/>
        <n v="1.06491064E8"/>
        <n v="1.06491076E8"/>
        <n v="1.06491338E8"/>
        <n v="1.06494019E8"/>
        <n v="1.06494048E8"/>
        <n v="1.06494106E8"/>
        <n v="1.06500852E8"/>
        <n v="1.06500867E8"/>
        <n v="1.06500939E8"/>
        <n v="1.06500954E8"/>
        <n v="1.06500967E8"/>
        <n v="1.06504038E8"/>
        <n v="1.06504079E8"/>
        <n v="1.06504081E8"/>
        <n v="1.06514001E8"/>
        <n v="1.06514005E8"/>
        <n v="1.0651403E8"/>
        <n v="1.06514033E8"/>
        <n v="1.06521041E8"/>
        <n v="1.06524017E8"/>
        <n v="1.06531059E8"/>
        <n v="1.06540734E8"/>
        <n v="1.06540798E8"/>
        <n v="1.06540816E8"/>
        <n v="1.06554011E8"/>
        <n v="1.06560203E8"/>
        <n v="1.06560473E8"/>
        <n v="1.06560481E8"/>
        <n v="1.06560492E8"/>
        <n v="1.06560501E8"/>
        <n v="1.06560508E8"/>
        <n v="1.06560525E8"/>
        <n v="1.06560529E8"/>
        <n v="1.06571086E8"/>
        <n v="1.0657401E8"/>
        <n v="1.06580996E8"/>
      </sharedItems>
    </cacheField>
    <cacheField name="OSHPD_ID" numFmtId="49">
      <sharedItems>
        <s v="010735"/>
        <s v="010739"/>
        <s v="010776"/>
        <s v="010844"/>
        <s v="010846"/>
        <s v="010887"/>
        <s v="010937"/>
        <s v="010967"/>
        <s v="010987"/>
        <s v="013687"/>
        <s v="014034"/>
        <s v="014050"/>
        <s v="014132"/>
        <s v="014207"/>
        <s v="014226"/>
        <s v="014233"/>
        <s v="014326"/>
        <s v="014337"/>
        <s v="034002"/>
        <s v="040802"/>
        <s v="040937"/>
        <s v="040962"/>
        <s v="044006"/>
        <s v="050932"/>
        <s v="060870"/>
        <s v="070924"/>
        <s v="070934"/>
        <s v="070988"/>
        <s v="070990"/>
        <s v="071018"/>
        <s v="074017"/>
        <s v="074039"/>
        <s v="074097"/>
        <s v="084001"/>
        <s v="090793"/>
        <s v="090933"/>
        <s v="094002"/>
        <s v="100005"/>
        <s v="100697"/>
        <s v="100717"/>
        <s v="100797"/>
        <s v="100899"/>
        <s v="104023"/>
        <s v="104047"/>
        <s v="104062"/>
        <s v="104089"/>
        <s v="105125"/>
        <s v="110889"/>
        <s v="121002"/>
        <s v="121031"/>
        <s v="121051"/>
        <s v="121080"/>
        <s v="124004"/>
        <s v="130699"/>
        <s v="130760"/>
        <s v="141273"/>
        <s v="141338"/>
        <s v="150706"/>
        <s v="150722"/>
        <s v="150736"/>
        <s v="150737"/>
        <s v="150761"/>
        <s v="150775"/>
        <s v="150782"/>
        <s v="150788"/>
        <s v="150820"/>
        <s v="154022"/>
        <s v="154044"/>
        <s v="154101"/>
        <s v="154160"/>
        <s v="154168"/>
        <s v="164029"/>
        <s v="171049"/>
        <s v="171395"/>
        <s v="184008"/>
        <s v="190017"/>
        <s v="190020"/>
        <s v="190034"/>
        <s v="190045"/>
        <s v="190049"/>
        <s v="190052"/>
        <s v="190053"/>
        <s v="190066"/>
        <s v="190081"/>
        <s v="190110"/>
        <s v="190125"/>
        <s v="190137"/>
        <s v="190148"/>
        <s v="190150"/>
        <s v="190155"/>
        <s v="190163"/>
        <s v="190170"/>
        <s v="190176"/>
        <s v="190184"/>
        <s v="190196"/>
        <s v="190197"/>
        <s v="190198"/>
        <s v="190200"/>
        <s v="190232"/>
        <s v="190240"/>
        <s v="190243"/>
        <s v="190256"/>
        <s v="190280"/>
        <s v="190298"/>
        <s v="190305"/>
        <s v="190315"/>
        <s v="190317"/>
        <s v="190323"/>
        <s v="190328"/>
        <s v="190352"/>
        <s v="190380"/>
        <s v="190382"/>
        <s v="190385"/>
        <s v="190392"/>
        <s v="190400"/>
        <s v="190413"/>
        <s v="190422"/>
        <s v="190429"/>
        <s v="190431"/>
        <s v="190432"/>
        <s v="190434"/>
        <s v="190449"/>
        <s v="190462"/>
        <s v="190470"/>
        <s v="190500"/>
        <s v="190517"/>
        <s v="190521"/>
        <s v="190522"/>
        <s v="190524"/>
        <s v="190525"/>
        <s v="190529"/>
        <s v="190541"/>
        <s v="190547"/>
        <s v="190552"/>
        <s v="190555"/>
        <s v="190568"/>
        <s v="190570"/>
        <s v="190587"/>
        <s v="190599"/>
        <s v="190630"/>
        <s v="190631"/>
        <s v="190636"/>
        <s v="190661"/>
        <s v="190673"/>
        <s v="190680"/>
        <s v="190681"/>
        <s v="190687"/>
        <s v="190696"/>
        <s v="190708"/>
        <s v="190754"/>
        <s v="190756"/>
        <s v="190758"/>
        <s v="190766"/>
        <s v="190782"/>
        <s v="190796"/>
        <s v="190812"/>
        <s v="190818"/>
        <s v="190857"/>
        <s v="190859"/>
        <s v="190878"/>
        <s v="190883"/>
        <s v="190930"/>
        <s v="190949"/>
        <s v="191216"/>
        <s v="191225"/>
        <s v="191227"/>
        <s v="191228"/>
        <s v="191230"/>
        <s v="191231"/>
        <s v="191306"/>
        <s v="191450"/>
        <s v="194010"/>
        <s v="194219"/>
        <s v="194967"/>
        <s v="194981"/>
        <s v="196035"/>
        <s v="196168"/>
        <s v="196403"/>
        <s v="196404"/>
        <s v="196405"/>
        <s v="197931"/>
        <s v="198495"/>
        <s v="201281"/>
        <s v="204019"/>
        <s v="210992"/>
        <s v="210993"/>
        <s v="211006"/>
        <s v="214034"/>
        <s v="220733"/>
        <s v="231013"/>
        <s v="231396"/>
        <s v="234038"/>
        <s v="240924"/>
        <s v="240942"/>
        <s v="244027"/>
        <s v="250955"/>
        <s v="254005"/>
        <s v="260011"/>
        <s v="270744"/>
        <s v="270777"/>
        <s v="270875"/>
        <s v="274043"/>
        <s v="281047"/>
        <s v="281078"/>
        <s v="291023"/>
        <s v="291053"/>
        <s v="300032"/>
        <s v="300225"/>
        <s v="301097"/>
        <s v="301098"/>
        <s v="301127"/>
        <s v="301140"/>
        <s v="301155"/>
        <s v="301175"/>
        <s v="301188"/>
        <s v="301205"/>
        <s v="301209"/>
        <s v="301234"/>
        <s v="301248"/>
        <s v="301258"/>
        <s v="301262"/>
        <s v="301279"/>
        <s v="301283"/>
        <s v="301297"/>
        <s v="301304"/>
        <s v="301317"/>
        <s v="301337"/>
        <s v="301340"/>
        <s v="301342"/>
        <s v="301357"/>
        <s v="301379"/>
        <s v="301380"/>
        <s v="301566"/>
        <s v="304079"/>
        <s v="304113"/>
        <s v="304159"/>
        <s v="304409"/>
        <s v="304460"/>
        <s v="304583"/>
        <s v="304585"/>
        <s v="304589"/>
        <s v="310791"/>
        <s v="311000"/>
        <s v="314024"/>
        <s v="314029"/>
        <s v="320859"/>
        <s v="320986"/>
        <s v="321016"/>
        <s v="330120"/>
        <s v="331152"/>
        <s v="331164"/>
        <s v="331168"/>
        <s v="331194"/>
        <s v="331216"/>
        <s v="331226"/>
        <s v="331288"/>
        <s v="331293"/>
        <s v="331312"/>
        <s v="331326"/>
        <s v="332172"/>
        <s v="334018"/>
        <s v="334025"/>
        <s v="334048"/>
        <s v="334068"/>
        <s v="334457"/>
        <s v="334487"/>
        <s v="334533"/>
        <s v="334564"/>
        <s v="334589"/>
        <s v="334678"/>
        <s v="340041"/>
        <s v="340913"/>
        <s v="340947"/>
        <s v="340950"/>
        <s v="340951"/>
        <s v="341006"/>
        <s v="341051"/>
        <s v="342344"/>
        <s v="342392"/>
        <s v="344011"/>
        <s v="344017"/>
        <s v="344021"/>
        <s v="344029"/>
        <s v="344035"/>
        <s v="344114"/>
        <s v="344170"/>
        <s v="344188"/>
        <s v="344210"/>
        <s v="350784"/>
        <s v="361110"/>
        <s v="361144"/>
        <s v="361166"/>
        <s v="361223"/>
        <s v="361246"/>
        <s v="361266"/>
        <s v="361274"/>
        <s v="361308"/>
        <s v="361318"/>
        <s v="361323"/>
        <s v="361339"/>
        <s v="361343"/>
        <s v="361370"/>
        <s v="361458"/>
        <s v="362041"/>
        <s v="364014"/>
        <s v="364050"/>
        <s v="364121"/>
        <s v="364144"/>
        <s v="364188"/>
        <s v="364231"/>
        <s v="364430"/>
        <s v="364451"/>
        <s v="364502"/>
        <s v="370033"/>
        <s v="370652"/>
        <s v="370673"/>
        <s v="370689"/>
        <s v="370694"/>
        <s v="370695"/>
        <s v="370714"/>
        <s v="370721"/>
        <s v="370730"/>
        <s v="370744"/>
        <s v="370745"/>
        <s v="370749"/>
        <s v="370759"/>
        <s v="370771"/>
        <s v="370780"/>
        <s v="370782"/>
        <s v="370875"/>
        <s v="370977"/>
        <s v="371256"/>
        <s v="371394"/>
        <s v="374024"/>
        <s v="374049"/>
        <s v="374055"/>
        <s v="374094"/>
        <s v="374382"/>
        <s v="374572"/>
        <s v="380842"/>
        <s v="380857"/>
        <s v="380865"/>
        <s v="380868"/>
        <s v="380933"/>
        <s v="380939"/>
        <s v="380960"/>
        <s v="380965"/>
        <s v="381154"/>
        <s v="382715"/>
        <s v="384176"/>
        <s v="384202"/>
        <s v="390846"/>
        <s v="390923"/>
        <s v="391010"/>
        <s v="391042"/>
        <s v="391056"/>
        <s v="392232"/>
        <s v="392287"/>
        <s v="394003"/>
        <s v="394009"/>
        <s v="400466"/>
        <s v="400480"/>
        <s v="400524"/>
        <s v="400548"/>
        <s v="404046"/>
        <s v="410782"/>
        <s v="410806"/>
        <s v="410817"/>
        <s v="410828"/>
        <s v="410852"/>
        <s v="410891"/>
        <s v="414139"/>
        <s v="420483"/>
        <s v="420491"/>
        <s v="420493"/>
        <s v="420514"/>
        <s v="420522"/>
        <s v="424002"/>
        <s v="430705"/>
        <s v="430763"/>
        <s v="430779"/>
        <s v="430837"/>
        <s v="430883"/>
        <s v="430905"/>
        <s v="431506"/>
        <s v="434032"/>
        <s v="434040"/>
        <s v="434051"/>
        <s v="434138"/>
        <s v="434153"/>
        <s v="434218"/>
        <s v="434220"/>
        <s v="440755"/>
        <s v="444012"/>
        <s v="444013"/>
        <s v="444029"/>
        <s v="450936"/>
        <s v="450940"/>
        <s v="450949"/>
        <s v="454012"/>
        <s v="454013"/>
        <s v="454068"/>
        <s v="470871"/>
        <s v="474007"/>
        <s v="480989"/>
        <s v="481015"/>
        <s v="481094"/>
        <s v="481357"/>
        <s v="484044"/>
        <s v="484062"/>
        <s v="490040"/>
        <s v="490964"/>
        <s v="491001"/>
        <s v="491064"/>
        <s v="491076"/>
        <s v="491338"/>
        <s v="494019"/>
        <s v="494048"/>
        <s v="494106"/>
        <s v="500852"/>
        <s v="500867"/>
        <s v="500939"/>
        <s v="500954"/>
        <s v="500967"/>
        <s v="504038"/>
        <s v="504079"/>
        <s v="504081"/>
        <s v="514001"/>
        <s v="514005"/>
        <s v="514030"/>
        <s v="514033"/>
        <s v="521041"/>
        <s v="524017"/>
        <s v="531059"/>
        <s v="540734"/>
        <s v="540798"/>
        <s v="540816"/>
        <s v="554011"/>
        <s v="560203"/>
        <s v="560473"/>
        <s v="560481"/>
        <s v="560492"/>
        <s v="560501"/>
        <s v="560508"/>
        <s v="560525"/>
        <s v="560529"/>
        <s v="571086"/>
        <s v="574010"/>
        <s v="580996"/>
      </sharedItems>
    </cacheField>
    <cacheField name="COUNTY" numFmtId="49">
      <sharedItems>
        <s v="ALAMEDA"/>
        <s v="AMADOR"/>
        <s v="BUTTE"/>
        <s v="CALAVERAS"/>
        <s v="COLUSA"/>
        <s v="CONTRA COSTA"/>
        <s v="DEL NORTE"/>
        <s v="EL DORADO"/>
        <s v="FRESNO"/>
        <s v="GLENN"/>
        <s v="HUMBOLDT"/>
        <s v="IMPERIAL"/>
        <s v="INYO"/>
        <s v="KERN"/>
        <s v="KINGS"/>
        <s v="LAKE"/>
        <s v="LASSEN"/>
        <s v="LOS ANGELES"/>
        <s v="MADERA"/>
        <s v="MARIN"/>
        <s v="MARIPOSA"/>
        <s v="MENDOCINO"/>
        <s v="MERCED"/>
        <s v="MODOC"/>
        <s v="MONO"/>
        <s v="MONTEREY"/>
        <s v="NAPA"/>
        <s v="NEVADA"/>
        <s v="ORANGE"/>
        <s v="PLACER"/>
        <s v="PLUMAS"/>
        <s v="RIVERSIDE"/>
        <s v="SACRAMENTO"/>
        <s v="SAN BENITO"/>
        <s v="SAN BERNARDINO"/>
        <s v="SAN DIEGO"/>
        <s v="SAN FRANCISCO"/>
        <s v="SAN JOAQUIN"/>
        <s v="SAN LUIS OBISPO"/>
        <s v="SAN MATEO"/>
        <s v="SANTA BARBARA"/>
        <s v="SANTA CLARA"/>
        <s v="SANTA CRUZ"/>
        <s v="SHASTA"/>
        <s v="SISKIYOU"/>
        <s v="SOLANO"/>
        <s v="SONOMA"/>
        <s v="STANISLAUS"/>
        <s v="SUTTER"/>
        <s v="TEHAMA"/>
        <s v="TRINITY"/>
        <s v="TULARE"/>
        <s v="TUOLUMNE"/>
        <s v="VENTURA"/>
        <s v="YOLO"/>
        <s v="YUBA"/>
      </sharedItems>
    </cacheField>
    <cacheField name="FACILITY_NAME" numFmtId="49">
      <sharedItems>
        <s v="ALAMEDA HOSPITAL"/>
        <s v="ALTA BATES SUMMIT MEDICAL CENTER-ALTA BATES CAMPUS"/>
        <s v="UCSF BENIOFF CHILDREN'S HOSPITAL OAKLAND"/>
        <s v="ALTA BATES SUMMIT MEDICAL CENTER-HERRICK CAMPUS"/>
        <s v="HIGHLAND HOSPITAL"/>
        <s v="KINDRED HOSPITAL - SAN FRANCISCO BAY AREA"/>
        <s v="ALTA BATES SUMMIT MEDICAL CENTER"/>
        <s v="ST. ROSE HOSPITAL"/>
        <s v="WASHINGTON HOSPITAL - FREMONT"/>
        <s v="MPI CHEMICAL DEPENDENCY RECOVERY HOSPITAL"/>
        <s v="FREMONT HOSPITAL"/>
        <s v="STANFORD HEALTH CARE TRI-VALLEY"/>
        <s v="KAISER FOUNDATION HOSPITAL - FREMONT"/>
        <s v="TELECARE HERITAGE PSYCHIATRIC HEALTH FACILITY"/>
        <s v="TELECARE WILLOW ROCK CENTER"/>
        <s v="EDEN MEDICAL CENTER"/>
        <s v="KAISER FOUNDATION HOSPITAL - OAKLAND/RICHMOND"/>
        <s v="KAISER FOUNDATION HOSPITAL - SAN LEANDRO"/>
        <s v="SUTTER AMADOR HOSPITAL"/>
        <s v="ORCHARD HOSPITAL"/>
        <s v="OROVILLE HOSPITAL"/>
        <s v="ENLOE MEDICAL CENTER- ESPLANADE"/>
        <s v="BUTTE COUNTY MENTAL HEALTH SERVICES"/>
        <s v="MARK TWAIN MEDICAL CENTER"/>
        <s v="COLUSA MEDICAL CENTER"/>
        <s v="CONTRA COSTA REGIONAL MEDICAL CENTER"/>
        <s v="SUTTER DELTA MEDICAL CENTER"/>
        <s v="JOHN MUIR MEDICAL CENTER-WALNUT CREEK CAMPUS"/>
        <s v="KAISER FOUNDATION HOSPITAL - WALNUT CREEK"/>
        <s v="JOHN MUIR MEDICAL CENTER-CONCORD CAMPUS"/>
        <s v="SAN RAMON REGIONAL MEDICAL CENTER"/>
        <s v="JOHN MUIR BEHAVIORAL HEALTH CENTER"/>
        <s v="KAISER FOUNDATION HOSPITAL - ANTIOCH"/>
        <s v="SUTTER COAST HOSPITAL"/>
        <s v="BARTON MEMORIAL HOSPITAL"/>
        <s v="MARSHALL MEDICAL CENTER"/>
        <s v="TELECARE EL DORADO COUNTY P.H.F."/>
        <s v="CLOVIS COMMUNITY MEDICAL CENTER"/>
        <s v="COALINGA REGIONAL MEDICAL CENTER"/>
        <s v="COMMUNITY REGIONAL MEDICAL CENTER-FRESNO"/>
        <s v="ADVENTIST HEALTH REEDLEY"/>
        <s v="ST. AGNES MEDICAL CENTER"/>
        <s v="SAN JOAQUIN VALLEY REHABILITATION HOSPITAL"/>
        <s v="FRESNO SURGICAL HOSPITAL"/>
        <s v="KAISER FOUNDATION HOSPITAL - FRESNO"/>
        <s v="EXODUS PSYCHIATRIC HEALTH FACILITY FRESNO"/>
        <s v="CENTRAL STAR PSYCHIATRIC HEALTH FACILITY"/>
        <s v="GLENN MEDICAL CENTER"/>
        <s v="MAD RIVER COMMUNITY HOSPITAL"/>
        <s v="JEROLD PHELPS COMMUNITY HOSPITAL"/>
        <s v="PROVIDENCE REDWOOD MEMORIAL HOSPITAL"/>
        <s v="PROVIDENCE ST. JOSEPH HOSPITAL - EUREKA"/>
        <s v="SEMPERVIRENS P.H.F."/>
        <s v="EL CENTRO REGIONAL MEDICAL CENTER"/>
        <s v="PIONEERS MEMORIAL HEALTHCARE DISTRICT"/>
        <s v="NORTHERN INYO HOSPITAL"/>
        <s v="SOUTHERN INYO HOSPITAL"/>
        <s v="ADVENTIST HEALTH DELANO"/>
        <s v="BAKERSFIELD MEMORIAL HOSPITAL"/>
        <s v="KERN MEDICAL CENTER"/>
        <s v="KERN VALLEY HEALTHCARE DISTRICT"/>
        <s v="MERCY HOSPITAL - BAKERSFIELD"/>
        <s v="GOOD SAMARITAN HOSPITAL-BAKERSFIELD"/>
        <s v="RIDGECREST REGIONAL HOSPITAL"/>
        <s v="ADVENTIST HEALTH BAKERSFIELD"/>
        <s v="BAKERSFIELD REHABILITATION HOSPITAL"/>
        <s v="ENCOMPASS HEALTH REHABILITATION HOSPITAL OF BAKERSFIELD"/>
        <s v="BAKERSFIELD BEHAVORIAL HEALTHCARE HOSPITAL, LLC"/>
        <s v="BAKERSFIELD HEART HOSPITAL"/>
        <s v="CRESTWOOD PSYCHIATRIC HEALTH FACILITY BAKERSFIELD"/>
        <s v="ADVENTIST HEALTH TEHACHAPI VALLEY"/>
        <s v="ADVENTIST HEALTH HANFORD"/>
        <s v="ADVENTIST HEALTH CLEARLAKE"/>
        <s v="SUTTER LAKESIDE HOSPITAL"/>
        <s v="BANNER LASSEN MEDICAL CENTER"/>
        <s v="ALHAMBRA HOSPITAL MEDICAL CENTER"/>
        <s v="BHC ALHAMBRA HOSPITAL"/>
        <s v="ANTELOPE VALLEY HOSPITAL"/>
        <s v="CATALINA ISLAND MEDICAL CENTER"/>
        <s v="KINDRED HOSPITAL - BALDWIN PARK"/>
        <s v="BARLOW RESPIRATORY HOSPITAL"/>
        <s v="ST. MARY MEDICAL CENTER - LONG BEACH"/>
        <s v="LOS ANGELES COMMUNITY HOSPITAL AT BELLFLOWER"/>
        <s v="BEVERLY HOSPITAL"/>
        <s v="SOUTHERN CALIFORNIA HOSPITAL AT CULVER CITY"/>
        <s v="CALIFORNIA HOSPITAL MEDICAL CENTER - LOS ANGELES"/>
        <s v="CASA COLINA HOSPITAL"/>
        <s v="CENTINELA HOSPITAL MEDICAL CENTER"/>
        <s v="KEDREN COMMUNITY MENTAL HEALTH CENTER"/>
        <s v="CALIFORNIA REHABILITATION INSTITUTE, LLC"/>
        <s v="AURORA CHARTER OAK"/>
        <s v="CHILDREN'S HOSPITAL OF LOS ANGELES"/>
        <s v="CITY OF HOPE HELFORD CLINICAL RESEARCH HOSPITAL"/>
        <s v="COLLEGE HOSPITAL"/>
        <s v="KINDRED HOSPITAL - SOUTH BAY"/>
        <s v="COMMUNITY HOSPITAL OF HUNTINGTON PARK"/>
        <s v="LOS ANGELES COMMUNITY HOSPITAL"/>
        <s v="SAN GABRIEL VALLEY MEDICAL CENTER"/>
        <s v="DEL AMO BEHAVIORAL HEALTH SYSTEM"/>
        <s v="LAKEWOOD REGIONAL MEDICAL CENTER"/>
        <s v="PIH HEALTH HOSPITAL - DOWNEY"/>
        <s v="EAST LOS ANGELES DOCTORS HOSPITAL"/>
        <s v="ENCINO HOSPITAL MEDICAL CENTER"/>
        <s v="EMANATE HEALTH FOOTHILL PRESBYTERIAN HOSPITAL"/>
        <s v="KINDRED HOSPITAL - LOS ANGELES"/>
        <s v="GARFIELD MEDICAL CENTER"/>
        <s v="GATEWAYS HOSPITAL AND MENTAL HEALTH CENTER"/>
        <s v="ADVENTIST HEALTH GLENDALE"/>
        <s v="GLENDORA HOSPITAL"/>
        <s v="GREATER EL MONTE COMMUNITY HOSPITAL"/>
        <s v="SOUTHERN CALIFORNIA HOSPITAL AT HOLLYWOOD"/>
        <s v="HOLLYWOOD PRESBYTERIAN MEDICAL CENTER"/>
        <s v="PROVIDENCE HOLY CROSS MEDICAL CENTER"/>
        <s v="PIH HEALTH GOOD SAMARITAN HOSPITAL"/>
        <s v="HUNTINGTON HOSPITAL"/>
        <s v="EMANATE HEALTH INTER-COMMUNITY HOSPITAL"/>
        <s v="TORRANCE MEMORIAL MEDICAL CENTER"/>
        <s v="KAISER FOUNDATION HOSPITAL - LOS ANGELES"/>
        <s v="KAISER FOUNDATION HOSPITAL - SOUTH BAY"/>
        <s v="KAISER FOUNDATION HOSPITAL - PANORAMA CITY"/>
        <s v="KAISER FOUNDATION HOSPITAL - WEST LA"/>
        <s v="KINDRED HOSPITAL - LA MIRADA"/>
        <s v="AURORA LAS ENCINAS HOSPITAL"/>
        <s v="PROVIDENCE LITTLE COMPANY OF MARY MEDICAL CENTER TORRANCE"/>
        <s v="CEDARS-SINAI MARINA DEL REY HOSPITAL"/>
        <s v="PROVIDENCE CEDARS-SINAI TARZANA MEDICAL CENTER"/>
        <s v="MEMORIAL HOSPITAL OF GARDENA"/>
        <s v="GLENDALE MEMORIAL HOSPITAL AND HEALTH CENTER"/>
        <s v="MISSION COMMUNITY HOSPITAL - PANORAMA CAMPUS"/>
        <s v="MEMORIALCARE LONG BEACH MEDICAL CENTER"/>
        <s v="USC ARCADIA HOSPITAL"/>
        <s v="MONROVIA MEMORIAL HOSPITAL"/>
        <s v="MONTEREY PARK HOSPITAL"/>
        <s v="MOTION PICTURE AND TELEVISION HOSPITAL"/>
        <s v="CEDARS-SINAI MEDICAL CENTER"/>
        <s v="NORTHRIDGE HOSPITAL MEDICAL CENTER"/>
        <s v="NORWALK COMMUNITY HOSPITAL"/>
        <s v="COLLEGE MEDICAL CENTER"/>
        <s v="KINDRED HOSPITAL PARAMOUNT"/>
        <s v="POMONA VALLEY HOSPITAL MEDICAL CENTER"/>
        <s v="PIH HEALTH HOSPITAL - WHITTIER"/>
        <s v="EMANATE HEALTH QUEEN OF THE VALLEY HOSPITAL"/>
        <s v="L.A. DOWNTOWN MEDICAL CENTER"/>
        <s v="SAN DIMAS COMMUNITY HOSPITAL"/>
        <s v="PROVIDENCE LITTLE COMPANY OF MARY MC - SAN PEDRO"/>
        <s v="DOCS SURGICAL HOSPITAL"/>
        <s v="SANTA MONICA - UCLA MEDICAL CENTER AND ORTHOPAEDIC HOSPITAL"/>
        <s v="PACIFICA HOSPITAL OF THE VALLEY"/>
        <s v="SHERMAN OAKS HOSPITAL"/>
        <s v="ST. FRANCIS MEDICAL CENTER"/>
        <s v="SAINT JOHN'S HEALTH CENTER"/>
        <s v="PROVIDENCE SAINT JOSEPH MEDICAL CENTER"/>
        <s v="COAST PLAZA HOSPITAL"/>
        <s v="TARZANA TREATMENT CENTER"/>
        <s v="RONALD REAGAN UCLA MEDICAL CENTER"/>
        <s v="VALLEY PRESBYTERIAN HOSPITAL"/>
        <s v="USC VERDUGO HILLS HOSPITAL"/>
        <s v="WEST COVINA MEDICAL CENTER"/>
        <s v="WEST HILLS HOSPITAL AND MEDICAL CENTER"/>
        <s v="ADVENTIST HEALTH WHITE MEMORIAL"/>
        <s v="WHITTIER HOSPITAL MEDICAL CENTER"/>
        <s v="RESNICK NEUROPSYCHIATRIC HOSPITAL AT UCLA"/>
        <s v="HENRY MAYO NEWHALL HOSPITAL"/>
        <s v="USC KENNETH NORRIS JR. CANCER HOSPITAL"/>
        <s v="TOM REDGATE MEMORIAL RECOVERY CENTER"/>
        <s v="LAC/HARBOR-UCLA MEDICAL CENTER"/>
        <s v="LAC+USC MEDICAL CENTER"/>
        <s v="MARTIN LUTHER KING, JR. COMMUNITY HOSPITAL"/>
        <s v="LOS ANGELES COUNTY OLIVE VIEW-UCLA MEDICAL CENTER"/>
        <s v="LAC/RANCHO LOS AMIGOS NATIONAL REHAB CENTER"/>
        <s v="KAISER FOUNDATION HOSPITAL - WOODLAND HILLS"/>
        <s v="AMERICAN RECOVERY CENTER"/>
        <s v="KECK HOSPITAL OF USC"/>
        <s v="STAR VIEW ADOLESCENT - P H F"/>
        <s v="LA CASA PSYCHIATRIC HEALTH FACILITY"/>
        <s v="KAISER FOUNDATION HOSPITAL - BALDWIN PARK"/>
        <s v="MEMORIALCARE MILLER CHILDREN'S &amp; WOMEN'S HOSPITAL LONG BEACH"/>
        <s v="KAISER FOUNDATION HOSPITAL - DOWNEY"/>
        <s v="JOYCE EISENBERG KEEFER MEDICAL CENTER"/>
        <s v="PALMDALE REGIONAL MEDICAL CENTER"/>
        <s v="EXODUS RECOVERY P.H.F."/>
        <s v="OCEAN VIEW PSYCHIATRIC HEALTH FACILITY"/>
        <s v="MADERA COMMUNITY HOSPITAL"/>
        <s v="VALLEY CHILDREN'S HOSPITAL"/>
        <s v="KAISER FOUNDATION HOSPITAL - SAN RAFAEL"/>
        <s v="KENTFIELD HOSPITAL"/>
        <s v="MARINHEALTH MEDICAL CENTER"/>
        <s v="NOVATO COMMUNITY HOSPITAL"/>
        <s v="JOHN C FREMONT HEALTHCARE DISTRICT"/>
        <s v="ADVENTIST HEALTH MENDOCINO COAST"/>
        <s v="ADVENTIST HEALTH UKIAH VALLEY"/>
        <s v="ADVENTIST HEALTH HOWARD MEMORIAL"/>
        <s v="MEMORIAL HOSPITAL LOS BANOS"/>
        <s v="MERCY MEDICAL CENTER - MERCED"/>
        <s v="MARIE GREEN PSYCHIATRIC CENTER - P H F"/>
        <s v="SURPRISE VALLEY COMMUNITY HOSPITAL"/>
        <s v="MODOC MEDICAL CENTER"/>
        <s v="MAMMOTH HOSPITAL"/>
        <s v="COMMUNITY HOSPITAL OF THE MONTEREY PENINSULA"/>
        <s v="GEORGE L. MEE MEMORIAL HOSPITAL"/>
        <s v="SALINAS VALLEY HEALTH MEDICAL CENTER"/>
        <s v="NATIVIDAD MEDICAL CENTER"/>
        <s v="PROVIDENCE QUEEN OF THE VALLEY MEDICAL CENTER"/>
        <s v="ADVENTIST HEALTH ST. HELENA"/>
        <s v="SIERRA NEVADA MEMORIAL HOSPITAL"/>
        <s v="TAHOE FOREST HOSPITAL"/>
        <s v="CHILDREN'S HOSPITAL OF ORANGE COUNTY"/>
        <s v="MEMORIALCARE ORANGE COAST MEDICAL CENTER"/>
        <s v="ANAHEIM COMMUNITY HOSPITAL, LLC"/>
        <s v="AHMC ANAHEIM REGIONAL MEDICAL CENTER"/>
        <s v="KINDRED HOSPITAL - BREA"/>
        <s v="CHAPMAN GLOBAL MEDICAL CENTER"/>
        <s v="COLLEGE HOSPITAL COSTA MESA"/>
        <s v="FOUNTAIN VALLEY REGIONAL HOSPITAL &amp; MEDICAL CENTER - EUCLID"/>
        <s v="ANAHEIM GLOBAL MEDICAL CENTER"/>
        <s v="HOAG MEMORIAL HOSPITAL PRESBYTERIAN"/>
        <s v="HUNTINGTON BEACH HOSPITAL"/>
        <s v="LA PALMA INTERCOMMUNITY HOSPITAL"/>
        <s v="LOS ALAMITOS MEDICAL CENTER"/>
        <s v="SOUTH COAST GLOBAL MEDICAL CENTER"/>
        <s v="PROVIDENCE MISSION HOSPITAL"/>
        <s v="UNIVERSITY OF CALIFORNIA IRVINE MEDICAL CENTER"/>
        <s v="GARDEN GROVE HOSPITAL AND MEDICAL CENTER"/>
        <s v="PLACENTIA LINDA HOSPITAL"/>
        <s v="NEWPORT BAY HOSPITAL"/>
        <s v="MEMORIALCARE SADDLEBACK MEDICAL CENTER"/>
        <s v="PROVIDENCE MISSION HOSPITAL - LAGUNA BEACH"/>
        <s v="PROVIDENCE ST. JOSEPH HOSPITAL"/>
        <s v="PROVIDENCE ST. JUDE MEDICAL CENTER"/>
        <s v="FOOTHILL REGIONAL MEDICAL CENTER"/>
        <s v="WEST ANAHEIM MEDICAL CENTER"/>
        <s v="KINDRED HOSPITAL WESTMINSTER"/>
        <s v="ORANGE COUNTY GLOBAL MEDICAL CENTER"/>
        <s v="ENCOMPASS HEALTH REHABILITATION HOSPITAL OF TUSTIN"/>
        <s v="CHILDREN'S HOSPITAL AT MISSION"/>
        <s v="HEALTHBRIDGE CHILDREN'S HOSPITAL-ORANGE"/>
        <s v="KAISER FOUNDATION HOSPITAL - ORANGE COUNTY - ANAHEIM"/>
        <s v="HOAG ORTHOPEDIC INSTITUTE"/>
        <s v="LAGUNA TREATMENT HOSPITAL, LLC"/>
        <s v="ALISO RIDGE BEHAVIORAL HEALTH, LLC"/>
        <s v="SUTTER AUBURN FAITH HOSPITAL"/>
        <s v="SUTTER ROSEVILLE MEDICAL CENTER"/>
        <s v="KAISER FOUNDATION HOSPITAL - ROSEVILLE"/>
        <s v="CIRBY HILLS BEHAVIORAL HEALTH"/>
        <s v="EASTERN PLUMAS HOSPITAL-PORTOLA CAMPUS"/>
        <s v="PLUMAS DISTRICT HOSPITAL"/>
        <s v="SENECA DISTRICT HOSPITAL"/>
        <s v="THE BETTY FORD CENTER"/>
        <s v="CORONA REGIONAL MEDICAL CENTER-MAIN"/>
        <s v="DESERT REGIONAL MEDICAL CENTER"/>
        <s v="EISENHOWER MEDICAL CENTER"/>
        <s v="HEMET GLOBAL MEDICAL CENTER"/>
        <s v="JOHN F. KENNEDY MEMORIAL HOSPITAL"/>
        <s v="PACIFIC GROVE HOSPITAL"/>
        <s v="PALO VERDE HOSPITAL"/>
        <s v="DOCTORS HOSPITAL OF RIVERSIDE"/>
        <s v="RIVERSIDE COMMUNITY HOSPITAL"/>
        <s v="SAN GORGONIO MEMORIAL HOSPITAL"/>
        <s v="KINDRED HOSPITAL - RIVERSIDE"/>
        <s v="MENIFEE GLOBAL MEDICAL CENTER"/>
        <s v="KAISER FOUNDATION HOSPITAL - RIVERSIDE"/>
        <s v="KAISER FOUNDATION HOSPITAL - MORENO VALLEY"/>
        <s v="SOUTHWEST HEALTHCARE SYSTEM-MURRIETA"/>
        <s v="TELECARE RIVERSIDE COUNTY PSYCHIATRIC HEALTH FACILITY"/>
        <s v="RIVERSIDE UNIVERSITY HEALTH SYSTEM - MEDICAL CENTER"/>
        <s v="VIBRA REHABILITATION HOSPITAL OF RANCHO MIRAGE"/>
        <s v="TEMECULA VALLEY HOSPITAL"/>
        <s v="LOMA LINDA UNIVERSITY MEDICAL CENTER-MURRIETA"/>
        <s v="ENCOMPASS HEALTH REHABILITATION HOSPITAL OF MURRIETA"/>
        <s v="HERITAGE OAKS ENRICHMENT CENTER"/>
        <s v="KAISER FOUNDATION HOSPITAL - SACRAMENTO"/>
        <s v="MERCY GENERAL HOSPITAL"/>
        <s v="MERCY SAN JUAN MEDICAL CENTER"/>
        <s v="METHODIST HOSPITAL OF SACRAMENTO"/>
        <s v="UNIVERSITY OF CALIFORNIA DAVIS MEDICAL CENTER"/>
        <s v="SUTTER MEDICAL CENTER, SACRAMENTO"/>
        <s v="KAISER FOUNDATION HOSPITAL - SOUTH SACRAMENTO"/>
        <s v="SIERRA VISTA HOSPITAL"/>
        <s v="SACRAMENTO MENTAL HEALTH TREATMENT CENTER"/>
        <s v="SUTTER CENTER FOR PSYCHIATRY"/>
        <s v="HERITAGE OAKS HOSPITAL"/>
        <s v="MERCY HOSPITAL OF FOLSOM"/>
        <s v="VIBRA HOSPITAL OF SACRAMENTO"/>
        <s v="SHRINERS HOSPITALS FOR CHILDREN NORTHERN CALIF."/>
        <s v="CRESTWOOD PSYCHIATRIC HEALTH FACILITY-CARMICHAEL"/>
        <s v="CRESTWOOD PSYCHIATRIC HEALTH FACILITY-SACRAMENTO"/>
        <s v="SACRAMENTO BEHAVIORAL HEALTHCARE HOSPITAL, LLC"/>
        <s v="HAZEL HAWKINS MEMORIAL HOSPITAL"/>
        <s v="BEAR VALLEY COMMUNITY HOSPITAL"/>
        <s v="CHINO VALLEY MEDICAL CENTER"/>
        <s v="MONTCLAIR HOSPITAL MEDICAL CENTER"/>
        <s v="KAISER FOUNDATION HOSPITAL - FONTANA"/>
        <s v="LOMA LINDA UNIVERSITY MEDICAL CENTER"/>
        <s v="MOUNTAINS COMMUNITY HOSPITAL"/>
        <s v="KINDRED HOSPITAL - ONTARIO"/>
        <s v="REDLANDS COMMUNITY HOSPITAL"/>
        <s v="SAN ANTONIO REGIONAL HOSPITAL"/>
        <s v="COMMUNITY HOSPITAL OF SAN BERNARDINO"/>
        <s v="ST. BERNARDINE MEDICAL CENTER"/>
        <s v="ST. MARY MEDICAL CENTER - APPLE VALLEY"/>
        <s v="VICTOR VALLEY GLOBAL MEDICAL CENTER"/>
        <s v="COLORADO RIVER MEDICAL CENTER"/>
        <s v="HI-DESERT MEDICAL CENTER"/>
        <s v="LOMA LINDA UNIVERSITY BEHAVIORAL MEDICINE CENTER"/>
        <s v="CANYON RIDGE HOSPITAL"/>
        <s v="BALLARD REHABILITATION HOSPITAL"/>
        <s v="DESERT VALLEY HOSPITAL"/>
        <s v="KINDRED HOSPITAL RANCHO"/>
        <s v="ARROWHEAD REGIONAL MEDICAL CENTER"/>
        <s v="BARSTOW COMMUNITY HOSPITAL"/>
        <s v="TOTALLY KIDS REHABILITATION HOSPITAL"/>
        <s v="LOMA LINDA UNIVERSITY CHILDREN'S HOSPITAL"/>
        <s v="CASA PALMERA CARE CENTER, LLC"/>
        <s v="ALVARADO HOSPITAL MEDICAL CENTER"/>
        <s v="RADY CHILDREN'S HOSPITAL - SAN DIEGO"/>
        <s v="SHARP CORONADO HOSPITAL AND HEALTHCARE CENTER"/>
        <s v="SHARP MEMORIAL HOSPITAL"/>
        <s v="SHARP MARY BIRCH HOSPITAL FOR WOMEN AND NEWBORNS"/>
        <s v="GROSSMONT HOSPITAL"/>
        <s v="KINDRED HOSPITAL - SAN DIEGO"/>
        <s v="KAISER FOUNDATION HOSPITAL - SAN DIEGO - ZION"/>
        <s v="SCRIPPS MERCY HOSPITAL"/>
        <s v="SHARP MESA VISTA HOSPITAL"/>
        <s v="ALVARADO PARKWAY INSTITUTE B.H.S."/>
        <s v="PARADISE VALLEY HOSPITAL"/>
        <s v="SCRIPPS MEMORIAL HOSPITAL - LA JOLLA"/>
        <s v="TRI-CITY MEDICAL CENTER"/>
        <s v="UC SAN DIEGO HEALTH HILLCREST - HILLCREST MEDICAL CENTER"/>
        <s v="SHARP CHULA VISTA MEDICAL CENTER"/>
        <s v="PALOMAR MEDICAL CENTER POWAY"/>
        <s v="SCRIPPS GREEN HOSPITAL"/>
        <s v="SCRIPPS MEMORIAL HOSPITAL - ENCINITAS"/>
        <s v="AURORA SAN DIEGO"/>
        <s v="SHARP MCDONALD CENTER"/>
        <s v="SAN DIEGO COUNTY PSYCHIATRIC HOSPITAL"/>
        <s v="SELECT SPECIALTY HOSPITAL - SAN DIEGO"/>
        <s v="PALOMAR MEDICAL CENTER"/>
        <s v="PALOMAR REHABILITATION INSTITUTE"/>
        <s v="JEWISH HOME &amp; REHAB CENTER"/>
        <s v="KAISER FOUNDATION HOSPITAL - SAN FRANCISCO"/>
        <s v="LAGUNA HONDA HOSPITAL AND REHABILITATION CENTER"/>
        <s v="LANGLEY PORTER PSYCHIATRIC INSTITUTE"/>
        <s v="CALIFORNIA PACIFIC MEDICAL CENTER - DAVIES CAMPUS HOSPITAL"/>
        <s v="PRISCILLA CHAN &amp; MARK ZUCKERBERG SAN FRANCISCO GENERAL HOSPITAL &amp; TRAUMA CENTER"/>
        <s v="ST. FRANCIS MEMORIAL HOSPITAL"/>
        <s v="ST. MARY'S MEDICAL CENTER"/>
        <s v="UCSF MEDICAL CENTER"/>
        <s v="CHINESE HOSPITAL"/>
        <s v="CALIFORNIA PACIFIC MEDICAL CENTER - VAN NESS CAMPUS"/>
        <s v="CALIFORNIA PACIFIC MEDICAL CENTER - MISSION BERNAL CAMPUS"/>
        <s v="DAMERON HOSPITAL"/>
        <s v="ADVENTIST HEALTH LODI MEMORIAL"/>
        <s v="SAN JOAQUIN GENERAL HOSPITAL"/>
        <s v="ST. JOSEPH'S MEDICAL CENTER OF STOCKTON"/>
        <s v="SUTTER TRACY COMMUNITY HOSPITAL"/>
        <s v="ST. JOSEPH'S BEHAVIORAL HEALTH CENTER"/>
        <s v="DOCTORS HOSPITAL OF MANTECA"/>
        <s v="SAN JOAQUIN PHF"/>
        <s v="KAISER FOUNDATION HOSPITAL - MANTECA"/>
        <s v="MARIAN REGIONAL MEDICAL CENTER, ARROYO GRANDE"/>
        <s v="FRENCH HOSPITAL MEDICAL CENTER"/>
        <s v="TENET HEALTH CENTRAL COAST SIERRA VISTA REGIONAL MEDICAL CENTER"/>
        <s v="TENET HEALTH CENTRAL COAST TWIN CITIES COMMUNITY HOSPITAL"/>
        <s v="SAN LUIS OBISPO CO PSYCHIATRIC HEALTH FACILITY"/>
        <s v="SAN MATEO MEDICAL CENTER"/>
        <s v="KAISER FOUNDATION HOSPITAL - SOUTH SAN FRANCISCO"/>
        <s v="AHMC SETON MEDICAL CENTER"/>
        <s v="AHMC SETON MEDICAL CENTER COASTSIDE"/>
        <s v="MILLS-PENINSULA MEDICAL CENTER"/>
        <s v="SEQUOIA HOSPITAL"/>
        <s v="KAISER FOUNDATION HOSPITAL - REDWOOD CITY"/>
        <s v="GOLETA VALLEY COTTAGE HOSPITAL"/>
        <s v="LOMPOC VALLEY MEDICAL CENTER"/>
        <s v="MARIAN REGIONAL MEDICAL CENTER"/>
        <s v="SANTA BARBARA COTTAGE HOSPITAL"/>
        <s v="SANTA YNEZ VALLEY COTTAGE HOSPITAL"/>
        <s v="SANTA BARBARA PSYCHIATRIC HEALTH FACILITY"/>
        <s v="REGIONAL MEDICAL CENTER OF SAN JOSE"/>
        <s v="EL CAMINO HEALTH"/>
        <s v="GOOD SAMARITAN HOSPITAL-SAN JOSE"/>
        <s v="O'CONNOR HOSPITAL"/>
        <s v="SANTA CLARA VALLEY MEDICAL CENTER"/>
        <s v="STANFORD HEALTH CARE"/>
        <s v="KAISER FOUNDATION HOSPITAL - SAN JOSE"/>
        <s v="SAN JOSE BEHAVIORAL HEALTH"/>
        <s v="LUCILE PACKARD CHILDREN'S HOSPITAL STANFORD"/>
        <s v="CHILDREN'S HEALTHCARE ORGANIZATION OF NORTHERN CA - PEDIATRIC HOSPITAL"/>
        <s v="ST. LOUISE REGIONAL HOSPITAL"/>
        <s v="KAISER FOUNDATION HOSPITAL - SANTA CLARA"/>
        <s v="KAISER PERMANENTE P.H.F - SANTA CLARA"/>
        <s v="CRESTWOOD PSYCHIATRIC HEALTH FACILITY-SAN JOSE"/>
        <s v="DOMINICAN HOSPITAL"/>
        <s v="SUTTER MATERNITY AND SURGERY CENTER OF SANTA CRUZ"/>
        <s v="WATSONVILLE COMMUNITY HOSPITAL"/>
        <s v="TELECARE SANTA CRUZ PHF"/>
        <s v="MAYERS MEMORIAL HOSPITAL"/>
        <s v="SHASTA REGIONAL MEDICAL CENTER"/>
        <s v="MERCY MEDICAL CENTER - REDDING"/>
        <s v="VIBRA HOSPITAL OF NORTHERN CALIFORNIA"/>
        <s v="PATIENTS' HOSPITAL OF REDDING"/>
        <s v="RESTPADD PSYCHIATRIC HEALTH FACILITY"/>
        <s v="MERCY MEDICAL CENTER MT. SHASTA"/>
        <s v="FAIRCHILD MEDICAL CENTER"/>
        <s v="KAISER FOUNDATION HOSPITAL &amp; REHAB CENTER - VALLEJO"/>
        <s v="ADVENTIST HEALTH VALLEJO"/>
        <s v="SUTTER SOLANO MEDICAL CENTER"/>
        <s v="NORTHBAY MEDICAL CENTER"/>
        <s v="KAISER FOUNDATION HOSPITAL - VACAVILLE"/>
        <s v="CRESTWOOD SOLANO PSYCHIATRIC HEALTH FACILITY"/>
        <s v="SONOMA COUNTY HEALING CENTER"/>
        <s v="HEALDSBURG HOSPITAL"/>
        <s v="PETALUMA VALLEY HOSPITAL"/>
        <s v="PROVIDENCE SANTA ROSA MEMORIAL HOSPITAL-MONTGOMERY"/>
        <s v="SONOMA VALLEY HOSPITAL"/>
        <s v="SONOMA SPECIALTY HOSPITAL"/>
        <s v="KAISER FOUNDATION HOSPITAL - SANTA ROSA"/>
        <s v="AURORA BEHAVIORAL HEALTHCARE-SANTA ROSA, LLC"/>
        <s v="SUTTER SANTA ROSA REGIONAL HOSPITAL"/>
        <s v="DOCTORS MEDICAL CENTER"/>
        <s v="EMANUEL MEDICAL CENTER"/>
        <s v="MEMORIAL MEDICAL CENTER - MODESTO"/>
        <s v="CENTRAL VALLEY SPECIALTY HOSPITAL"/>
        <s v="OAK VALLEY HOSPITAL DISTRICT"/>
        <s v="STANISLAUS SURGICAL HOSPITAL"/>
        <s v="ENCOMPASS HEALTH REHABILITATION HOSPITAL OF MODESTO"/>
        <s v="TELECARE STANISLAUS COUNTY PHF"/>
        <s v="SUTTER-YUBA PSYCHIATRIC HEALTH FACILITY"/>
        <s v="STABLER LANE BEHAVIORAL HEALTH"/>
        <s v="SUTTER SURGICAL HOSPITAL-NORTH VALLEY"/>
        <s v="NORTH VALLEY BEHAVIORAL HEALTH"/>
        <s v="ST. ELIZABETH COMMUNITY HOSPITAL"/>
        <s v="RESTPADD RED BLUFF PSYCHIATRIC HEALTH FACILITY"/>
        <s v="TRINITY HOSPITAL"/>
        <s v="KAWEAH HEALTH MEDICAL CENTER"/>
        <s v="SIERRA VIEW MEDICAL CENTER"/>
        <s v="ADVENTIST HEALTH TULARE"/>
        <s v="ADVENTIST HEALTH SONORA - GREENLEY"/>
        <s v="AURORA VISTA DEL MAR HOSPITAL"/>
        <s v="COMMUNITY MEMORIAL HOSPITAL-SAN BUENAVENTURA"/>
        <s v="VENTURA COUNTY MEDICAL CENTER"/>
        <s v="LOS ROBLES HOSPITAL &amp; MEDICAL CENTER"/>
        <s v="OJAI VALLEY COMMUNITY HOSPITAL"/>
        <s v="ST. JOHN'S HOSPITAL CAMARILLO"/>
        <s v="ADVENTIST HEALTH SIMI VALLEY"/>
        <s v="ST. JOHNS REGIONAL MEDICAL CENTER"/>
        <s v="WOODLAND MEMORIAL HOSPITAL"/>
        <s v="SUTTER DAVIS HOSPITAL"/>
        <s v="ADVENTIST HEALTH AND RIDEOUT"/>
      </sharedItems>
    </cacheField>
    <cacheField name="ADDRESS" numFmtId="49">
      <sharedItems>
        <s v="2070 CLINTON AVE"/>
        <s v="2450 ASHBY AVE"/>
        <s v="747 52ND ST"/>
        <s v="2001 DWIGHT WAY"/>
        <s v="1411 E 31ST ST"/>
        <s v="2800 BENEDICT DR"/>
        <s v="350 HAWTHORNE AVE"/>
        <s v="27200 CALAROGA AVE"/>
        <s v="2000 MOWRY AVE"/>
        <s v="3012 SUMMIT ST"/>
        <s v="39001 SUNDALE DR"/>
        <s v="5555 W LAS POSITAS BLVD"/>
        <s v="39400 PASEO PADRE PKWY"/>
        <s v="2633 E 27TH ST"/>
        <s v="2050 FAIRMONT DR"/>
        <s v="20103 LAKE CHABOT RD"/>
        <s v="275 W MACARTHUR BLVD"/>
        <s v="2500 MERCED ST"/>
        <s v="200 MISSION BLVD"/>
        <s v="240 SPRUCE ST"/>
        <s v="2767 OLIVE HWY"/>
        <s v="1531 ESPLANADE"/>
        <s v="592 RIO LINDO AVE"/>
        <s v="768 MOUNTAIN RANCH RD"/>
        <s v="199 E WEBSTER ST"/>
        <s v="2500 ALHAMBRA AVE"/>
        <s v="3901 LONE TREE WAY"/>
        <s v="1601 YGNACIO VALLEY RD"/>
        <s v="1425 S MAIN ST"/>
        <s v="2540 EAST ST"/>
        <s v="6001 NORRIS CANYON RD"/>
        <s v="2740 GRANT ST"/>
        <s v="4501 SAND CREEK ROAD"/>
        <s v="800 E WASHINGTON BLVD"/>
        <s v="2170 SOUTH AVE"/>
        <s v="1100 MARSHALL WAY"/>
        <s v="935B SPRING ST"/>
        <s v="2755 HERNDON AVE"/>
        <s v="1191 PHELPS AVE"/>
        <s v="2823 FRESNO ST"/>
        <s v="372 W CYPRESS AVE"/>
        <s v="1303 E HERNDON AVE"/>
        <s v="7173 N SHARON AVE"/>
        <s v="6125 N FRESNO ST"/>
        <s v="7300 N FRESNO ST"/>
        <s v="4411 E KINGS CANYON RD"/>
        <s v="1133 W SYCAMORE ST"/>
        <s v="3800 JANES RD"/>
        <s v="733 CEDAR ST"/>
        <s v="3300 RENNER DR"/>
        <s v="2700 DOLBEER ST"/>
        <s v="720 WOOD ST"/>
        <s v="1415 ROSS AVE"/>
        <s v="207 W LEGION RD"/>
        <s v="150 PIONEER LN"/>
        <s v="501 E LOCUST ST"/>
        <s v="1401 GARCES HWY"/>
        <s v="420 34TH ST"/>
        <s v="1700 MOUNT VERNON AVENUE"/>
        <s v="6412 LAUREL AVE"/>
        <s v="2215 TRUXTUN AVE"/>
        <s v="901 OLIVE DR"/>
        <s v="1081 N CHINA LAKE BLVD"/>
        <s v="2615 CHESTER AVE"/>
        <s v="4400 KIRKCALDY DR"/>
        <s v="5001 COMMERCE DR"/>
        <s v="5201 WHITE LN"/>
        <s v="3001 SILLECT AVE"/>
        <s v="6700 EUCALYPTUS DR"/>
        <s v="MAGELLAN DR"/>
        <s v="115 MALL DR"/>
        <s v="15630 18TH AVE"/>
        <s v="5176 HILL RD E"/>
        <s v="1800 SPRING RIDGE DR"/>
        <s v="100 S RAYMOND AVE"/>
        <s v="4619 ROSEMEAD BLVD"/>
        <s v="1600 W AVE J"/>
        <s v="100 FALLS CANYON RD"/>
        <s v="14148 FRANCISQUITO AVE"/>
        <s v="2000 STADIUM WAY"/>
        <s v="1050 LINDEN AVE"/>
        <s v="9542 ARTESIA BLVD"/>
        <s v="309 W BEVERLY BLVD"/>
        <s v="3828 DELMAS TER"/>
        <s v="1401 S GRAND AVE"/>
        <s v="255 E BONITA AVE"/>
        <s v="555 E HARDY ST"/>
        <s v="4211 AVALON BLVD"/>
        <s v="2070 CENTURY PARK E"/>
        <s v="1161 E COVINA BLVD"/>
        <s v="4650 W SUNSET BLVD"/>
        <s v="1500 DUARTE RD"/>
        <s v="10802 COLLEGE PL"/>
        <s v="1246 W 155TH ST"/>
        <s v="2623 E SLAUSON AVE"/>
        <s v="4081 E OLYMPIC BLVD"/>
        <s v="438 W LAS TUNAS DR"/>
        <s v="23700 CAMINO DEL SOL"/>
        <s v="3700 SOUTH ST"/>
        <s v="11500 BROOKSHIRE AVE"/>
        <s v="4060 WHITTIER BLVD"/>
        <s v="16237 VENTURA BLVD"/>
        <s v="250 S GRAND AVE"/>
        <s v="5525 W SLAUSON AVE"/>
        <s v="525 N GARFIELD AVE"/>
        <s v="1891 EFFIE ST"/>
        <s v="1509 WILSON TER"/>
        <s v="150 W ROUTE 66"/>
        <s v="1701 SANTA ANITA AVE"/>
        <s v="6245 DE LONGPRE AVE"/>
        <s v="1300 N VERMONT AVE"/>
        <s v="15031 RINALDI ST"/>
        <s v="1225 WILSHIRE BLVD"/>
        <s v="100 W CALIFORNIA BLVD"/>
        <s v="210 W SAN BERNARDINO RD"/>
        <s v="3330 LOMITA BLVD"/>
        <s v="4867 W SUNSET BLVD"/>
        <s v="25825 VERMONT AVE"/>
        <s v="13652 CANTARA ST"/>
        <s v="6041 CADILLAC AVE"/>
        <s v="14900 IMPERIAL HWY"/>
        <s v="2900 E DEL MAR BLVD"/>
        <s v="4101 TORRANCE BLVD"/>
        <s v="4650 LINCOLN BLVD"/>
        <s v="18321 CLARK ST"/>
        <s v="1145 W REDONDO BEACH BLVD"/>
        <s v="1420 S CENTRAL AVE"/>
        <s v="14850 ROSCOE BLVD"/>
        <s v="2801 ATLANTIC AVE"/>
        <s v="300 W HUNTINGTON DR"/>
        <s v="323 S HELIOTROPE AVE"/>
        <s v="900 S ATLANTIC BLVD"/>
        <s v="23388 MULHOLLAND DR"/>
        <s v="8700 BEVERLY BLVD"/>
        <s v="18300 ROSCOE BLVD"/>
        <s v="13222 BLOOMFIELD AVE"/>
        <s v="2776 PACIFIC AVE"/>
        <s v="16453 COLORADO AVE"/>
        <s v="1798 N GAREY AVE"/>
        <s v="12401 WASHINGTON BLVD"/>
        <s v="1115 S SUNSET AVE"/>
        <s v="1711 W TEMPLE ST"/>
        <s v="1350 W COVINA BLVD"/>
        <s v="1300 W 7TH ST"/>
        <s v="6000 SAN VICENTE BLVD"/>
        <s v="1250 16TH ST"/>
        <s v="9449 SAN FERNANDO RD"/>
        <s v="4929 VAN NUYS BLVD"/>
        <s v="3630 E IMPERIAL HWY"/>
        <s v="2121 SANTA MONICA BLVD"/>
        <s v="501 S BUENA VISTA ST"/>
        <s v="13100 STUDEBAKER RD"/>
        <s v="18646 OXNARD ST"/>
        <s v="757 WESTWOOD PLAZA"/>
        <s v="15107 VANOWEN ST"/>
        <s v="1812 VERDUGO BLVD"/>
        <s v="725 S ORANGE AVE"/>
        <s v="7300 MEDICAL CENTER DR"/>
        <s v="1720 E CESAR E CHAVEZ AVE"/>
        <s v="9080 COLIMA RD"/>
        <s v="150 MEDICAL PLAZA"/>
        <s v="23845 MCBEAN PKWY"/>
        <s v="1441 EASTLAKE AVE"/>
        <s v="1775 CHESTNUT AVE"/>
        <s v="1000 W CARSON ST"/>
        <s v="1200 N STATE ST"/>
        <s v="1680 E 120TH ST"/>
        <s v="14445 OLIVE VIEW DR"/>
        <s v="7601 IMPERIAL HWY"/>
        <s v="5601 DE SOTO AVE"/>
        <s v="2180 VALLEY BLVD"/>
        <s v="1500 SAN PABLO ST"/>
        <s v="4025 W 226TH ST"/>
        <s v="6060 N PARAMOUNT BLVD"/>
        <s v="1011 BALDWIN PARK BLVD"/>
        <s v="9333 IMPERIAL HWY"/>
        <s v="7150 TAMPA AVE"/>
        <s v="38600 MEDICAL CENTER DR"/>
        <s v="9808 VENICE BLVD"/>
        <s v="2600 REDONDO AVE"/>
        <s v="1250 E ALMOND AVE"/>
        <s v="9300 VALLEY CHILDREN'S PL"/>
        <s v="99 MONTECILLO RD"/>
        <s v="1125 SIR FRANCIS DRAKE BLVD."/>
        <s v="250 BON AIR RD"/>
        <s v="180 ROWLAND WAY"/>
        <s v="5189 HOSPITAL RD"/>
        <s v="700 RIVER DR"/>
        <s v="275 HOSPITAL DR"/>
        <s v="95490"/>
        <s v="520 W I ST"/>
        <s v="333 MERCY AVE"/>
        <s v="300 E 15TH ST"/>
        <s v="741 MAIN ST"/>
        <s v="N NAGLE ST"/>
        <s v="85 SIERRA PARK ROAD"/>
        <s v="23625 HOLMAN HWY"/>
        <s v="300 CANAL ST"/>
        <s v="450 E ROMIE LN"/>
        <s v="1441 CONSTITUTION BLVD"/>
        <s v="1000 TRANCAS ST"/>
        <s v="10 WOODLAND RD"/>
        <s v="155 GLASSON WAY"/>
        <s v="10121 PINE AVE"/>
        <s v="1201 W LA VETA AVE"/>
        <s v="9920 TALBERT AVE"/>
        <s v="3350 W BALL RD"/>
        <s v="1111 W LA PALMA AVE"/>
        <s v="875 N BREA BLVD"/>
        <s v="2601 E CHAPMAN AVE"/>
        <s v="301 VICTORIA ST"/>
        <s v="17100 EUCLID ST"/>
        <s v="1025 S ANAHEIM BLVD"/>
        <s v="1 HOAG DR"/>
        <s v="17772 BEACH BLVD"/>
        <s v="7901 WALKER ST"/>
        <s v="3751 KATELLA AVE"/>
        <s v="2701 S BRISTOL ST"/>
        <s v="27700 MEDICAL CENTER RD"/>
        <s v="101 CITY DRIVE SOUTH"/>
        <s v="12601 GARDEN GROVE BLVD"/>
        <s v="1301 N ROSE DR"/>
        <s v="1501 E 16TH ST"/>
        <s v="24451 HEALTH CENTER DR"/>
        <s v="31872 COAST HWY"/>
        <s v="1100 W STEWART DR"/>
        <s v="101 E VALENCIA MESA DR"/>
        <s v="14662 NEWPORT AVE"/>
        <s v="3033 W ORANGE AVE"/>
        <s v="200 HOSPITAL CIR"/>
        <s v="1001 N TUSTIN AVE"/>
        <s v="14851 YORBA ST"/>
        <s v="393 S TUSTIN ST"/>
        <s v="3440 E LA PALMA AVE"/>
        <s v="16250 SAND CANYON AVE"/>
        <s v="24552 PACIFIC PARK DR"/>
        <s v="15120 KENSINGTON PARK DR"/>
        <s v="200 FREEDOM LN"/>
        <s v="11815 EDUCATION ST"/>
        <s v="1 MEDICAL PLAZA DR"/>
        <s v="1600 EUREKA RD"/>
        <s v="101 CIRBY HILLS DR"/>
        <s v="500 1ST AVE"/>
        <s v="1065 BUCKS LAKE RD"/>
        <s v="130 BRENTWOOD DR"/>
        <s v="39000 BOB HOPE DR"/>
        <s v="800 S MAIN ST"/>
        <s v="1150 N INDIAN CANYON DR"/>
        <s v="1117 E DEVONSHIRE AVE"/>
        <s v="47111 MONROE ST"/>
        <s v="5900 BROCKTON AVE"/>
        <s v="250 N 1ST ST"/>
        <s v="3865 JACKSON ST"/>
        <s v="4445 MAGNOLIA AVE"/>
        <s v="600 N HIGHLAND SPRINGS AVE"/>
        <s v="2224 MEDICAL CENTER DR"/>
        <s v="28400 MCCALL BLVD"/>
        <s v="10800 MAGNOLIA AVE"/>
        <s v="27300 IRIS AVE"/>
        <s v="25500 MEDICAL CENTER DR"/>
        <s v="47915 OASIS ST"/>
        <s v="26520 CACTUS AVE"/>
        <s v="70077 RAMON RD"/>
        <s v="31700 TEMECULA PKWY"/>
        <s v="28100 BAXTER RD"/>
        <s v="35470 WHITEWOOD RD"/>
        <s v="4378 AUBURN BLVD"/>
        <s v="2025 MORSE AVE"/>
        <s v="4001 J ST"/>
        <s v="6501 COYLE AVE"/>
        <s v="7500 HOSPITAL DR"/>
        <s v="2315 STOCKTON BLVD"/>
        <s v="2825 CAPITOL AVE"/>
        <s v="6600 BRUCEVILLE RD"/>
        <s v="8001 BRUCEVILLE RD"/>
        <s v="2150 STOCKTON BLVD"/>
        <s v="7700 FOLSOM BLVD"/>
        <s v="4250 AUBURN BLVD"/>
        <s v="1650 CREEKSIDE DR"/>
        <s v="330 MONTROSE DR"/>
        <s v="2425 STOCKTON BLVD"/>
        <s v="4741 ENGLE RD"/>
        <s v="2600 STOCKTON BLVD"/>
        <s v="1400 EXPO PKWY"/>
        <s v="911 SUNSET DR"/>
        <s v="41870 GARSTIN DR"/>
        <s v="5451 WALNUT AVE"/>
        <s v="5000 SAN BERNARDINO ST"/>
        <s v="9961 SIERRA AVE"/>
        <s v="11234 ANDERSON ST"/>
        <s v="29101 HOSPITAL RD"/>
        <s v="550 N MONTEREY AVE"/>
        <s v="350 TERRACINA BLVD"/>
        <s v="999 SAN BERNARDINO RD"/>
        <s v="1805 MEDICAL CENTER DR"/>
        <s v="2101 N WATERMAN AVE"/>
        <s v="18300 US HIGHWAY 18"/>
        <s v="15248 11TH ST"/>
        <s v="1401 BAILEY AVE"/>
        <s v="6601 WHITE FEATHER RD"/>
        <s v="1710 BARTON RD"/>
        <s v="5353 G ST"/>
        <s v="1760 W 16TH ST"/>
        <s v="16850 BEAR VALLEY RD"/>
        <s v="10841 WHITE OAK AVE"/>
        <s v="400 N. PEPPER AVENUE"/>
        <s v="820 E MOUNTAIN VIEW ST"/>
        <s v="1720 MOUNTAIN VIEW AVE"/>
        <s v="14750 EL CAMINO REAL"/>
        <s v="6655 ALVARADO RD"/>
        <s v="3020 CHILDRENS WAY"/>
        <s v="250 PROSPECT PL"/>
        <s v="7901 FROST ST"/>
        <s v="3003 HEALTH CENTER DR"/>
        <s v="5555 GROSSMONT CENTER DR"/>
        <s v="1940 EL CAJON BLVD"/>
        <s v="4647 ZION AVE"/>
        <s v="4077 5TH AVE"/>
        <s v="7850 VISTA HILL AVE"/>
        <s v="7050 PARKWAY DR"/>
        <s v="2400 E 4TH ST"/>
        <s v="9888 GENESEE AVE"/>
        <s v="4002 VISTA WAY"/>
        <s v="200 W ARBOR DR"/>
        <s v="751 MEDICAL CENTER CT"/>
        <s v="15615 POMERADO RD"/>
        <s v="10666 N TORREY PINES RD"/>
        <s v="354 SANTA FE DR"/>
        <s v="11878 AVE OF INDUSTRY"/>
        <s v="7989 LINDA VISTA RD"/>
        <s v="3853 ROSECRANS ST"/>
        <s v="555 WASHINGTON ST"/>
        <s v="2185 W CITRACADO PKWY"/>
        <s v="2181 W CITRACADO PKWY"/>
        <s v="302 SILVER AVE"/>
        <s v="2425 GEARY BLVD"/>
        <s v="375 LAGUNA HONDA BLVD"/>
        <s v="401 PARNASSUS AVE"/>
        <s v="601 DUBOCE AVE"/>
        <s v="1001 POTRERO AVE"/>
        <s v="900 HYDE ST"/>
        <s v="450 STANYAN ST"/>
        <s v="505 PARNASSUS AVE"/>
        <s v="845 JACKSON ST"/>
        <s v="1101 VAN NESS AVE"/>
        <s v="3555 CESAR CHAVEZ ST"/>
        <s v="525 W ACACIA ST"/>
        <s v="975 S FAIRMONT AVE"/>
        <s v="500 W HOSPITAL RD"/>
        <s v="1800 N CALIFORNIA ST"/>
        <s v="1420 N TRACY BLVD"/>
        <s v="2510 N CALIFORNIA ST"/>
        <s v="1205 E NORTH ST"/>
        <s v="1212 N CALIFORNIA ST"/>
        <s v="1777 W YOSEMITE AVE"/>
        <s v="345 S HALCYON RD"/>
        <s v="1911 JOHNSON AVE"/>
        <s v="1010 MURRAY ST"/>
        <s v="1100 LAS TABLAS RD"/>
        <s v="2178 JOHNSON AVE"/>
        <s v="222 W 39TH AVE"/>
        <s v="1200 EL CAMINO REAL"/>
        <s v="1900 SULLIVAN AVE"/>
        <s v="600 MARINE BLVD"/>
        <s v="1501 TROUSDALE DR"/>
        <s v="170 ALAMEDA"/>
        <s v="1100 VETERANS BLVD"/>
        <s v="351 S PATTERSON AVE"/>
        <s v="1515 E OCEAN AVE"/>
        <s v="1400 E CHURCH ST"/>
        <s v="400 W PUEBLO ST"/>
        <s v="2050 VIBORG RD"/>
        <s v="315 CAMINO DEL REMEDIO"/>
        <s v="225 N JACKSON AVE"/>
        <s v="2500 GRANT RD"/>
        <s v="2425 SAMARITAN DR"/>
        <s v="2105 FOREST AVE"/>
        <s v="751 S BASCOM AVE"/>
        <s v="300 PASTEUR DR"/>
        <s v="250 HOSPITAL PKWY"/>
        <s v="455 SILICON VALLEY BLVD"/>
        <s v="725 WELCH RD"/>
        <s v="3777 S BASCOM AVE"/>
        <s v="9400 N NAME UNO"/>
        <s v="700 LAWRENCE EXPY"/>
        <s v="3598 HOMESTEAD RD"/>
        <s v="1425 FRUITDALE AVE"/>
        <s v="1555 SOQUEL DR"/>
        <s v="2900 CHANTICLEER AVE"/>
        <s v="75 NEILSON ST"/>
        <s v="2250 SOQUEL AVE"/>
        <s v="43563 CA-299 E"/>
        <s v="1100 BUTTE ST"/>
        <s v="2175 ROSALINE AVE"/>
        <s v="2801 EUREKA WAY"/>
        <s v="2900 EUREKA WAY"/>
        <s v="2750 EUREKA WAY"/>
        <s v="914 PINE ST"/>
        <s v="444 BRUCE ST"/>
        <s v="975 SERENO DR"/>
        <s v="525 OREGON ST"/>
        <s v="300 HOSPITAL DR"/>
        <s v="1200 B GALE WILSON BLVD"/>
        <s v="1 QUALITY DRIVE"/>
        <s v="2201 TUOLUMNE ST"/>
        <s v="7440 RANCHO LOS GUILICOS RD"/>
        <s v="1375 UNIVERSITY ST"/>
        <s v="400 N MCDOWELL BLVD"/>
        <s v="1165 MONTGOMERY DR"/>
        <s v="347 ANDRIEUX ST"/>
        <s v="501 PETALUMA AVE"/>
        <s v="401 BICENTENNIAL WAY"/>
        <s v="1287 FULTON RD"/>
        <s v="30 MARK WEST SPRINGS RD"/>
        <s v="1441 FLORIDA AVE"/>
        <s v="825 DELBON AVE"/>
        <s v="1700 COFFEE RD"/>
        <s v="730 17TH ST"/>
        <s v="350 S OAK AVE"/>
        <s v="1421 OAKDALE RD"/>
        <s v="1303 MABLE AVE"/>
        <s v="1904 RICHLAND AVE"/>
        <s v="1965 LIVE OAK BLVD"/>
        <s v="1253 STABLER LN"/>
        <s v="455 PLUMAS BLVD"/>
        <s v="1535 PLUMAS COURT"/>
        <s v="2550 SISTER MARY COLUMBA DR"/>
        <s v="925 WALNUT ST"/>
        <s v="60 EASTER AVE"/>
        <s v="400 W MINERAL KING AVE"/>
        <s v="465 W PUTNAM AVE"/>
        <s v="869 N CHERRY ST"/>
        <s v="1000 GREENLEY RD"/>
        <s v="801 SENECA ST"/>
        <s v="147 N BRENT ST"/>
        <s v="300 HILLMONT AVE"/>
        <s v="215 W JANSS RD"/>
        <s v="1306 MARICOPA HWY"/>
        <s v="2309 ANTONIO AVE"/>
        <s v="2975 SYCAMORE DR"/>
        <s v="1600 N ROSE AVE"/>
        <s v="1325 COTTONWOOD ST"/>
        <s v="2000 SUTTER PL"/>
        <s v="726 FOURTH ST"/>
      </sharedItems>
    </cacheField>
    <cacheField name="CITY" numFmtId="49">
      <sharedItems>
        <s v="ALAMEDA"/>
        <s v="BERKELEY"/>
        <s v="OAKLAND"/>
        <s v="SAN LEANDRO"/>
        <s v="HAYWARD"/>
        <s v="FREMONT"/>
        <s v="PLEASANTON"/>
        <s v="CASTRO VALLEY"/>
        <s v="JACKSON"/>
        <s v="GRIDLEY"/>
        <s v="OROVILLE"/>
        <s v="CHICO"/>
        <s v="SAN ANDREAS"/>
        <s v="COLUSA"/>
        <s v="MARTINEZ"/>
        <s v="ANTIOCH"/>
        <s v="WALNUT CREEK"/>
        <s v="CONCORD"/>
        <s v="SAN RAMON"/>
        <s v="CRESCENT CITY"/>
        <s v="SOUTH LAKE TAHOE"/>
        <s v="PLACERVILLE"/>
        <s v="CLOVIS"/>
        <s v="COALINGA"/>
        <s v="FRESNO"/>
        <s v="REEDLEY"/>
        <s v="WILLOWS"/>
        <s v="ARCATA"/>
        <s v="GARBERVILLE"/>
        <s v="FORTUNA"/>
        <s v="EUREKA"/>
        <s v="EL CENTRO"/>
        <s v="BRAWLEY"/>
        <s v="BISHOP"/>
        <s v="LONE PINE"/>
        <s v="DELANO"/>
        <s v="BAKERSFIELD"/>
        <s v="LAKE ISABELLA"/>
        <s v="RIDGECREST"/>
        <s v="TEHACHAPI"/>
        <s v="HANFORD"/>
        <s v="CLEARLAKE"/>
        <s v="LAKEPORT"/>
        <s v="SUSANVILLE"/>
        <s v="ALHAMBRA"/>
        <s v="ROSEMEAD"/>
        <s v="LANCASTER"/>
        <s v="AVALON"/>
        <s v="BALDWIN PARK"/>
        <s v="LOS ANGELES"/>
        <s v="LONG BEACH"/>
        <s v="BELLFLOWER"/>
        <s v="MONTEBELLO"/>
        <s v="CULVER CITY"/>
        <s v="POMONA"/>
        <s v="INGLEWOOD"/>
        <s v="COVINA"/>
        <s v="DUARTE"/>
        <s v="CERRITOS"/>
        <s v="GARDENA"/>
        <s v="HUNTINGTON PARK"/>
        <s v="SAN GABRIEL"/>
        <s v="TORRANCE"/>
        <s v="LAKEWOOD"/>
        <s v="DOWNEY"/>
        <s v="ENCINO"/>
        <s v="GLENDORA"/>
        <s v="MONTEREY PARK"/>
        <s v="GLENDALE"/>
        <s v="SOUTH EL MONTE"/>
        <s v="HOLLYWOOD"/>
        <s v="MISSION HILLS"/>
        <s v="PASADENA"/>
        <s v="HARBOR CITY"/>
        <s v="PANORAMA CITY"/>
        <s v="LA MIRADA"/>
        <s v="MARINA DEL REY"/>
        <s v="TARZANA"/>
        <s v="ARCADIA"/>
        <s v="MONROVIA"/>
        <s v="WOODLAND HILLS"/>
        <s v="NORTHRIDGE"/>
        <s v="NORWALK"/>
        <s v="PARAMOUNT"/>
        <s v="WHITTIER"/>
        <s v="WEST COVINA"/>
        <s v="SAN DIMAS"/>
        <s v="SAN PEDRO"/>
        <s v="SANTA MONICA"/>
        <s v="SUN VALLEY"/>
        <s v="SHERMAN OAKS"/>
        <s v="LYNWOOD"/>
        <s v="BURBANK"/>
        <s v="VAN NUYS"/>
        <s v="WEST HILLS"/>
        <s v="VALENCIA"/>
        <s v="SYLMAR"/>
        <s v="RESEDA"/>
        <s v="PALMDALE"/>
        <s v="MADERA"/>
        <s v="SAN RAFAEL"/>
        <s v="KENTFIELD"/>
        <s v="GREENBRAE"/>
        <s v="NOVATO"/>
        <s v="MARIPOSA"/>
        <s v="FORT BRAGG"/>
        <s v="UKIAH"/>
        <s v="WILLITS"/>
        <s v="LOS BANOS"/>
        <s v="MERCED"/>
        <s v="CEDARVILLE"/>
        <s v="ALTURAS"/>
        <s v="MAMMOTH LAKES"/>
        <s v="MONTEREY"/>
        <s v="KING CITY"/>
        <s v="SALINAS"/>
        <s v="NAPA"/>
        <s v="ST. HELENA"/>
        <s v="GRASS VALLEY"/>
        <s v="TRUCKEE"/>
        <s v="ORANGE"/>
        <s v="FOUNTAIN VALLEY"/>
        <s v="ANAHEIM"/>
        <s v="BREA"/>
        <s v="COSTA MESA"/>
        <s v="NEWPORT BEACH"/>
        <s v="HUNTINGTON BEACH"/>
        <s v="LA PALMA"/>
        <s v="LOS ALAMITOS"/>
        <s v="SANTA ANA"/>
        <s v="MISSION VIEJO"/>
        <s v="GARDEN GROVE"/>
        <s v="PLACENTIA"/>
        <s v="LAGUNA HILLS"/>
        <s v="LAGUNA BEACH"/>
        <s v="FULLERTON"/>
        <s v="TUSTIN"/>
        <s v="WESTMINSTER"/>
        <s v="IRVINE"/>
        <s v="ALISO VIEJO"/>
        <s v="AUBURN"/>
        <s v="ROSEVILLE"/>
        <s v="PORTOLA"/>
        <s v="QUINCY"/>
        <s v="CHESTER"/>
        <s v="RANCHO MIRAGE"/>
        <s v="CORONA"/>
        <s v="PALM SPRINGS"/>
        <s v="HEMET"/>
        <s v="INDIO"/>
        <s v="RIVERSIDE"/>
        <s v="BLYTHE"/>
        <s v="BANNING"/>
        <s v="PERRIS"/>
        <s v="SUN CITY"/>
        <s v="MORENO VALLEY"/>
        <s v="MURRIETA"/>
        <s v="TEMECULA"/>
        <s v="SACRAMENTO"/>
        <s v="CARMICHAEL"/>
        <s v="FOLSOM"/>
        <s v="HOLLISTER"/>
        <s v="BIG BEAR LAKE"/>
        <s v="CHINO"/>
        <s v="MONTCLAIR"/>
        <s v="FONTANA"/>
        <s v="LOMA LINDA"/>
        <s v="LAKE ARROWHEAD"/>
        <s v="ONTARIO"/>
        <s v="REDLANDS"/>
        <s v="UPLAND"/>
        <s v="SAN BERNARDINO"/>
        <s v="APPLE VALLEY"/>
        <s v="VICTORVILLE"/>
        <s v="NEEDLES"/>
        <s v="JOSHUA TREE"/>
        <s v="RANCHO CUCAMONGA"/>
        <s v="COLTON"/>
        <s v="BARSTOW"/>
        <s v="DEL MAR"/>
        <s v="SAN DIEGO"/>
        <s v="CORONADO"/>
        <s v="LA MESA"/>
        <s v="NATIONAL CITY"/>
        <s v="LA JOLLA"/>
        <s v="OCEANSIDE"/>
        <s v="CHULA VISTA"/>
        <s v="POWAY"/>
        <s v="ENCINITAS"/>
        <s v="ESCONDIDO"/>
        <s v="SAN FRANCISCO"/>
        <s v="STOCKTON"/>
        <s v="LODI"/>
        <s v="FRENCH CAMP"/>
        <s v="TRACY"/>
        <s v="MANTECA"/>
        <s v="ARROYO GRANDE"/>
        <s v="SAN LUIS OBISPO"/>
        <s v="TEMPLETON"/>
        <s v="SAN MATEO"/>
        <s v="SOUTH SAN FRANCISCO"/>
        <s v="DALY CITY"/>
        <s v="MOSS BEACH"/>
        <s v="BURLINGAME"/>
        <s v="REDWOOD CITY"/>
        <s v="SANTA BARBARA"/>
        <s v="LOMPOC"/>
        <s v="SANTA MARIA"/>
        <s v="SOLVANG"/>
        <s v="SAN JOSE"/>
        <s v="MOUNTAIN VIEW"/>
        <s v="PALO ALTO"/>
        <s v="CAMPBELL"/>
        <s v="GILROY"/>
        <s v="SANTA CLARA"/>
        <s v="SANTA CRUZ"/>
        <s v="WATSONVILLE"/>
        <s v="FALL RIVER MILLS"/>
        <s v="REDDING"/>
        <s v="MOUNT SHASTA"/>
        <s v="YREKA"/>
        <s v="VALLEJO"/>
        <s v="FAIRFIELD"/>
        <s v="VACAVILLE"/>
        <s v="SANTA ROSA"/>
        <s v="HEALDSBURG"/>
        <s v="PETALUMA"/>
        <s v="SONOMA"/>
        <s v="SEBASTOPOL"/>
        <s v="MODESTO"/>
        <s v="TURLOCK"/>
        <s v="OAKDALE"/>
        <s v="CERES"/>
        <s v="YUBA CITY"/>
        <s v="RED BLUFF"/>
        <s v="WEAVERVILLE"/>
        <s v="VISALIA"/>
        <s v="PORTERVILLE"/>
        <s v="TULARE"/>
        <s v="SONORA"/>
        <s v="VENTURA"/>
        <s v="THOUSAND OAKS"/>
        <s v="OJAI"/>
        <s v="CAMARILLO"/>
        <s v="SIMI VALLEY"/>
        <s v="OXNARD"/>
        <s v="WOODLAND"/>
        <s v="DAVIS"/>
        <s v="MARYSVILLE"/>
      </sharedItems>
    </cacheField>
    <cacheField name="DBA_ZIP_CODE" numFmtId="49">
      <sharedItems>
        <s v="94501"/>
        <s v="94705"/>
        <s v="94609"/>
        <s v="94704"/>
        <s v="94602"/>
        <s v="94577"/>
        <s v="94545"/>
        <s v="94538"/>
        <s v="94588"/>
        <s v="94601"/>
        <s v="94578"/>
        <s v="94546"/>
        <s v="94611"/>
        <s v="95642"/>
        <s v="95948"/>
        <s v="95966"/>
        <s v="95926"/>
        <s v="95249"/>
        <s v="95932"/>
        <s v="94553"/>
        <s v="94509"/>
        <s v="94598"/>
        <s v="94596"/>
        <s v="94520"/>
        <s v="94583"/>
        <s v="94531"/>
        <s v="95531"/>
        <s v="96150"/>
        <s v="95667"/>
        <s v="93611"/>
        <s v="93210"/>
        <s v="93721"/>
        <s v="93654"/>
        <s v="93720"/>
        <s v="93710"/>
        <s v="93702"/>
        <s v="95988"/>
        <s v="95521"/>
        <s v="95542"/>
        <s v="95540"/>
        <s v="95501"/>
        <s v="92243"/>
        <s v="92227"/>
        <s v="93514"/>
        <s v="93545"/>
        <s v="93215"/>
        <s v="93301"/>
        <s v="93306"/>
        <s v="93240"/>
        <s v="93308"/>
        <s v="93555"/>
        <s v="93309"/>
        <s v="93561"/>
        <s v="93230"/>
        <s v="95422"/>
        <s v="95453"/>
        <s v="96130"/>
        <s v="91801"/>
        <s v="91770"/>
        <s v="93534"/>
        <s v="90704"/>
        <s v="91706"/>
        <s v="90026"/>
        <s v="90813"/>
        <s v="90706"/>
        <s v="90640"/>
        <s v="90232"/>
        <s v="90015"/>
        <s v="91767"/>
        <s v="90301"/>
        <s v="90011"/>
        <s v="90067"/>
        <s v="91724"/>
        <s v="90027"/>
        <s v="91010"/>
        <s v="90703"/>
        <s v="90247"/>
        <s v="90255"/>
        <s v="90023"/>
        <s v="91776"/>
        <s v="90505"/>
        <s v="90712"/>
        <s v="90241"/>
        <s v="91436"/>
        <s v="91741"/>
        <s v="90056"/>
        <s v="91754"/>
        <s v="91206"/>
        <s v="91740"/>
        <s v="91733"/>
        <s v="90028"/>
        <s v="91345"/>
        <s v="90017"/>
        <s v="91105"/>
        <s v="91723"/>
        <s v="90710"/>
        <s v="91402"/>
        <s v="90034"/>
        <s v="90638"/>
        <s v="91107"/>
        <s v="90503"/>
        <s v="90292"/>
        <s v="91356"/>
        <s v="91204"/>
        <s v="90806"/>
        <s v="91007"/>
        <s v="91016"/>
        <s v="91364"/>
        <s v="90048"/>
        <s v="91325"/>
        <s v="90650"/>
        <s v="90723"/>
        <s v="90602"/>
        <s v="91790"/>
        <s v="91773"/>
        <s v="90732"/>
        <s v="90036"/>
        <s v="90404"/>
        <s v="91352"/>
        <s v="91403"/>
        <s v="90262"/>
        <s v="91505"/>
        <s v="90095"/>
        <s v="91405"/>
        <s v="91208"/>
        <s v="91307"/>
        <s v="90033"/>
        <s v="90605"/>
        <s v="91355"/>
        <s v="90502"/>
        <s v="90059"/>
        <s v="91342"/>
        <s v="90242"/>
        <s v="91367"/>
        <s v="91768"/>
        <s v="90805"/>
        <s v="91335"/>
        <s v="93551"/>
        <s v="93637"/>
        <s v="93636"/>
        <s v="94903"/>
        <s v="94904"/>
        <s v="94945"/>
        <s v="95338"/>
        <s v="95437"/>
        <s v="95482"/>
        <s v="95490"/>
        <s v="93635"/>
        <s v="95340"/>
        <s v="96104"/>
        <s v="96101"/>
        <s v="93546"/>
        <s v="93940"/>
        <s v="93930"/>
        <s v="93901"/>
        <s v="93906"/>
        <s v="94558"/>
        <s v="94574"/>
        <s v="95945"/>
        <s v="96161"/>
        <s v="92868"/>
        <s v="92708"/>
        <s v="92804"/>
        <s v="92801"/>
        <s v="92821"/>
        <s v="92869"/>
        <s v="92627"/>
        <s v="92805"/>
        <s v="92663"/>
        <s v="92647"/>
        <s v="90623"/>
        <s v="90720"/>
        <s v="92704"/>
        <s v="92691"/>
        <s v="92843"/>
        <s v="92870"/>
        <s v="92653"/>
        <s v="92651"/>
        <s v="92835"/>
        <s v="92780"/>
        <s v="92683"/>
        <s v="92705"/>
        <s v="92866"/>
        <s v="92806"/>
        <s v="92618"/>
        <s v="92677"/>
        <s v="92782"/>
        <s v="92656"/>
        <s v="95602"/>
        <s v="95661"/>
        <s v="95678"/>
        <s v="96122"/>
        <s v="95971"/>
        <s v="96020"/>
        <s v="92270"/>
        <s v="92882"/>
        <s v="92262"/>
        <s v="92543"/>
        <s v="92201"/>
        <s v="92506"/>
        <s v="92225"/>
        <s v="92503"/>
        <s v="92501"/>
        <s v="92220"/>
        <s v="92571"/>
        <s v="92585"/>
        <s v="92505"/>
        <s v="92555"/>
        <s v="92562"/>
        <s v="92592"/>
        <s v="92563"/>
        <s v="95841"/>
        <s v="95825"/>
        <s v="95819"/>
        <s v="95608"/>
        <s v="95823"/>
        <s v="95817"/>
        <s v="95816"/>
        <s v="95826"/>
        <s v="95630"/>
        <s v="95815"/>
        <s v="95023"/>
        <s v="92315"/>
        <s v="91710"/>
        <s v="91763"/>
        <s v="92335"/>
        <s v="92354"/>
        <s v="92352"/>
        <s v="91764"/>
        <s v="92373"/>
        <s v="91786"/>
        <s v="92411"/>
        <s v="92404"/>
        <s v="92307"/>
        <s v="92395"/>
        <s v="92363"/>
        <s v="92252"/>
        <s v="91730"/>
        <s v="92324"/>
        <s v="92311"/>
        <s v="92014"/>
        <s v="92120"/>
        <s v="92123"/>
        <s v="92118"/>
        <s v="91942"/>
        <s v="92104"/>
        <s v="92103"/>
        <s v="91950"/>
        <s v="92037"/>
        <s v="92056"/>
        <s v="91911"/>
        <s v="92064"/>
        <s v="92024"/>
        <s v="92128"/>
        <s v="92111"/>
        <s v="92110"/>
        <s v="92029"/>
        <s v="94112"/>
        <s v="94115"/>
        <s v="94116"/>
        <s v="94143"/>
        <s v="94117"/>
        <s v="94110"/>
        <s v="94109"/>
        <s v="94133"/>
        <s v="95203"/>
        <s v="95240"/>
        <s v="95231"/>
        <s v="95204"/>
        <s v="95376"/>
        <s v="95336"/>
        <s v="95202"/>
        <s v="95337"/>
        <s v="93420"/>
        <s v="93401"/>
        <s v="93405"/>
        <s v="93465"/>
        <s v="94403"/>
        <s v="94080"/>
        <s v="94015"/>
        <s v="94038"/>
        <s v="94010"/>
        <s v="94062"/>
        <s v="94063"/>
        <s v="93111"/>
        <s v="93436"/>
        <s v="93454"/>
        <s v="93105"/>
        <s v="93463"/>
        <s v="93110"/>
        <s v="95116"/>
        <s v="94040"/>
        <s v="95124"/>
        <s v="95128"/>
        <s v="94305"/>
        <s v="95119"/>
        <s v="95138"/>
        <s v="94304"/>
        <s v="95008"/>
        <s v="95020"/>
        <s v="95051"/>
        <s v="95065"/>
        <s v="95076"/>
        <s v="95062"/>
        <s v="96028"/>
        <s v="96001"/>
        <s v="96067"/>
        <s v="96097"/>
        <s v="94589"/>
        <s v="94590"/>
        <s v="94533"/>
        <s v="95688"/>
        <s v="95409"/>
        <s v="95448"/>
        <s v="94954"/>
        <s v="95405"/>
        <s v="95476"/>
        <s v="95472"/>
        <s v="95403"/>
        <s v="95401"/>
        <s v="95350"/>
        <s v="95382"/>
        <s v="95355"/>
        <s v="95354"/>
        <s v="95361"/>
        <s v="95307"/>
        <s v="95991"/>
        <s v="95993"/>
        <s v="96080"/>
        <s v="96093"/>
        <s v="93291"/>
        <s v="93257"/>
        <s v="93274"/>
        <s v="95370"/>
        <s v="93001"/>
        <s v="93003"/>
        <s v="91360"/>
        <s v="93023"/>
        <s v="93010"/>
        <s v="93065"/>
        <s v="93030"/>
        <s v="95695"/>
        <s v="95616"/>
        <s v="95901"/>
      </sharedItems>
    </cacheField>
    <cacheField name="CONTROL_TYPE_DESC" numFmtId="49">
      <sharedItems>
        <s v="City or County"/>
        <s v="Non-profit Corporation (incl. Church-related)"/>
        <s v="Investor - Limited Liability Company"/>
        <s v="District"/>
        <s v="Investor - Corporation"/>
        <s v="Investor - Partnership"/>
        <s v="University of California"/>
        <s v="Investor - Individual"/>
      </sharedItems>
    </cacheField>
    <cacheField name="teach_rural" numFmtId="49">
      <sharedItems>
        <s v="NA"/>
        <s v="Teaching"/>
        <s v="Small/Rural"/>
      </sharedItems>
    </cacheField>
    <cacheField name="licensed_bed_size" numFmtId="49">
      <sharedItems>
        <s v="100-149"/>
        <s v="300-499"/>
        <s v="150-199"/>
        <s v="50-99"/>
        <s v="200-299"/>
        <s v="1-49"/>
        <s v="500+"/>
      </sharedItems>
    </cacheField>
    <cacheField name="senate_district_desc" numFmtId="49">
      <sharedItems>
        <s v="District 9"/>
        <s v="District 10"/>
        <s v="District 7"/>
        <s v="District 8"/>
        <s v="District 4"/>
        <s v="District 3"/>
        <s v="District 2"/>
        <s v="District 1"/>
        <s v="District 12"/>
        <s v="District 14"/>
        <s v="District 40"/>
        <s v="District 16"/>
        <s v="District 22"/>
        <s v="District 21"/>
        <s v="District 26"/>
        <s v="District 24"/>
        <s v="District 33"/>
        <s v="District 32"/>
        <s v="District 30"/>
        <s v="District 20"/>
        <s v="District 35"/>
        <s v="District 25"/>
        <s v="District 27"/>
        <s v="District 18"/>
        <s v="District 17"/>
        <s v="District 37"/>
        <s v="District 34"/>
        <s v="District 29"/>
        <s v="District 36"/>
        <s v="District 28"/>
        <s v="District 31"/>
        <s v="District 23"/>
        <s v="District 6"/>
        <s v="District 39"/>
        <s v="District 38"/>
        <s v="District 11"/>
        <s v="District 5"/>
        <s v="District 13"/>
        <s v="District 19"/>
        <s v="District 15"/>
      </sharedItems>
    </cacheField>
    <cacheField name="assembly_district_desc" numFmtId="49">
      <sharedItems>
        <s v="District 18"/>
        <s v="District 15"/>
        <s v="District 20"/>
        <s v="District 25"/>
        <s v="District 16"/>
        <s v="District 5"/>
        <s v="District 3"/>
        <s v="District 14"/>
        <s v="District 11"/>
        <s v="District 2"/>
        <s v="District 23"/>
        <s v="District 31"/>
        <s v="District 56"/>
        <s v="District 26"/>
        <s v="District 32"/>
        <s v="District 34"/>
        <s v="District 4"/>
        <s v="District 1"/>
        <s v="District 49"/>
        <s v="District 36"/>
        <s v="District 70"/>
        <s v="District 48"/>
        <s v="District 51"/>
        <s v="District 58"/>
        <s v="District 54"/>
        <s v="District 53"/>
        <s v="District 52"/>
        <s v="District 62"/>
        <s v="District 59"/>
        <s v="District 43"/>
        <s v="District 66"/>
        <s v="District 63"/>
        <s v="District 45"/>
        <s v="District 57"/>
        <s v="District 50"/>
        <s v="District 39"/>
        <s v="District 41"/>
        <s v="District 46"/>
        <s v="District 38"/>
        <s v="District 64"/>
        <s v="District 10"/>
        <s v="District 21"/>
        <s v="District 29"/>
        <s v="District 30"/>
        <s v="District 68"/>
        <s v="District 72"/>
        <s v="District 65"/>
        <s v="District 69"/>
        <s v="District 55"/>
        <s v="District 74"/>
        <s v="District 73"/>
        <s v="District 6"/>
        <s v="District 42"/>
        <s v="District 60"/>
        <s v="District 61"/>
        <s v="District 67"/>
        <s v="District 75"/>
        <s v="District 8"/>
        <s v="District 7"/>
        <s v="District 9"/>
        <s v="District 33"/>
        <s v="District 47"/>
        <s v="District 40"/>
        <s v="District 77"/>
        <s v="District 79"/>
        <s v="District 78"/>
        <s v="District 76"/>
        <s v="District 19"/>
        <s v="District 17"/>
        <s v="District 13"/>
        <s v="District 12"/>
        <s v="District 35"/>
        <s v="District 22"/>
        <s v="District 37"/>
        <s v="District 27"/>
        <s v="District 24"/>
        <s v="District 28"/>
        <s v="District 44"/>
      </sharedItems>
    </cacheField>
    <cacheField name="mssa_name" numFmtId="49">
      <sharedItems>
        <s v="Alameda/Jack London Square/Oakland Inner Harbor"/>
        <s v="Albany/Berkeley East and North/Claremont/Cragmont/Forest Park/Rockridge/Temescal/Thousand Oaks"/>
        <s v="Oakland West Central"/>
        <s v="Berkeley South and West/Emeryville/Oakland Northwest"/>
        <s v="Castro Valley Central and North/Oak Knoll/San Leandro Northeast/Sheffield Village/Union City East"/>
        <s v="Dimond/Montclair/Oakland East/Oakmore/Piedmont/Piedmont Pines/Trestle Glen"/>
        <s v="San Leandro West/San Lorenzo West/Hayward West"/>
        <s v="Fremont East/Niles/Union City Central"/>
        <s v="Centerville/Fremont West/Irvington/Newark East Central"/>
        <s v="Dublin/Pleasanton/Santa Rita/Sunol"/>
        <s v="Ione/Jackson/Pine Grove/Sutter Creek"/>
        <s v="Biggs/East Biggs/Gridley"/>
        <s v="Oroville/Palermo/Thermalito"/>
        <s v="Chapmantown/Chico"/>
        <s v="Angels Camp/Arnold/Copperopolis/Mountain Ranch/Murphys/San Andreas/Valley Springs/West Point"/>
        <s v="Colusa"/>
        <s v="Crockett/Hercules/Martinez West/Pinole/Port Costa/Richmond Northeast/Rodeo"/>
        <s v="Brentwood Central and West/Oakley"/>
        <s v="Clayton/Concord South/Walnut Creek Central and East"/>
        <s v="Avon/Clyde/Concord Central/Pittsburg Southwest"/>
        <s v="Alamo/Danville/Diablo/San Ramon"/>
        <s v="Concord West/Martinez East/Martinez Waterfront/Pacheco/Pleasant Hill East"/>
        <s v="Crescent City/Gasquet/Klamath/Smith River"/>
        <s v="South Lake Tahoe"/>
        <s v="Cool/Diamond Springs/Latrobe/Pilot Hill/Placerville"/>
        <s v="Auberry/Calwa/Centerville/Clovis East/Del Rey/Fowler/Friant/Sanger/Shaver Lake"/>
        <s v="Coalinga"/>
        <s v="Fresno West Central"/>
        <s v="Orange Cove/Parlier/Reedley/Squaw Valley/Tivy Valley/Wonder Valley"/>
        <s v="Fresno North Central"/>
        <s v="Fresno Northwest"/>
        <s v="Fresno East Central"/>
        <s v="Artois/Elk Creek/Glenn/Grindstone Indian Rancheria/Willows"/>
        <s v="Arcata/Eureka"/>
        <s v="Garberville/Redway"/>
        <s v="Ferndale/Fortuna/Rio Dell/Scotia"/>
        <s v="El Centro/Heber/Holtville/Imperial/Seeley"/>
        <s v="Brawley/Westmorland"/>
        <s v="Bishop/Bishop Paiute Tribe/Mustang Mesa/Round Valley/West Bishop/Wilkerson"/>
        <s v="Alabama Hills/Cartago/Darwin/Keeler/Lone Pine/Lone Pine Paiute Shoshone Tribe/Olancha/Pearsonville"/>
        <s v="Delano/McFarland"/>
        <s v="Bakersfield Northeast/Oildale"/>
        <s v="Alta Sierra/Bodfish/Glennville/Kernville/Lake Isabella/Weldon/Wofford Heights"/>
        <s v="Bakersfield Northwest/Rosedale"/>
        <s v="Inyokern/Ridgecrest"/>
        <s v="Bakersfield Southwest"/>
        <s v="Bakersfield East/Lakeview/La Loma"/>
        <s v="Bear Valley Springs/Keene/Stallion Springs/Tehachapi"/>
        <s v="Armona/Hanford/Lemoore"/>
        <s v="Clearlake/Clearlake Oaks"/>
        <s v="Kelseyville/Lakeport"/>
        <s v="Susanville"/>
        <s v="Alhambra/El Sereno South/San Gabriel Central"/>
        <s v="Rosemead/San Gabriel South/South El Monte West/Temple City West"/>
        <s v="Desert View Highlands/Lancaster West/Palmdale Northwest/Quartz Hill"/>
        <s v="Avalon"/>
        <s v="Bassett/Industry West/La Puente"/>
        <s v="Glassell Park/Glendale Southeast/Silverlake North"/>
        <s v="Belmont Shore/Long Beach East/Long Beach Shoreline/Los Altos/Naples"/>
        <s v="Bellflower/Paramount South"/>
        <s v="Pico Rivera/Santa Fe Springs Northwest"/>
        <s v="Culver City North/Palms"/>
        <s v="Boyle Heights Northwest/Chinatown/Downtown Northwest/Little Tokyo/Westlake"/>
        <s v="Pomona East and South"/>
        <s v="Del Aire/Inglewood West/Los Angeles International Airport"/>
        <s v="South Central Northeast"/>
        <s v="Century City/Cheviot Hills/Rancho Park/West Los Angeles/Westwood"/>
        <s v="Asuza/Charter Oak/Covina"/>
        <s v="Hollywood South Central/Inner Sunset"/>
        <s v="Baldwin Park/Irwindale"/>
        <s v="Cerritos/Hawaiian Gardens"/>
        <s v="Gardena Southeast/Harbor Gateway Central/Lawndale South/Moneta/Redondo Beach North/Torrance North"/>
        <s v="Huntington Park/South Gate West/Walnut Park"/>
        <s v="City Terrace East/East Los Angeles"/>
        <s v="Harbor Gateway South/Lomita/Torrance East Central"/>
        <s v="Downey Northeast"/>
        <s v="Encino/Tarzana/Warner Center/Woodland Hills"/>
        <s v="Baldwin Hills/Culver City South/Fox Hills/Ladera Heights/Marina del Rey/View Park/Windsor Hills"/>
        <s v="Montebello North/Monterey Park/South San Gabriel"/>
        <s v="Echo Park/Hollywood North Central/Silverlake South"/>
        <s v="Atwater Village/Glendale Central/Glendale Southwest/Griffith Park"/>
        <s v="Granada Hills/Mission Hills/Porter Ranch"/>
        <s v="Pasadena South/San Marino/South Pasadena"/>
        <s v="Northridge South/Reseda North"/>
        <s v="Hancock Park/Mid-City West/Park La Brea"/>
        <s v="La Mirada/Santa Fe Springs South"/>
        <s v="Redondo Beach Central and South/Torrance West Central"/>
        <s v="Bixby Knolls/Long Beach Central"/>
        <s v="Arcadia Central and Northeast/Bradbury/Monrovia/Sierra Madre"/>
        <s v="Hollywood Hills/Hollywood West/Mount Olympus/West Hollywood"/>
        <s v="Norwalk/Studebaker"/>
        <s v="Claremont/La Verne/Pomona Northwest/San Dimas"/>
        <s v="La Habra Heights/Whittier"/>
        <s v="Valinda/West Covina"/>
        <s v="Miraleste/Palo Verdes Estates/Portuguese Bend/Rancho Palos Verdes/Rolling Hills/San Pedro West"/>
        <s v="Santa Monica Central/Sawtelle/West Los Angeles"/>
        <s v="Pacoima East/Sun Valley West"/>
        <s v="Sherman Oaks/Studio City/Valley Village"/>
        <s v="Downey Southwest/Lynwood North Central/South Gate East"/>
        <s v="Burbank North/North Hollywood South"/>
        <s v="Reseda South/Van Nuys Southwest"/>
        <s v="Burbank South/Eagle Rock/Glendale Northwest"/>
        <s v="Agoura Hills/Calabasas/Hidden Hills/West Hills/Westlake"/>
        <s v="Canyon Country/Santa Clarita West/Saugus"/>
        <s v="Long Beach West Central"/>
        <s v="Paramount North/Willowbrook"/>
        <s v="Angeles National Forest West/Kagel Canyon/Lake View Terrace/San Fernando East/Sylmar"/>
        <s v="North Long Beach"/>
        <s v="Palmdale Central"/>
        <s v="Madera"/>
        <s v="Corte Madera/Fairfax/Kentfield/Larkspur/Marinwood/Mill Valley/Ross/San Anselmo/San Rafael West/Terra Linda"/>
        <s v="Bel Marin Keys/Black Point/Ignacio/Novato/San Rafael East/Santa Venetia"/>
        <s v="Bootjack/Cathey’s Valley/Coulterville/Don Pedro/El Portal/Fish Camp/Mariposa"/>
        <s v="Fort Bragg/Westport"/>
        <s v="Ukiah"/>
        <s v="Brooktrails/Pine Mountain/Willits"/>
        <s v="Dos Palos/Gustine/Los Banos"/>
        <s v="Merced Central and North/Merced Southeast"/>
        <s v="El Nido/Merced Southwest"/>
        <s v="Surprise Valley"/>
        <s v="Alturas/Canby"/>
        <s v="Mammoth Lakes"/>
        <s v="Carmel/Del Rey Oaks/Monterey/Pacific Grove/Sand City/Seaside"/>
        <s v="King City/San Lucas"/>
        <s v="Salinas/Spreckels"/>
        <s v="Napa Central"/>
        <s v="Angwin/Deer Park/St. Helena"/>
        <s v="Grass Valley/Nevada City/Penn Valley/Rough and Ready/Wildwood"/>
        <s v="North Bloomfield/North San Juan/Truckee"/>
        <s v="City of Orange South/Santa Ana North/Tustin Foothills/Tustin West"/>
        <s v="Fountain Valley/Huntington Beach Central"/>
        <s v="Anaheim West"/>
        <s v="Anaheim Central"/>
        <s v="Brea West/Fullerton North/La Habra"/>
        <s v="Anaheim Hills/City of Orange East/Villa Park"/>
        <s v="Costa Mesa"/>
        <s v="Huntington Beach North/Seal Beach East/Westminster"/>
        <s v="Buena Park/La Palma"/>
        <s v="Cypress/Los Alamitos/Rossmoor"/>
        <s v="Santa Ana South"/>
        <s v="Lake Forest East/Mission Viejo Central and South"/>
        <s v="Garden Grove North/Stanton"/>
        <s v="Brea East/Placentia Central and North/Yorba Linda"/>
        <s v="Irvine South/Newport Beach/Newport Coast/San Joaquin Hills"/>
        <s v="Laguna Beach/Laguna Woods"/>
        <s v="Aliso Viejo/Laguna Hills/Laguna Niguel"/>
        <s v="Fullerton Central and South"/>
        <s v="Irvine Central/Tustin East"/>
        <s v="Auburn/Newcastle/Lincoln/Sheridan"/>
        <s v="Rocklin/Granite Bay"/>
        <s v="Roseville"/>
        <s v="Beckwourth/Chilcoot/Crocker Mountain/Delleker/Iron Horse/Lake Davis/Maybe/Portola/Valley View/Vinton"/>
        <s v="Bucks Lake/Cromberg/East Quincy/Greenhorn/Keddie/Laporte/Little Grass Valley/Meadow Valley/Quincy/Sloat/Spring Garden"/>
        <s v="Bailey Creek/Canyondam/Chester/Eastshore/Foxwood/Hamilton Branch/Lake Almanor Peninsula/Lake Almanor Peninsula/Lake Almanor West/Prattville/Warner Valley"/>
        <s v="Bermuda Dunes South/Indian Wells/La Quinta West/Palm Desert/Rancho Mirage Central and South"/>
        <s v="Arlington/Corona East/Home Gardens/La Sierra/Riverside Southwest"/>
        <s v="Cathedral City Southeast/Palm Desert North/Palm Springs South/Rancho Mirage North"/>
        <s v="East Hemet/Hemet/Valle Vista"/>
        <s v="Arabia/Coachella/Desert Beach/Flowing Wells/Indio South/La Quinta East/Mecca/Oasis/Thermal"/>
        <s v="Casablanca/Riverside Central"/>
        <s v="Blythe"/>
        <s v="Eastside/Fairmont Park/Riverside Downtown/Rubidoux/University"/>
        <s v="Banning/Beaumont/Cabizon/Calimesa/Cherry Valley"/>
        <s v="Canyon Lake/Perris/Quail Valley/Romoland/Sun City/Winchester"/>
        <s v="Lake Elsinore/Murrieta West/Sedco Hills/Wildomar"/>
        <s v="Temecula South"/>
        <s v="French Valley/Murrieta East/Temecula/Winchester"/>
        <s v="Carmichael/Fair Oaks/Gold River"/>
        <s v="Arcade/Arden/Town and Country Village"/>
        <s v="Greenhaven/Land Park/Midtown/Pocket/Riverside/Sutterville"/>
        <s v="Elk Grove/Laguna/Laguna West/Lakeside"/>
        <s v="Florin/Fruitridge/Oak Park/Parkway/South Sacramento"/>
        <s v="East Sacramento/La Riviera/Mather/Rancho Cordova/Rosemont"/>
        <s v="Folsom/Orangevale"/>
        <s v="Capitol Park/Del Paso Heights/Downtown/Gardenland/North Sacramento"/>
        <s v="Hollister/Paicines/Panoche/San Juan Bautista"/>
        <s v="Big Bear Lake/Fawnskin/Moorridge/Running Springs/Sugarloaf"/>
        <s v="Chino Hills/Chino West Central/Los Serranos/Sleepy Hollow"/>
        <s v="Montclair/Ontario Northwest/Upland South"/>
        <s v="Bloomington/Colton Central and West/Fontana South/Rialto South"/>
        <s v="Colton Southeast/Grand Terrace/Loma Linda/Redlands North"/>
        <s v="Blue Jay/Crestline/Lake Arrowhead/Skyforest/Twin Peaks"/>
        <s v="Mentone/Redlands South/Yucaipa"/>
        <s v="Muscoy/San Bernardino Central"/>
        <s v="Highland/San Bernardino East"/>
        <s v="Apple Valley/Hesperia East"/>
        <s v="Hesperia West/Mountain View Acres/Victorville Central and South"/>
        <s v="Big River/Needles"/>
        <s v="Joshua Tree/Landers/Morongo Valley/Rimrock/Yucca Valley"/>
        <s v="Ontario Northeast/Rancho Cucamonga South"/>
        <s v="Barstow/Daggett/Lenwood/Nebo Center/Oro Grande/Yermo"/>
        <s v="Cardiff by the Sea/Eden Gardens/Harmony Grove/La Costa/Ocean Hills/Lomas Santa Fe/Olivehain/Rancho Santa Fe/San Marcos South/Solana Beach/Vista South"/>
        <s v="College Heights/Hillcrest Southeast/Kensington/Rolando North/University Heights"/>
        <s v="Bay Park/Five Points/Hillcrest Northwest/Mission Hills/Mission Valley/Morena/Normal Heights/Old Town/Serra Mesa"/>
        <s v="Castle Park/Chula Vista Southwest/Imperial Beach West/Nestor East/Palm City/San Ysidro/South San Diego"/>
        <s v="La Mesa/Rolando South"/>
        <s v="Allied Gardens/Del Cerro/Grantville/Miramar/Tierrasanta"/>
        <s v="Encanto/Lemon Grove Northwest/Lincoln Acres/National City East/Paradise Hills Southwest"/>
        <s v="Crown Point/Del Mar/La Jolla/Pacific Beach"/>
        <s v="Oceanside East/San Marcos West/Vista"/>
        <s v="Cockatoo Grove/Eastlake Greens/Otay Mesa"/>
        <s v="Poway Central/Poway Grove/Rancho Bernardo Southwest/Sabre Springs"/>
        <s v="Encinitas Central/Leucadia/Oceanside North and West/San Luis Rey/South Oceanside"/>
        <s v="Escondido Central and South/San Marcos Central and East"/>
        <s v="Bernal Heights/Mission District/Potrero Hill"/>
        <s v="Laurel Heights/Ocean Beach North/Richmond/Sutro Heights"/>
        <s v="Buena Vista/Castro/Eureka Valley/Forest Hill/Haight-Ashbury/Noe Valley/West of Twin Peaks"/>
        <s v="Cow Hollow/Financial District/Marina/Nob Hill/Pacific Heights/Russian Hill/Seacliff"/>
        <s v="Chinatown/Civic Center/Inner Mission/North Beach/South of Market/Tenderloin/Western Addition"/>
        <s v="French Camp/Stockton South/Stockton Southeast"/>
        <s v="Lodi"/>
        <s v="Stockton North Central/Stockton Northeast"/>
        <s v="Tracy"/>
        <s v="Lathrop/Manteca"/>
        <s v="Arroyo Grande/Nipomo/Oceano/Pismo Beach"/>
        <s v="San Luis Obispo"/>
        <s v="Atascadero/Templeton"/>
        <s v="Burlingame Hills/Burlingame Southwest/Hillsborough/Hillsdale/Millbrae West/San Bruno Central/San Mateo West"/>
        <s v="Brisbane/Burlingame Northeast/Colma/Daly City East/Millbrae East/San Bruno/South San Francisco"/>
        <s v="Broadmoor Village/Daly City West/San Bruno Northwest/Serramonte/Westborough"/>
        <s v="El Granada/Half Moon Bay/Miramar/Montara/Moss Beach/Princeton by the Sea/Skyline"/>
        <s v="Belmont/Devonshire/Emerald Lake/Farm Hills/Palomar Park/San Carlos West/The Highlands"/>
        <s v="Atherton/Lindenwood/Menlo Oaks/Menlo Park/Redwood City Central/Sharon Heights/West Menlo Park/Woodside/Woodside Hills"/>
        <s v="Goleta South/Isla Vista/Santa Barbara South"/>
        <s v="Lompoc/Mission Hills/Vandenberg"/>
        <s v="Orcutt/Santa Maria"/>
        <s v="Goleta North/Mission Canyon/Montecito/Riviera/Santa Barbara North"/>
        <s v="Buellton/Los Olivos/Santa Ynez/Solvang"/>
        <s v="Berryessa/East San Jose/Milpitas East"/>
        <s v="Los Altos/Los Altos Hills/Palo Alto Central/Stanford"/>
        <s v="Cambrian Village West/Campbell South/Los Gatos/Monte Sereno/San Tomas"/>
        <s v="San Jose Northwest"/>
        <s v="New Almaden/San Jose Southwest"/>
        <s v="Evergreen/San Jose East Central"/>
        <s v="Gilroy/Morgan Hill/Rucker/San Martin"/>
        <s v="Cupertino/Rancho Rinconada/San Jose West/Saratoga"/>
        <s v="Santa Clara South and West"/>
        <s v="Aptos/Capitola/Live Oak/Rio del Mar/Santa Cruz"/>
        <s v="Freedom/Watsonville"/>
        <s v="Burney/Cassel/Fall River Mills/Hat Creek/McArthur"/>
        <s v="Redding"/>
        <s v="Carrick/Edgewood/Mount Shasta/Weed"/>
        <s v="Gazelle/Grenada/Hilt/Hornbrook/Yreka"/>
        <s v="Vallejo"/>
        <s v="Fairfield"/>
        <s v="Vacaville"/>
        <s v="Santa Rosa"/>
        <s v="Geyserville/Healdsburg"/>
        <s v="Petaluma"/>
        <s v="Boyes Hot Springs/Glen Ellen/Kenwood/Sonoma/Vineburg"/>
        <s v="Bodega/Sebastopol"/>
        <s v="Modesto West"/>
        <s v="Denair/Turlock"/>
        <s v="Modesto East"/>
        <s v="Ceres/Modesto South Central"/>
        <s v="Oakdale/Riverbank"/>
        <s v="Meridian/Robbins/Yuba City"/>
        <s v="Gerber/Los Flores/Proberta/Red Bluff"/>
        <s v="Douglas City/Lewiston/Trinity Center/Weaverville"/>
        <s v="Farmersville/Goshen/Visalia"/>
        <s v="Alpaugh/Earlimart/Pixley/Porterville/Rich Grove/Terra Bella"/>
        <s v="Tipton/Tulare/Woodville"/>
        <s v="Columbia/Jamestown/Sonora"/>
        <s v="Ventura"/>
        <s v="Thousand Oaks Central and West"/>
        <s v="Meiners Oaks/Oak View/Ojai"/>
        <s v="Camarillo/Moorpark"/>
        <s v="Simi Valley East"/>
        <s v="Oxnard North Central"/>
        <s v="Woodland"/>
        <s v="Davis"/>
        <s v="Marysville"/>
      </sharedItems>
    </cacheField>
    <cacheField name="mssa_designation" numFmtId="49">
      <sharedItems>
        <s v="Urban"/>
        <s v="Rural"/>
        <s v="Frontier"/>
      </sharedItems>
    </cacheField>
    <cacheField name="TOC_Acute" numFmtId="0">
      <sharedItems containsString="0" containsBlank="1" containsNumber="1" containsInteger="1">
        <n v="2646.0"/>
        <n v="15007.0"/>
        <n v="7240.0"/>
        <m/>
        <n v="14681.0"/>
        <n v="331.0"/>
        <n v="9656.0"/>
        <n v="4209.0"/>
        <n v="11205.0"/>
        <n v="8050.0"/>
        <n v="4364.0"/>
        <n v="9600.0"/>
        <n v="23461.0"/>
        <n v="15533.0"/>
        <n v="2416.0"/>
        <n v="327.0"/>
        <n v="11763.0"/>
        <n v="18730.0"/>
        <n v="767.0"/>
        <n v="538.0"/>
        <n v="7581.0"/>
        <n v="6405.0"/>
        <n v="21538.0"/>
        <n v="14977.0"/>
        <n v="10777.0"/>
        <n v="3842.0"/>
        <n v="10532.0"/>
        <n v="2188.0"/>
        <n v="1914.0"/>
        <n v="4691.0"/>
        <n v="22533.0"/>
        <n v="637.0"/>
        <n v="41220.0"/>
        <n v="2843.0"/>
        <n v="26402.0"/>
        <n v="1393.0"/>
        <n v="921.0"/>
        <n v="10025.0"/>
        <n v="220.0"/>
        <n v="1636.0"/>
        <n v="35.0"/>
        <n v="697.0"/>
        <n v="6951.0"/>
        <n v="5121.0"/>
        <n v="5965.0"/>
        <n v="1001.0"/>
        <n v="2704.0"/>
        <n v="19545.0"/>
        <n v="11861.0"/>
        <n v="300.0"/>
        <n v="12975.0"/>
        <n v="597.0"/>
        <n v="2004.0"/>
        <n v="17802.0"/>
        <n v="2095.0"/>
        <n v="972.0"/>
        <n v="11643.0"/>
        <n v="1280.0"/>
        <n v="1773.0"/>
        <n v="1020.0"/>
        <n v="3774.0"/>
        <n v="20227.0"/>
        <n v="19.0"/>
        <n v="703.0"/>
        <n v="673.0"/>
        <n v="10551.0"/>
        <n v="7873.0"/>
        <n v="7510.0"/>
        <n v="17067.0"/>
        <n v="973.0"/>
        <n v="13205.0"/>
        <n v="16893.0"/>
        <n v="7387.0"/>
        <n v="422.0"/>
        <n v="3296.0"/>
        <n v="5635.0"/>
        <n v="7654.0"/>
        <n v="7310.0"/>
        <n v="9581.0"/>
        <n v="2695.0"/>
        <n v="1501.0"/>
        <n v="4728.0"/>
        <n v="484.0"/>
        <n v="8776.0"/>
        <n v="16721.0"/>
        <n v="2079.0"/>
        <n v="3879.0"/>
        <n v="16832.0"/>
        <n v="18874.0"/>
        <n v="13518.0"/>
        <n v="25537.0"/>
        <n v="5805.0"/>
        <n v="27016.0"/>
        <n v="23846.0"/>
        <n v="14317.0"/>
        <n v="10764.0"/>
        <n v="11218.0"/>
        <n v="1311.0"/>
        <n v="18376.0"/>
        <n v="4664.0"/>
        <n v="14302.0"/>
        <n v="5588.0"/>
        <n v="9222.0"/>
        <n v="3984.0"/>
        <n v="14684.0"/>
        <n v="12188.0"/>
        <n v="237.0"/>
        <n v="3059.0"/>
        <n v="49658.0"/>
        <n v="12735.0"/>
        <n v="2736.0"/>
        <n v="2966.0"/>
        <n v="677.0"/>
        <n v="24998.0"/>
        <n v="22683.0"/>
        <n v="15461.0"/>
        <n v="1996.0"/>
        <n v="3688.0"/>
        <n v="4115.0"/>
        <n v="498.0"/>
        <n v="15447.0"/>
        <n v="1900.0"/>
        <n v="3775.0"/>
        <n v="16564.0"/>
        <n v="14080.0"/>
        <n v="17038.0"/>
        <n v="2022.0"/>
        <n v="22972.0"/>
        <n v="14893.0"/>
        <n v="5695.0"/>
        <n v="245.0"/>
        <n v="7602.0"/>
        <n v="18894.0"/>
        <n v="6415.0"/>
        <n v="7.0"/>
        <n v="11359.0"/>
        <n v="1465.0"/>
        <n v="19101.0"/>
        <n v="29943.0"/>
        <n v="9891.0"/>
        <n v="11680.0"/>
        <n v="1392.0"/>
        <n v="11020.0"/>
        <n v="10782.0"/>
        <n v="13765.0"/>
        <n v="18160.0"/>
        <n v="20475.0"/>
        <n v="9380.0"/>
        <n v="3724.0"/>
        <n v="10220.0"/>
        <n v="3536.0"/>
        <n v="629.0"/>
        <n v="10167.0"/>
        <n v="1929.0"/>
        <n v="212.0"/>
        <n v="644.0"/>
        <n v="3996.0"/>
        <n v="1575.0"/>
        <n v="2406.0"/>
        <n v="13007.0"/>
        <n v="16.0"/>
        <n v="224.0"/>
        <n v="502.0"/>
        <n v="13626.0"/>
        <n v="301.0"/>
        <n v="13088.0"/>
        <n v="9822.0"/>
        <n v="6219.0"/>
        <n v="2903.0"/>
        <n v="4423.0"/>
        <n v="1874.0"/>
        <n v="11845.0"/>
        <n v="13091.0"/>
        <n v="8.0"/>
        <n v="7492.0"/>
        <n v="411.0"/>
        <n v="1823.0"/>
        <n v="1308.0"/>
        <n v="15243.0"/>
        <n v="1788.0"/>
        <n v="39672.0"/>
        <n v="2102.0"/>
        <n v="2573.0"/>
        <n v="8317.0"/>
        <n v="2372.0"/>
        <n v="15715.0"/>
        <n v="20525.0"/>
        <n v="3266.0"/>
        <n v="3136.0"/>
        <n v="12274.0"/>
        <n v="1784.0"/>
        <n v="24074.0"/>
        <n v="17241.0"/>
        <n v="4081.0"/>
        <n v="5658.0"/>
        <n v="713.0"/>
        <n v="10504.0"/>
        <n v="1496.0"/>
        <n v="33.0"/>
        <n v="31458.0"/>
        <n v="1962.0"/>
        <n v="3070.0"/>
        <n v="26048.0"/>
        <n v="29982.0"/>
        <n v="87.0"/>
        <n v="337.0"/>
        <n v="85.0"/>
        <n v="9454.0"/>
        <n v="17884.0"/>
        <n v="23169.0"/>
        <n v="7143.0"/>
        <n v="7637.0"/>
        <n v="356.0"/>
        <n v="6886.0"/>
        <n v="29634.0"/>
        <n v="2495.0"/>
        <n v="307.0"/>
        <n v="3125.0"/>
        <n v="12987.0"/>
        <n v="6482.0"/>
        <n v="18793.0"/>
        <n v="20354.0"/>
        <n v="738.0"/>
        <n v="9234.0"/>
        <n v="13066.0"/>
        <n v="12280.0"/>
        <n v="13680.0"/>
        <n v="21108.0"/>
        <n v="9549.0"/>
        <n v="29681.0"/>
        <n v="33355.0"/>
        <n v="18504.0"/>
        <n v="7551.0"/>
        <n v="418.0"/>
        <n v="842.0"/>
        <n v="2810.0"/>
        <n v="161.0"/>
        <n v="3939.0"/>
        <n v="3020.0"/>
        <n v="37074.0"/>
        <n v="24194.0"/>
        <n v="227.0"/>
        <n v="438.0"/>
        <n v="11089.0"/>
        <n v="17217.0"/>
        <n v="7680.0"/>
        <n v="14541.0"/>
        <n v="15384.0"/>
        <n v="5977.0"/>
        <n v="254.0"/>
        <n v="2051.0"/>
        <n v="9594.0"/>
        <n v="383.0"/>
        <n v="17681.0"/>
        <n v="2064.0"/>
        <n v="20183.0"/>
        <n v="5184.0"/>
        <n v="19170.0"/>
        <n v="2706.0"/>
        <n v="22007.0"/>
        <n v="15399.0"/>
        <n v="28614.0"/>
        <n v="391.0"/>
        <n v="29453.0"/>
        <n v="31900.0"/>
        <n v="3896.0"/>
        <n v="24848.0"/>
        <n v="9338.0"/>
        <n v="38966.0"/>
        <n v="19975.0"/>
        <n v="5390.0"/>
        <n v="7093.0"/>
        <n v="14789.0"/>
        <n v="684.0"/>
        <n v="22313.0"/>
        <n v="14374.0"/>
        <n v="76.0"/>
        <n v="3289.0"/>
        <n v="14583.0"/>
        <n v="2876.0"/>
        <n v="3461.0"/>
        <n v="36714.0"/>
        <n v="1127.0"/>
        <n v="17831.0"/>
        <n v="4443.0"/>
        <n v="2985.0"/>
        <n v="7826.0"/>
        <n v="11980.0"/>
        <n v="21726.0"/>
        <n v="3674.0"/>
        <n v="3718.0"/>
        <n v="18327.0"/>
        <n v="2537.0"/>
        <n v="5571.0"/>
        <n v="5907.0"/>
        <n v="4498.0"/>
        <n v="2126.0"/>
        <n v="5597.0"/>
        <n v="3355.0"/>
        <n v="12388.0"/>
        <n v="5448.0"/>
        <n v="9956.0"/>
        <n v="1010.0"/>
        <n v="2608.0"/>
        <n v="16540.0"/>
        <n v="17650.0"/>
        <n v="121.0"/>
        <n v="11563.0"/>
        <n v="24990.0"/>
        <n v="15750.0"/>
        <n v="10734.0"/>
        <n v="21464.0"/>
        <n v="31179.0"/>
        <n v="13617.0"/>
        <n v="18342.0"/>
        <n v="3537.0"/>
        <n v="21474.0"/>
        <n v="10142.0"/>
        <n v="1702.0"/>
        <n v="178.0"/>
        <n v="5662.0"/>
        <n v="14506.0"/>
        <n v="533.0"/>
        <n v="56.0"/>
        <n v="918.0"/>
        <n v="8514.0"/>
        <n v="3437.0"/>
        <n v="11607.0"/>
        <n v="7046.0"/>
        <n v="552.0"/>
        <n v="2737.0"/>
        <n v="11481.0"/>
        <n v="789.0"/>
        <n v="381.0"/>
        <n v="11799.0"/>
        <n v="8929.0"/>
        <n v="23687.0"/>
        <n v="9449.0"/>
        <n v="19910.0"/>
        <n v="741.0"/>
        <n v="608.0"/>
        <n v="230.0"/>
        <n v="219.0"/>
        <n v="3554.0"/>
        <n v="148.0"/>
        <n v="25428.0"/>
        <n v="6824.0"/>
        <n v="2272.0"/>
        <n v="4388.0"/>
        <n v="15230.0"/>
        <n v="11515.0"/>
        <n v="16081.0"/>
        <n v="184.0"/>
        <n v="3339.0"/>
        <n v="7598.0"/>
        <n v="10400.0"/>
        <n v="3501.0"/>
        <n v="4736.0"/>
        <n v="12108.0"/>
      </sharedItems>
    </cacheField>
    <cacheField name="TOC_SN_IC" numFmtId="0">
      <sharedItems containsString="0" containsBlank="1" containsNumber="1" containsInteger="1">
        <n v="130.0"/>
        <m/>
        <n v="87.0"/>
        <n v="302.0"/>
        <n v="186.0"/>
        <n v="419.0"/>
        <n v="255.0"/>
        <n v="6.0"/>
        <n v="92.0"/>
        <n v="88.0"/>
        <n v="203.0"/>
        <n v="246.0"/>
        <n v="11.0"/>
        <n v="38.0"/>
        <n v="8.0"/>
        <n v="10.0"/>
        <n v="20.0"/>
        <n v="64.0"/>
        <n v="113.0"/>
        <n v="58.0"/>
        <n v="83.0"/>
        <n v="21.0"/>
        <n v="1.0"/>
        <n v="60.0"/>
        <n v="50.0"/>
        <n v="938.0"/>
        <n v="9.0"/>
        <n v="233.0"/>
        <n v="52.0"/>
        <n v="259.0"/>
        <n v="379.0"/>
        <n v="1143.0"/>
        <n v="802.0"/>
        <n v="192.0"/>
        <n v="12.0"/>
        <n v="2.0"/>
        <n v="31.0"/>
        <n v="29.0"/>
        <n v="67.0"/>
        <n v="150.0"/>
        <n v="199.0"/>
        <n v="161.0"/>
        <n v="132.0"/>
        <n v="47.0"/>
        <n v="554.0"/>
        <n v="101.0"/>
        <n v="54.0"/>
        <n v="109.0"/>
        <n v="35.0"/>
        <n v="17.0"/>
        <n v="16.0"/>
        <n v="25.0"/>
        <n v="49.0"/>
        <n v="14.0"/>
        <n v="102.0"/>
        <n v="306.0"/>
        <n v="193.0"/>
        <n v="810.0"/>
        <n v="195.0"/>
        <n v="30.0"/>
        <n v="13.0"/>
        <n v="182.0"/>
        <n v="230.0"/>
        <n v="93.0"/>
        <n v="57.0"/>
        <n v="231.0"/>
        <n v="393.0"/>
        <n v="534.0"/>
        <n v="656.0"/>
        <n v="72.0"/>
        <n v="976.0"/>
        <n v="426.0"/>
        <n v="330.0"/>
        <n v="48.0"/>
        <n v="143.0"/>
        <n v="124.0"/>
        <n v="66.0"/>
        <n v="588.0"/>
        <n v="133.0"/>
        <n v="285.0"/>
        <n v="63.0"/>
        <n v="3.0"/>
        <n v="117.0"/>
        <n v="146.0"/>
        <n v="90.0"/>
        <n v="620.0"/>
        <n v="37.0"/>
        <n v="392.0"/>
        <n v="175.0"/>
      </sharedItems>
    </cacheField>
    <cacheField name="TOC_Psych" numFmtId="0">
      <sharedItems containsString="0" containsBlank="1" containsNumber="1" containsInteger="1">
        <m/>
        <n v="1609.0"/>
        <n v="2479.0"/>
        <n v="5412.0"/>
        <n v="272.0"/>
        <n v="1149.0"/>
        <n v="447.0"/>
        <n v="417.0"/>
        <n v="273.0"/>
        <n v="712.0"/>
        <n v="3101.0"/>
        <n v="299.0"/>
        <n v="2155.0"/>
        <n v="210.0"/>
        <n v="426.0"/>
        <n v="670.0"/>
        <n v="1828.0"/>
        <n v="2775.0"/>
        <n v="308.0"/>
        <n v="5224.0"/>
        <n v="466.0"/>
        <n v="1359.0"/>
        <n v="3455.0"/>
        <n v="840.0"/>
        <n v="6514.0"/>
        <n v="3560.0"/>
        <n v="430.0"/>
        <n v="7022.0"/>
        <n v="285.0"/>
        <n v="336.0"/>
        <n v="1079.0"/>
        <n v="1168.0"/>
        <n v="2964.0"/>
        <n v="1.0"/>
        <n v="927.0"/>
        <n v="1435.0"/>
        <n v="3750.0"/>
        <n v="2781.0"/>
        <n v="116.0"/>
        <n v="1206.0"/>
        <n v="2223.0"/>
        <n v="103.0"/>
        <n v="1125.0"/>
        <n v="5200.0"/>
        <n v="4246.0"/>
        <n v="444.0"/>
        <n v="2.0"/>
        <n v="2130.0"/>
        <n v="338.0"/>
        <n v="2188.0"/>
        <n v="3544.0"/>
        <n v="5.0"/>
        <n v="397.0"/>
        <n v="2020.0"/>
        <n v="1650.0"/>
        <n v="851.0"/>
        <n v="408.0"/>
        <n v="390.0"/>
        <n v="548.0"/>
        <n v="37.0"/>
        <n v="58.0"/>
        <n v="42.0"/>
        <n v="166.0"/>
        <n v="1042.0"/>
        <n v="523.0"/>
        <n v="333.0"/>
        <n v="764.0"/>
        <n v="584.0"/>
        <n v="728.0"/>
        <n v="738.0"/>
        <n v="231.0"/>
        <n v="2548.0"/>
        <n v="1725.0"/>
        <n v="637.0"/>
        <n v="460.0"/>
        <n v="230.0"/>
        <n v="3.0"/>
        <n v="163.0"/>
        <n v="515.0"/>
        <n v="371.0"/>
        <n v="508.0"/>
        <n v="1118.0"/>
        <n v="335.0"/>
        <n v="1390.0"/>
        <n v="1722.0"/>
        <n v="387.0"/>
        <n v="2741.0"/>
        <n v="82.0"/>
        <n v="5325.0"/>
        <n v="245.0"/>
        <n v="2343.0"/>
        <n v="3450.0"/>
        <n v="232.0"/>
        <n v="894.0"/>
        <n v="217.0"/>
        <n v="3751.0"/>
        <n v="2779.0"/>
        <n v="6586.0"/>
        <n v="3112.0"/>
        <n v="300.0"/>
        <n v="915.0"/>
        <n v="1307.0"/>
        <n v="772.0"/>
        <n v="3737.0"/>
        <n v="1842.0"/>
        <n v="1378.0"/>
        <n v="797.0"/>
        <n v="680.0"/>
        <n v="2005.0"/>
        <n v="1665.0"/>
        <n v="175.0"/>
        <n v="501.0"/>
        <n v="107.0"/>
        <n v="367.0"/>
        <n v="1095.0"/>
        <n v="598.0"/>
        <n v="362.0"/>
        <n v="1739.0"/>
        <n v="207.0"/>
        <n v="99.0"/>
        <n v="72.0"/>
        <n v="1303.0"/>
        <n v="286.0"/>
        <n v="983.0"/>
        <n v="574.0"/>
        <n v="562.0"/>
        <n v="3084.0"/>
        <n v="540.0"/>
        <n v="229.0"/>
        <n v="429.0"/>
        <n v="407.0"/>
        <n v="2009.0"/>
        <n v="181.0"/>
        <n v="2549.0"/>
        <n v="3108.0"/>
        <n v="706.0"/>
        <n v="225.0"/>
        <n v="270.0"/>
        <n v="274.0"/>
        <n v="497.0"/>
        <n v="1364.0"/>
        <n v="2001.0"/>
        <n v="892.0"/>
        <n v="1264.0"/>
      </sharedItems>
    </cacheField>
    <cacheField name="TOC_Chem_Dep" numFmtId="0">
      <sharedItems containsString="0" containsBlank="1" containsNumber="1" containsInteger="1">
        <m/>
        <n v="343.0"/>
        <n v="48.0"/>
        <n v="982.0"/>
        <n v="2.0"/>
        <n v="189.0"/>
        <n v="328.0"/>
        <n v="672.0"/>
        <n v="896.0"/>
        <n v="3.0"/>
        <n v="630.0"/>
        <n v="218.0"/>
        <n v="14.0"/>
        <n v="4.0"/>
        <n v="2005.0"/>
        <n v="1496.0"/>
        <n v="726.0"/>
        <n v="46.0"/>
        <n v="246.0"/>
        <n v="958.0"/>
        <n v="319.0"/>
        <n v="126.0"/>
        <n v="250.0"/>
        <n v="11.0"/>
      </sharedItems>
    </cacheField>
    <cacheField name="TOC_Rehab" numFmtId="0">
      <sharedItems containsString="0" containsBlank="1" containsNumber="1" containsInteger="1">
        <n v="1.0"/>
        <m/>
        <n v="92.0"/>
        <n v="566.0"/>
        <n v="724.0"/>
        <n v="497.0"/>
        <n v="420.0"/>
        <n v="139.0"/>
        <n v="713.0"/>
        <n v="257.0"/>
        <n v="298.0"/>
        <n v="1711.0"/>
        <n v="207.0"/>
        <n v="267.0"/>
        <n v="334.0"/>
        <n v="1136.0"/>
        <n v="3362.0"/>
        <n v="160.0"/>
        <n v="177.0"/>
        <n v="311.0"/>
        <n v="519.0"/>
        <n v="380.0"/>
        <n v="240.0"/>
        <n v="570.0"/>
        <n v="360.0"/>
        <n v="2.0"/>
        <n v="381.0"/>
        <n v="481.0"/>
        <n v="588.0"/>
        <n v="390.0"/>
        <n v="305.0"/>
        <n v="221.0"/>
        <n v="383.0"/>
        <n v="216.0"/>
        <n v="171.0"/>
        <n v="1200.0"/>
        <n v="422.0"/>
        <n v="475.0"/>
        <n v="79.0"/>
        <n v="230.0"/>
        <n v="698.0"/>
        <n v="250.0"/>
        <n v="540.0"/>
        <n v="278.0"/>
        <n v="241.0"/>
        <n v="438.0"/>
        <n v="370.0"/>
        <n v="985.0"/>
        <n v="889.0"/>
        <n v="191.0"/>
        <n v="958.0"/>
        <n v="508.0"/>
        <n v="188.0"/>
        <n v="53.0"/>
        <n v="691.0"/>
        <n v="868.0"/>
        <n v="119.0"/>
        <n v="95.0"/>
        <n v="434.0"/>
        <n v="184.0"/>
        <n v="134.0"/>
        <n v="270.0"/>
        <n v="702.0"/>
        <n v="3.0"/>
        <n v="539.0"/>
        <n v="181.0"/>
        <n v="176.0"/>
        <n v="163.0"/>
        <n v="603.0"/>
        <n v="627.0"/>
        <n v="455.0"/>
        <n v="329.0"/>
        <n v="809.0"/>
        <n v="414.0"/>
        <n v="1059.0"/>
        <n v="265.0"/>
        <n v="926.0"/>
        <n v="493.0"/>
        <n v="962.0"/>
        <n v="485.0"/>
      </sharedItems>
    </cacheField>
    <cacheField name="TOC_Unknown" numFmtId="0">
      <sharedItems containsString="0" containsBlank="1" containsNumber="1" containsInteger="1">
        <n v="1.0"/>
        <m/>
        <n v="11.0"/>
        <n v="15.0"/>
        <n v="2.0"/>
        <n v="17.0"/>
        <n v="9.0"/>
        <n v="3.0"/>
      </sharedItems>
    </cacheField>
    <cacheField name="Sex_Male" numFmtId="0">
      <sharedItems containsSemiMixedTypes="0" containsString="0" containsNumber="1" containsInteger="1">
        <n v="1409.0"/>
        <n v="5171.0"/>
        <n v="3962.0"/>
        <n v="629.0"/>
        <n v="9475.0"/>
        <n v="209.0"/>
        <n v="5219.0"/>
        <n v="2084.0"/>
        <n v="4981.0"/>
        <n v="221.0"/>
        <n v="2169.0"/>
        <n v="3449.0"/>
        <n v="2337.0"/>
        <n v="523.0"/>
        <n v="168.0"/>
        <n v="4361.0"/>
        <n v="10314.0"/>
        <n v="5890.0"/>
        <n v="1031.0"/>
        <n v="263.0"/>
        <n v="5761.0"/>
        <n v="9049.0"/>
        <n v="126.0"/>
        <n v="356.0"/>
        <n v="364.0"/>
        <n v="3302.0"/>
        <n v="2995.0"/>
        <n v="9187.0"/>
        <n v="6042.0"/>
        <n v="5560.0"/>
        <n v="1683.0"/>
        <n v="1215.0"/>
        <n v="4217.0"/>
        <n v="1025.0"/>
        <n v="895.0"/>
        <n v="2199.0"/>
        <n v="162.0"/>
        <n v="8432.0"/>
        <n v="352.0"/>
        <n v="20977.0"/>
        <n v="879.0"/>
        <n v="10759.0"/>
        <n v="623.0"/>
        <n v="429.0"/>
        <n v="3807.0"/>
        <n v="139.0"/>
        <n v="144.0"/>
        <n v="213.0"/>
        <n v="607.0"/>
        <n v="47.0"/>
        <n v="348.0"/>
        <n v="3430.0"/>
        <n v="164.0"/>
        <n v="2390.0"/>
        <n v="2139.0"/>
        <n v="436.0"/>
        <n v="4.0"/>
        <n v="1038.0"/>
        <n v="8077.0"/>
        <n v="5699.0"/>
        <n v="173.0"/>
        <n v="5073.0"/>
        <n v="1602.0"/>
        <n v="801.0"/>
        <n v="8026.0"/>
        <n v="128.0"/>
        <n v="882.0"/>
        <n v="1201.0"/>
        <n v="1185.0"/>
        <n v="153.0"/>
        <n v="504.0"/>
        <n v="4710.0"/>
        <n v="610.0"/>
        <n v="747.0"/>
        <n v="410.0"/>
        <n v="1963.0"/>
        <n v="2508.0"/>
        <n v="8867.0"/>
        <n v="6.0"/>
        <n v="380.0"/>
        <n v="367.0"/>
        <n v="4801.0"/>
        <n v="931.0"/>
        <n v="3727.0"/>
        <n v="7348.0"/>
        <n v="7678.0"/>
        <n v="1123.0"/>
        <n v="6205.0"/>
        <n v="553.0"/>
        <n v="1759.0"/>
        <n v="3684.0"/>
        <n v="9528.0"/>
        <n v="3821.0"/>
        <n v="2003.0"/>
        <n v="234.0"/>
        <n v="1837.0"/>
        <n v="3220.0"/>
        <n v="3293.0"/>
        <n v="2662.0"/>
        <n v="3733.0"/>
        <n v="4600.0"/>
        <n v="1212.0"/>
        <n v="899.0"/>
        <n v="2401.0"/>
        <n v="271.0"/>
        <n v="4078.0"/>
        <n v="112.0"/>
        <n v="8754.0"/>
        <n v="631.0"/>
        <n v="1161.0"/>
        <n v="4574.0"/>
        <n v="6906.0"/>
        <n v="8182.0"/>
        <n v="6463.0"/>
        <n v="11756.0"/>
        <n v="4057.0"/>
        <n v="11580.0"/>
        <n v="13153.0"/>
        <n v="5759.0"/>
        <n v="4116.0"/>
        <n v="4211.0"/>
        <n v="722.0"/>
        <n v="1661.0"/>
        <n v="7918.0"/>
        <n v="2380.0"/>
        <n v="5973.0"/>
        <n v="2981.0"/>
        <n v="4961.0"/>
        <n v="3639.0"/>
        <n v="7342.0"/>
        <n v="5468.0"/>
        <n v="122.0"/>
        <n v="1480.0"/>
        <n v="80.0"/>
        <n v="22109.0"/>
        <n v="7016.0"/>
        <n v="1538.0"/>
        <n v="5081.0"/>
        <n v="396.0"/>
        <n v="10440.0"/>
        <n v="10210.0"/>
        <n v="6153.0"/>
        <n v="3605.0"/>
        <n v="1579.0"/>
        <n v="2780.0"/>
        <n v="238.0"/>
        <n v="6659.0"/>
        <n v="2679.0"/>
        <n v="2171.0"/>
        <n v="8812.0"/>
        <n v="5996.0"/>
        <n v="7556.0"/>
        <n v="1026.0"/>
        <n v="2774.0"/>
        <n v="11161.0"/>
        <n v="6404.0"/>
        <n v="2623.0"/>
        <n v="158.0"/>
        <n v="3841.0"/>
        <n v="8852.0"/>
        <n v="2619.0"/>
        <n v="723.0"/>
        <n v="5500.0"/>
        <n v="841.0"/>
        <n v="487.0"/>
        <n v="10277.0"/>
        <n v="17344.0"/>
        <n v="4912.0"/>
        <n v="6379.0"/>
        <n v="1751.0"/>
        <n v="4721.0"/>
        <n v="630.0"/>
        <n v="6123.0"/>
        <n v="3.0"/>
        <n v="34.0"/>
        <n v="5271.0"/>
        <n v="6268.0"/>
        <n v="7942.0"/>
        <n v="89.0"/>
        <n v="4347.0"/>
        <n v="82.0"/>
        <n v="582.0"/>
        <n v="1523.0"/>
        <n v="5674.0"/>
        <n v="1785.0"/>
        <n v="355.0"/>
        <n v="4937.0"/>
        <n v="928.0"/>
        <n v="387.0"/>
        <n v="1613.0"/>
        <n v="831.0"/>
        <n v="907.0"/>
        <n v="5428.0"/>
        <n v="174.0"/>
        <n v="7.0"/>
        <n v="127.0"/>
        <n v="284.0"/>
        <n v="6976.0"/>
        <n v="200.0"/>
        <n v="5869.0"/>
        <n v="4680.0"/>
        <n v="3166.0"/>
        <n v="1978.0"/>
        <n v="2053.0"/>
        <n v="837.0"/>
        <n v="6651.0"/>
        <n v="5458.0"/>
        <n v="125.0"/>
        <n v="3367.0"/>
        <n v="275.0"/>
        <n v="943.0"/>
        <n v="2241.0"/>
        <n v="6994.0"/>
        <n v="2065.0"/>
        <n v="16807.0"/>
        <n v="1560.0"/>
        <n v="1492.0"/>
        <n v="3957.0"/>
        <n v="1162.0"/>
        <n v="7294.0"/>
        <n v="10609.0"/>
        <n v="1748.0"/>
        <n v="1562.0"/>
        <n v="5002.0"/>
        <n v="1239.0"/>
        <n v="9931.0"/>
        <n v="7937.0"/>
        <n v="1971.0"/>
        <n v="3084.0"/>
        <n v="422.0"/>
        <n v="4986.0"/>
        <n v="205.0"/>
        <n v="789.0"/>
        <n v="30.0"/>
        <n v="12673.0"/>
        <n v="900.0"/>
        <n v="1396.0"/>
        <n v="506.0"/>
        <n v="494.0"/>
        <n v="1515.0"/>
        <n v="11890.0"/>
        <n v="11458.0"/>
        <n v="191.0"/>
        <n v="63.0"/>
        <n v="163.0"/>
        <n v="37.0"/>
        <n v="4694.0"/>
        <n v="9182.0"/>
        <n v="11611.0"/>
        <n v="3843.0"/>
        <n v="3208.0"/>
        <n v="1084.0"/>
        <n v="2716.0"/>
        <n v="13395.0"/>
        <n v="1159.0"/>
        <n v="190.0"/>
        <n v="1828.0"/>
        <n v="4902.0"/>
        <n v="2461.0"/>
        <n v="7582.0"/>
        <n v="230.0"/>
        <n v="11539.0"/>
        <n v="347.0"/>
        <n v="5852.0"/>
        <n v="525.0"/>
        <n v="48.0"/>
        <n v="6013.0"/>
        <n v="7028.0"/>
        <n v="10063.0"/>
        <n v="4415.0"/>
        <n v="15160.0"/>
        <n v="14151.0"/>
        <n v="7991.0"/>
        <n v="2668.0"/>
        <n v="145.0"/>
        <n v="981.0"/>
        <n v="1743.0"/>
        <n v="3237.0"/>
        <n v="260.0"/>
        <n v="462.0"/>
        <n v="142.0"/>
        <n v="309.0"/>
        <n v="1200.0"/>
        <n v="1930.0"/>
        <n v="1269.0"/>
        <n v="15264.0"/>
        <n v="12821.0"/>
        <n v="254.0"/>
        <n v="4793.0"/>
        <n v="7548.0"/>
        <n v="5196.0"/>
        <n v="6721.0"/>
        <n v="6617.0"/>
        <n v="2278.0"/>
        <n v="124.0"/>
        <n v="963.0"/>
        <n v="1228.0"/>
        <n v="2851.0"/>
        <n v="533.0"/>
        <n v="4526.0"/>
        <n v="207.0"/>
        <n v="10503.0"/>
        <n v="934.0"/>
        <n v="119.0"/>
        <n v="8241.0"/>
        <n v="518.0"/>
        <n v="3064.0"/>
        <n v="10767.0"/>
        <n v="1413.0"/>
        <n v="11466.0"/>
        <n v="3802.0"/>
        <n v="13635.0"/>
        <n v="12326.0"/>
        <n v="14749.0"/>
        <n v="1712.0"/>
        <n v="1253.0"/>
        <n v="3294.0"/>
        <n v="11138.0"/>
        <n v="4883.0"/>
        <n v="18722.0"/>
        <n v="8916.0"/>
        <n v="2819.0"/>
        <n v="3260.0"/>
        <n v="5994.0"/>
        <n v="1281.0"/>
        <n v="157.0"/>
        <n v="1085.0"/>
        <n v="444.0"/>
        <n v="9921.0"/>
        <n v="363.0"/>
        <n v="459.0"/>
        <n v="6568.0"/>
        <n v="279.0"/>
        <n v="237.0"/>
        <n v="2347.0"/>
        <n v="8309.0"/>
        <n v="2590.0"/>
        <n v="2037.0"/>
        <n v="17098.0"/>
        <n v="7672.0"/>
        <n v="2209.0"/>
        <n v="1571.0"/>
        <n v="3515.0"/>
        <n v="6150.0"/>
        <n v="9487.0"/>
        <n v="1608.0"/>
        <n v="811.0"/>
        <n v="1520.0"/>
        <n v="116.0"/>
        <n v="7293.0"/>
        <n v="1491.0"/>
        <n v="2554.0"/>
        <n v="2593.0"/>
        <n v="1956.0"/>
        <n v="204.0"/>
        <n v="1361.0"/>
        <n v="2786.0"/>
        <n v="1843.0"/>
        <n v="29.0"/>
        <n v="5998.0"/>
        <n v="2184.0"/>
        <n v="4114.0"/>
        <n v="1155.0"/>
        <n v="6666.0"/>
        <n v="8687.0"/>
        <n v="53.0"/>
        <n v="159.0"/>
        <n v="6369.0"/>
        <n v="10249.0"/>
        <n v="6895.0"/>
        <n v="5003.0"/>
        <n v="11078.0"/>
        <n v="16316.0"/>
        <n v="6002.0"/>
        <n v="1650.0"/>
        <n v="6702.0"/>
        <n v="13.0"/>
        <n v="1600.0"/>
        <n v="9013.0"/>
        <n v="226.0"/>
        <n v="5086.0"/>
        <n v="458.0"/>
        <n v="1958.0"/>
        <n v="255.0"/>
        <n v="136.0"/>
        <n v="3027.0"/>
        <n v="471.0"/>
        <n v="21.0"/>
        <n v="189.0"/>
        <n v="423.0"/>
        <n v="616.0"/>
        <n v="4190.0"/>
        <n v="737.0"/>
        <n v="1711.0"/>
        <n v="4993.0"/>
        <n v="2908.0"/>
        <n v="245.0"/>
        <n v="104.0"/>
        <n v="294.0"/>
        <n v="1175.0"/>
        <n v="6068.0"/>
        <n v="439.0"/>
        <n v="240.0"/>
        <n v="4774.0"/>
        <n v="1154.0"/>
        <n v="3657.0"/>
        <n v="12372.0"/>
        <n v="4229.0"/>
        <n v="9037.0"/>
        <n v="441.0"/>
        <n v="354.0"/>
        <n v="66.0"/>
        <n v="477.0"/>
        <n v="98.0"/>
        <n v="155.0"/>
        <n v="77.0"/>
        <n v="161.0"/>
        <n v="1497.0"/>
        <n v="12056.0"/>
        <n v="2796.0"/>
        <n v="1005.0"/>
        <n v="1946.0"/>
        <n v="819.0"/>
        <n v="6109.0"/>
        <n v="5682.0"/>
        <n v="7460.0"/>
        <n v="241.0"/>
        <n v="1633.0"/>
        <n v="3560.0"/>
        <n v="5060.0"/>
        <n v="2098.0"/>
        <n v="1695.0"/>
        <n v="5222.0"/>
      </sharedItems>
    </cacheField>
    <cacheField name="Sex_Female" numFmtId="0">
      <sharedItems containsSemiMixedTypes="0" containsString="0" containsNumber="1" containsInteger="1">
        <n v="1368.0"/>
        <n v="9836.0"/>
        <n v="3369.0"/>
        <n v="980.0"/>
        <n v="8345.0"/>
        <n v="122.0"/>
        <n v="5161.0"/>
        <n v="2125.0"/>
        <n v="6526.0"/>
        <n v="3241.0"/>
        <n v="4600.0"/>
        <n v="2299.0"/>
        <n v="626.0"/>
        <n v="279.0"/>
        <n v="5239.0"/>
        <n v="13146.0"/>
        <n v="9643.0"/>
        <n v="1385.0"/>
        <n v="250.0"/>
        <n v="6421.0"/>
        <n v="10594.0"/>
        <n v="147.0"/>
        <n v="411.0"/>
        <n v="429.0"/>
        <n v="4991.0"/>
        <n v="3410.0"/>
        <n v="12771.0"/>
        <n v="8935.0"/>
        <n v="5217.0"/>
        <n v="2159.0"/>
        <n v="1886.0"/>
        <n v="6315.0"/>
        <n v="1302.0"/>
        <n v="1025.0"/>
        <n v="2492.0"/>
        <n v="137.0"/>
        <n v="14101.0"/>
        <n v="377.0"/>
        <n v="23198.0"/>
        <n v="2167.0"/>
        <n v="15643.0"/>
        <n v="770.0"/>
        <n v="492.0"/>
        <n v="6218.0"/>
        <n v="71.0"/>
        <n v="282.0"/>
        <n v="253.0"/>
        <n v="1040.0"/>
        <n v="26.0"/>
        <n v="387.0"/>
        <n v="3778.0"/>
        <n v="135.0"/>
        <n v="2731.0"/>
        <n v="3826.0"/>
        <n v="573.0"/>
        <n v="6.0"/>
        <n v="1686.0"/>
        <n v="11468.0"/>
        <n v="6831.0"/>
        <n v="191.0"/>
        <n v="7900.0"/>
        <n v="823.0"/>
        <n v="1316.0"/>
        <n v="9768.0"/>
        <n v="170.0"/>
        <n v="829.0"/>
        <n v="1622.0"/>
        <n v="910.0"/>
        <n v="155.0"/>
        <n v="479.0"/>
        <n v="6932.0"/>
        <n v="728.0"/>
        <n v="1109.0"/>
        <n v="610.0"/>
        <n v="2039.0"/>
        <n v="2716.0"/>
        <n v="11826.0"/>
        <n v="14.0"/>
        <n v="323.0"/>
        <n v="306.0"/>
        <n v="6017.0"/>
        <n v="428.0"/>
        <n v="4146.0"/>
        <n v="4948.0"/>
        <n v="9389.0"/>
        <n v="986.0"/>
        <n v="7092.0"/>
        <n v="287.0"/>
        <n v="1603.0"/>
        <n v="2829.0"/>
        <n v="7524.0"/>
        <n v="3566.0"/>
        <n v="1557.0"/>
        <n v="188.0"/>
        <n v="1459.0"/>
        <n v="2472.0"/>
        <n v="4842.0"/>
        <n v="4359.0"/>
        <n v="3577.0"/>
        <n v="4981.0"/>
        <n v="1491.0"/>
        <n v="1074.0"/>
        <n v="2327.0"/>
        <n v="213.0"/>
        <n v="5009.0"/>
        <n v="224.0"/>
        <n v="10500.0"/>
        <n v="537.0"/>
        <n v="927.0"/>
        <n v="2269.0"/>
        <n v="10538.0"/>
        <n v="10977.0"/>
        <n v="7687.0"/>
        <n v="15064.0"/>
        <n v="3442.0"/>
        <n v="15815.0"/>
        <n v="14438.0"/>
        <n v="8557.0"/>
        <n v="6648.0"/>
        <n v="7006.0"/>
        <n v="589.0"/>
        <n v="1309.0"/>
        <n v="11600.0"/>
        <n v="2399.0"/>
        <n v="8331.0"/>
        <n v="2690.0"/>
        <n v="5842.0"/>
        <n v="2568.0"/>
        <n v="7823.0"/>
        <n v="7308.0"/>
        <n v="115.0"/>
        <n v="1579.0"/>
        <n v="81.0"/>
        <n v="27532.0"/>
        <n v="7233.0"/>
        <n v="1198.0"/>
        <n v="3081.0"/>
        <n v="281.0"/>
        <n v="14558.0"/>
        <n v="13580.0"/>
        <n v="9523.0"/>
        <n v="2638.0"/>
        <n v="2109.0"/>
        <n v="2681.0"/>
        <n v="260.0"/>
        <n v="8789.0"/>
        <n v="1411.0"/>
        <n v="1954.0"/>
        <n v="9942.0"/>
        <n v="8114.0"/>
        <n v="9724.0"/>
        <n v="996.0"/>
        <n v="11807.0"/>
        <n v="8816.0"/>
        <n v="3467.0"/>
        <n v="154.0"/>
        <n v="3760.0"/>
        <n v="12375.0"/>
        <n v="3846.0"/>
        <n v="932.0"/>
        <n v="7012.0"/>
        <n v="624.0"/>
        <n v="185.0"/>
        <n v="9227.0"/>
        <n v="12991.0"/>
        <n v="4979.0"/>
        <n v="5844.0"/>
        <n v="841.0"/>
        <n v="6299.0"/>
        <n v="266.0"/>
        <n v="5075.0"/>
        <n v="34.0"/>
        <n v="24.0"/>
        <n v="8494.0"/>
        <n v="11891.0"/>
        <n v="12533.0"/>
        <n v="152.0"/>
        <n v="5508.0"/>
        <n v="84.0"/>
        <n v="460.0"/>
        <n v="2200.0"/>
        <n v="4624.0"/>
        <n v="1751.0"/>
        <n v="274.0"/>
        <n v="5751.0"/>
        <n v="1001.0"/>
        <n v="150.0"/>
        <n v="418.0"/>
        <n v="2383.0"/>
        <n v="876.0"/>
        <n v="1499.0"/>
        <n v="7575.0"/>
        <n v="159.0"/>
        <n v="21.0"/>
        <n v="144.0"/>
        <n v="218.0"/>
        <n v="8193.0"/>
        <n v="202.0"/>
        <n v="7219.0"/>
        <n v="6418.0"/>
        <n v="3302.0"/>
        <n v="1653.0"/>
        <n v="2369.0"/>
        <n v="1091.0"/>
        <n v="5928.0"/>
        <n v="7633.0"/>
        <n v="114.0"/>
        <n v="4126.0"/>
        <n v="245.0"/>
        <n v="1124.0"/>
        <n v="1615.0"/>
        <n v="8249.0"/>
        <n v="1448.0"/>
        <n v="24034.0"/>
        <n v="1179.0"/>
        <n v="1541.0"/>
        <n v="4360.0"/>
        <n v="1475.0"/>
        <n v="8702.0"/>
        <n v="10827.0"/>
        <n v="1518.0"/>
        <n v="1574.0"/>
        <n v="83.0"/>
        <n v="7272.0"/>
        <n v="1207.0"/>
        <n v="14665.0"/>
        <n v="9744.0"/>
        <n v="2127.0"/>
        <n v="2960.0"/>
        <n v="291.0"/>
        <n v="6026.0"/>
        <n v="165.0"/>
        <n v="707.0"/>
        <n v="28.0"/>
        <n v="18785.0"/>
        <n v="1062.0"/>
        <n v="609.0"/>
        <n v="1555.0"/>
        <n v="15047.0"/>
        <n v="18521.0"/>
        <n v="73.0"/>
        <n v="174.0"/>
        <n v="62.0"/>
        <n v="553.0"/>
        <n v="6252.0"/>
        <n v="9196.0"/>
        <n v="11556.0"/>
        <n v="4219.0"/>
        <n v="4429.0"/>
        <n v="684.0"/>
        <n v="192.0"/>
        <n v="4170.0"/>
        <n v="16233.0"/>
        <n v="1336.0"/>
        <n v="117.0"/>
        <n v="1297.0"/>
        <n v="8084.0"/>
        <n v="4021.0"/>
        <n v="11211.0"/>
        <n v="157.0"/>
        <n v="11554.0"/>
        <n v="391.0"/>
        <n v="4524.0"/>
        <n v="7213.0"/>
        <n v="433.0"/>
        <n v="6266.0"/>
        <n v="7159.0"/>
        <n v="11043.0"/>
        <n v="5944.0"/>
        <n v="14709.0"/>
        <n v="19204.0"/>
        <n v="10513.0"/>
        <n v="2656.0"/>
        <n v="100.0"/>
        <n v="1362.0"/>
        <n v="1707.0"/>
        <n v="4314.0"/>
        <n v="158.0"/>
        <n v="90.0"/>
        <n v="585.0"/>
        <n v="1804.0"/>
        <n v="102.0"/>
        <n v="2009.0"/>
        <n v="21810.0"/>
        <n v="12062.0"/>
        <n v="112.0"/>
        <n v="184.0"/>
        <n v="6692.0"/>
        <n v="9668.0"/>
        <n v="6284.0"/>
        <n v="7820.0"/>
        <n v="8763.0"/>
        <n v="3699.0"/>
        <n v="130.0"/>
        <n v="1318.0"/>
        <n v="1797.0"/>
        <n v="3735.0"/>
        <n v="335.0"/>
        <n v="5068.0"/>
        <n v="176.0"/>
        <n v="10290.0"/>
        <n v="1130.0"/>
        <n v="93.0"/>
        <n v="11941.0"/>
        <n v="440.0"/>
        <n v="2420.0"/>
        <n v="9467.0"/>
        <n v="1524.0"/>
        <n v="10975.0"/>
        <n v="11597.0"/>
        <n v="16863.0"/>
        <n v="17125.0"/>
        <n v="17919.0"/>
        <n v="2025.0"/>
        <n v="908.0"/>
        <n v="2114.0"/>
        <n v="13705.0"/>
        <n v="4725.0"/>
        <n v="21025.0"/>
        <n v="11593.0"/>
        <n v="3907.0"/>
        <n v="3831.0"/>
        <n v="8804.0"/>
        <n v="850.0"/>
        <n v="652.0"/>
        <n v="240.0"/>
        <n v="12392.0"/>
        <n v="339.0"/>
        <n v="692.0"/>
        <n v="7800.0"/>
        <n v="208.0"/>
        <n v="263.0"/>
        <n v="1918.0"/>
        <n v="6606.0"/>
        <n v="1562.0"/>
        <n v="2198.0"/>
        <n v="19592.0"/>
        <n v="562.0"/>
        <n v="10521.0"/>
        <n v="2234.0"/>
        <n v="1414.0"/>
        <n v="4471.0"/>
        <n v="5830.0"/>
        <n v="12239.0"/>
        <n v="2066.0"/>
        <n v="928.0"/>
        <n v="91.0"/>
        <n v="11034.0"/>
        <n v="1649.0"/>
        <n v="3017.0"/>
        <n v="3313.0"/>
        <n v="2542.0"/>
        <n v="163.0"/>
        <n v="1007.0"/>
        <n v="2811.0"/>
        <n v="1708.0"/>
        <n v="37.0"/>
        <n v="7693.0"/>
        <n v="3263.0"/>
        <n v="574.0"/>
        <n v="1596.0"/>
        <n v="10462.0"/>
        <n v="10313.0"/>
        <n v="68.0"/>
        <n v="127.0"/>
        <n v="5194.0"/>
        <n v="16175.0"/>
        <n v="9766.0"/>
        <n v="5783.0"/>
        <n v="11477.0"/>
        <n v="15422.0"/>
        <n v="7615.0"/>
        <n v="1434.0"/>
        <n v="11639.0"/>
        <n v="1.0"/>
        <n v="1937.0"/>
        <n v="12461.0"/>
        <n v="314.0"/>
        <n v="5468.0"/>
        <n v="1244.0"/>
        <n v="2732.0"/>
        <n v="175.0"/>
        <n v="2801.0"/>
        <n v="7840.0"/>
        <n v="347.0"/>
        <n v="35.0"/>
        <n v="505.0"/>
        <n v="776.0"/>
        <n v="5383.0"/>
        <n v="1271.0"/>
        <n v="1726.0"/>
        <n v="6614.0"/>
        <n v="4138.0"/>
        <n v="126.0"/>
        <n v="77.0"/>
        <n v="321.0"/>
        <n v="5681.0"/>
        <n v="467.0"/>
        <n v="141.0"/>
        <n v="7023.0"/>
        <n v="1395.0"/>
        <n v="5272.0"/>
        <n v="14434.0"/>
        <n v="5219.0"/>
        <n v="10873.0"/>
        <n v="300.0"/>
        <n v="400.0"/>
        <n v="164.0"/>
        <n v="449.0"/>
        <n v="343.0"/>
        <n v="142.0"/>
        <n v="113.0"/>
        <n v="2056.0"/>
        <n v="293.0"/>
        <n v="15847.0"/>
        <n v="4057.0"/>
        <n v="1269.0"/>
        <n v="2477.0"/>
        <n v="1182.0"/>
        <n v="9121.0"/>
        <n v="6717.0"/>
        <n v="9580.0"/>
        <n v="1881.0"/>
        <n v="4037.0"/>
        <n v="5825.0"/>
        <n v="2666.0"/>
        <n v="3041.0"/>
        <n v="6884.0"/>
      </sharedItems>
    </cacheField>
    <cacheField name="Sex_Other_Unknown" numFmtId="0">
      <sharedItems containsString="0" containsBlank="1" containsNumber="1" containsInteger="1">
        <n v="1.0"/>
        <m/>
        <n v="4.0"/>
        <n v="2.0"/>
        <n v="8.0"/>
        <n v="5.0"/>
        <n v="3.0"/>
        <n v="6.0"/>
        <n v="17.0"/>
        <n v="9.0"/>
        <n v="7.0"/>
        <n v="13.0"/>
        <n v="16.0"/>
        <n v="18.0"/>
        <n v="85.0"/>
        <n v="25.0"/>
      </sharedItems>
    </cacheField>
    <cacheField name="Age_0_09" numFmtId="0">
      <sharedItems containsString="0" containsBlank="1" containsNumber="1" containsInteger="1">
        <m/>
        <n v="4314.0"/>
        <n v="4770.0"/>
        <n v="1439.0"/>
        <n v="315.0"/>
        <n v="1639.0"/>
        <n v="1353.0"/>
        <n v="1194.0"/>
        <n v="3847.0"/>
        <n v="3916.0"/>
        <n v="239.0"/>
        <n v="562.0"/>
        <n v="2267.0"/>
        <n v="1882.0"/>
        <n v="449.0"/>
        <n v="3824.0"/>
        <n v="3308.0"/>
        <n v="260.0"/>
        <n v="46.0"/>
        <n v="1880.0"/>
        <n v="285.0"/>
        <n v="367.0"/>
        <n v="366.0"/>
        <n v="4633.0"/>
        <n v="4905.0"/>
        <n v="1263.0"/>
        <n v="3974.0"/>
        <n v="1842.0"/>
        <n v="415.0"/>
        <n v="784.0"/>
        <n v="795.0"/>
        <n v="1980.0"/>
        <n v="254.0"/>
        <n v="632.0"/>
        <n v="4820.0"/>
        <n v="2754.0"/>
        <n v="2359.0"/>
        <n v="445.0"/>
        <n v="2220.0"/>
        <n v="53.0"/>
        <n v="2272.0"/>
        <n v="161.0"/>
        <n v="261.0"/>
        <n v="219.0"/>
        <n v="3756.0"/>
        <n v="1427.0"/>
        <n v="560.0"/>
        <n v="2810.0"/>
        <n v="763.0"/>
        <n v="10568.0"/>
        <n v="40.0"/>
        <n v="981.0"/>
        <n v="124.0"/>
        <n v="405.0"/>
        <n v="1250.0"/>
        <n v="1526.0"/>
        <n v="24.0"/>
        <n v="3750.0"/>
        <n v="2847.0"/>
        <n v="1563.0"/>
        <n v="3574.0"/>
        <n v="2835.0"/>
        <n v="4199.0"/>
        <n v="2382.0"/>
        <n v="2441.0"/>
        <n v="1949.0"/>
        <n v="3067.0"/>
        <n v="3309.0"/>
        <n v="1280.0"/>
        <n v="1184.0"/>
        <n v="6983.0"/>
        <n v="1529.0"/>
        <n v="5443.0"/>
        <n v="2066.0"/>
        <n v="364.0"/>
        <n v="2302.0"/>
        <n v="2790.0"/>
        <n v="2077.0"/>
        <n v="2145.0"/>
        <n v="3031.0"/>
        <n v="3162.0"/>
        <n v="641.0"/>
        <n v="4501.0"/>
        <n v="1092.0"/>
        <n v="11.0"/>
        <n v="1534.0"/>
        <n v="1993.0"/>
        <n v="2350.0"/>
        <n v="522.0"/>
        <n v="1113.0"/>
        <n v="1864.0"/>
        <n v="3335.0"/>
        <n v="9684.0"/>
        <n v="4736.0"/>
        <n v="794.0"/>
        <n v="721.0"/>
        <n v="7133.0"/>
        <n v="1553.0"/>
        <n v="812.0"/>
        <n v="624.0"/>
        <n v="2273.0"/>
        <n v="20.0"/>
        <n v="1339.0"/>
        <n v="35.0"/>
        <n v="1850.0"/>
        <n v="2914.0"/>
        <n v="707.0"/>
        <n v="355.0"/>
        <n v="414.0"/>
        <n v="7903.0"/>
        <n v="1804.0"/>
        <n v="1027.0"/>
        <n v="2087.0"/>
        <n v="7934.0"/>
        <n v="390.0"/>
        <n v="2094.0"/>
        <n v="1764.0"/>
        <n v="1947.0"/>
        <n v="4444.0"/>
        <n v="2312.0"/>
        <n v="1862.0"/>
        <n v="1051.0"/>
        <n v="22.0"/>
        <n v="7658.0"/>
        <n v="2887.0"/>
        <n v="8241.0"/>
        <n v="19.0"/>
        <n v="1044.0"/>
        <n v="2357.0"/>
        <n v="1395.0"/>
        <n v="288.0"/>
        <n v="1670.0"/>
        <n v="56.0"/>
        <n v="1197.0"/>
        <n v="3755.0"/>
        <n v="181.0"/>
        <n v="3440.0"/>
        <n v="1527.0"/>
        <n v="3223.0"/>
        <n v="3076.0"/>
        <n v="1655.0"/>
        <n v="883.0"/>
        <n v="1285.0"/>
        <n v="5361.0"/>
        <n v="8832.0"/>
        <n v="2871.0"/>
        <n v="27.0"/>
        <n v="490.0"/>
        <n v="328.0"/>
        <n v="8971.0"/>
        <n v="1712.0"/>
        <n v="1887.0"/>
        <n v="2106.0"/>
        <n v="1137.0"/>
        <n v="1699.0"/>
        <n v="1186.0"/>
        <n v="287.0"/>
        <n v="84.0"/>
        <n v="479.0"/>
        <n v="2398.0"/>
        <n v="198.0"/>
        <n v="115.0"/>
        <n v="11248.0"/>
        <n v="13440.0"/>
        <n v="7401.0"/>
        <n v="2932.0"/>
        <n v="5694.0"/>
        <n v="4168.0"/>
        <n v="3593.0"/>
        <n v="798.0"/>
        <n v="4954.0"/>
        <n v="2696.0"/>
        <n v="788.0"/>
        <n v="1806.0"/>
        <n v="3637.0"/>
        <n v="2653.0"/>
        <n v="1507.0"/>
        <n v="49.0"/>
        <n v="5488.0"/>
        <n v="4360.0"/>
        <n v="1125.0"/>
        <n v="2020.0"/>
        <n v="3714.0"/>
        <n v="508.0"/>
        <n v="411.0"/>
        <n v="697.0"/>
        <n v="1382.0"/>
        <n v="611.0"/>
        <n v="1582.0"/>
        <n v="1124.0"/>
        <n v="2171.0"/>
        <n v="358.0"/>
        <n v="3747.0"/>
        <n v="2558.0"/>
        <n v="5073.0"/>
        <n v="2607.0"/>
        <n v="1162.0"/>
        <n v="4396.0"/>
        <n v="2365.0"/>
        <n v="9713.0"/>
        <n v="12.0"/>
        <n v="345.0"/>
        <n v="5045.0"/>
        <n v="1100.0"/>
        <n v="744.0"/>
        <n v="930.0"/>
        <n v="1979.0"/>
        <n v="134.0"/>
        <n v="196.0"/>
        <n v="1692.0"/>
        <n v="23.0"/>
        <n v="1401.0"/>
        <n v="371.0"/>
        <n v="896.0"/>
        <n v="2182.0"/>
        <n v="1667.0"/>
        <n v="4208.0"/>
        <n v="1266.0"/>
        <n v="1740.0"/>
        <n v="602.0"/>
        <n v="4965.0"/>
        <n v="1482.0"/>
        <n v="237.0"/>
        <n v="516.0"/>
        <n v="3114.0"/>
        <n v="2376.0"/>
        <n v="1978.0"/>
        <n v="511.0"/>
        <n v="1210.0"/>
        <n v="534.0"/>
        <n v="1188.0"/>
        <n v="1879.0"/>
      </sharedItems>
    </cacheField>
    <cacheField name="Age_10_19" numFmtId="0">
      <sharedItems containsString="0" containsBlank="1" containsNumber="1" containsInteger="1">
        <m/>
        <n v="188.0"/>
        <n v="2379.0"/>
        <n v="532.0"/>
        <n v="302.0"/>
        <n v="30.0"/>
        <n v="52.0"/>
        <n v="46.0"/>
        <n v="2631.0"/>
        <n v="34.0"/>
        <n v="24.0"/>
        <n v="115.0"/>
        <n v="447.0"/>
        <n v="106.0"/>
        <n v="903.0"/>
        <n v="82.0"/>
        <n v="16.0"/>
        <n v="202.0"/>
        <n v="244.0"/>
        <n v="13.0"/>
        <n v="170.0"/>
        <n v="60.0"/>
        <n v="424.0"/>
        <n v="120.0"/>
        <n v="31.0"/>
        <n v="20.0"/>
        <n v="1571.0"/>
        <n v="67.0"/>
        <n v="49.0"/>
        <n v="29.0"/>
        <n v="26.0"/>
        <n v="178.0"/>
        <n v="1155.0"/>
        <n v="81.0"/>
        <n v="258.0"/>
        <n v="50.0"/>
        <n v="426.0"/>
        <n v="28.0"/>
        <n v="68.0"/>
        <n v="103.0"/>
        <n v="18.0"/>
        <n v="64.0"/>
        <n v="685.0"/>
        <n v="485.0"/>
        <n v="172.0"/>
        <n v="53.0"/>
        <n v="32.0"/>
        <n v="207.0"/>
        <n v="1623.0"/>
        <n v="190.0"/>
        <n v="17.0"/>
        <n v="19.0"/>
        <n v="22.0"/>
        <n v="1546.0"/>
        <n v="443.0"/>
        <n v="185.0"/>
        <n v="107.0"/>
        <n v="79.0"/>
        <n v="458.0"/>
        <n v="21.0"/>
        <n v="113.0"/>
        <n v="1221.0"/>
        <n v="5946.0"/>
        <n v="151.0"/>
        <n v="734.0"/>
        <n v="38.0"/>
        <n v="47.0"/>
        <n v="4136.0"/>
        <n v="58.0"/>
        <n v="73.0"/>
        <n v="203.0"/>
        <n v="76.0"/>
        <n v="214.0"/>
        <n v="204.0"/>
        <n v="102.0"/>
        <n v="368.0"/>
        <n v="66.0"/>
        <n v="294.0"/>
        <n v="1166.0"/>
        <n v="61.0"/>
        <n v="183.0"/>
        <n v="161.0"/>
        <n v="15.0"/>
        <n v="392.0"/>
        <n v="36.0"/>
        <n v="92.0"/>
        <n v="117.0"/>
        <n v="37.0"/>
        <n v="618.0"/>
        <n v="805.0"/>
        <n v="98.0"/>
        <n v="131.0"/>
        <n v="11.0"/>
        <n v="39.0"/>
        <n v="652.0"/>
        <n v="14.0"/>
        <n v="432.0"/>
        <n v="44.0"/>
        <n v="83.0"/>
        <n v="25.0"/>
        <n v="925.0"/>
        <n v="497.0"/>
        <n v="609.0"/>
        <n v="477.0"/>
        <n v="146.0"/>
        <n v="707.0"/>
        <n v="995.0"/>
        <n v="138.0"/>
        <n v="51.0"/>
        <n v="88.0"/>
        <n v="2310.0"/>
        <n v="445.0"/>
        <n v="3035.0"/>
        <n v="104.0"/>
        <n v="55.0"/>
        <n v="191.0"/>
        <n v="217.0"/>
        <n v="174.0"/>
        <n v="416.0"/>
        <n v="41.0"/>
        <n v="4424.0"/>
        <n v="35.0"/>
        <n v="12.0"/>
        <n v="347.0"/>
        <n v="195.0"/>
        <n v="27.0"/>
        <n v="133.0"/>
        <n v="610.0"/>
        <n v="265.0"/>
        <n v="77.0"/>
        <n v="239.0"/>
        <n v="33.0"/>
        <n v="507.0"/>
        <n v="483.0"/>
        <n v="389.0"/>
        <n v="751.0"/>
        <n v="187.0"/>
        <n v="310.0"/>
        <n v="166.0"/>
        <n v="74.0"/>
        <n v="211.0"/>
        <n v="65.0"/>
        <n v="84.0"/>
        <n v="385.0"/>
        <n v="59.0"/>
        <n v="256.0"/>
        <n v="1261.0"/>
        <n v="80.0"/>
        <n v="87.0"/>
        <n v="1973.0"/>
        <n v="1355.0"/>
        <n v="1131.0"/>
        <n v="959.0"/>
        <n v="332.0"/>
        <n v="482.0"/>
        <n v="581.0"/>
        <n v="48.0"/>
        <n v="969.0"/>
        <n v="369.0"/>
        <n v="126.0"/>
        <n v="340.0"/>
        <n v="150.0"/>
        <n v="1645.0"/>
        <n v="2854.0"/>
        <n v="93.0"/>
        <n v="602.0"/>
        <n v="86.0"/>
        <n v="4056.0"/>
        <n v="6508.0"/>
        <n v="155.0"/>
        <n v="112.0"/>
        <n v="418.0"/>
        <n v="411.0"/>
        <n v="662.0"/>
        <n v="127.0"/>
        <n v="164.0"/>
        <n v="63.0"/>
        <n v="415.0"/>
        <n v="143.0"/>
        <n v="608.0"/>
        <n v="57.0"/>
        <n v="318.0"/>
        <n v="96.0"/>
        <n v="339.0"/>
        <n v="2311.0"/>
        <n v="308.0"/>
        <n v="288.0"/>
        <n v="274.0"/>
        <n v="101.0"/>
        <n v="129.0"/>
        <n v="479.0"/>
        <n v="542.0"/>
        <n v="293.0"/>
        <n v="987.0"/>
        <n v="267.0"/>
        <n v="78.0"/>
        <n v="976.0"/>
        <n v="3064.0"/>
        <n v="62.0"/>
        <n v="414.0"/>
        <n v="56.0"/>
        <n v="210.0"/>
        <n v="928.0"/>
        <n v="145.0"/>
        <n v="23.0"/>
        <n v="165.0"/>
        <n v="136.0"/>
        <n v="796.0"/>
        <n v="588.0"/>
        <n v="193.0"/>
        <n v="261.0"/>
        <n v="216.0"/>
        <n v="513.0"/>
        <n v="160.0"/>
        <n v="772.0"/>
        <n v="192.0"/>
        <n v="118.0"/>
      </sharedItems>
    </cacheField>
    <cacheField name="Age_20_29" numFmtId="0">
      <sharedItems containsString="0" containsBlank="1" containsNumber="1" containsInteger="1">
        <n v="104.0"/>
        <n v="1720.0"/>
        <n v="179.0"/>
        <n v="324.0"/>
        <n v="2413.0"/>
        <m/>
        <n v="256.0"/>
        <n v="331.0"/>
        <n v="433.0"/>
        <n v="64.0"/>
        <n v="1118.0"/>
        <n v="400.0"/>
        <n v="138.0"/>
        <n v="388.0"/>
        <n v="713.0"/>
        <n v="1138.0"/>
        <n v="1372.0"/>
        <n v="147.0"/>
        <n v="741.0"/>
        <n v="1482.0"/>
        <n v="69.0"/>
        <n v="16.0"/>
        <n v="15.0"/>
        <n v="1447.0"/>
        <n v="405.0"/>
        <n v="1256.0"/>
        <n v="867.0"/>
        <n v="276.0"/>
        <n v="103.0"/>
        <n v="442.0"/>
        <n v="940.0"/>
        <n v="198.0"/>
        <n v="140.0"/>
        <n v="297.0"/>
        <n v="100.0"/>
        <n v="2826.0"/>
        <n v="48.0"/>
        <n v="5198.0"/>
        <n v="728.0"/>
        <n v="2858.0"/>
        <n v="14.0"/>
        <n v="947.0"/>
        <n v="63.0"/>
        <n v="176.0"/>
        <n v="20.0"/>
        <n v="573.0"/>
        <n v="81.0"/>
        <n v="514.0"/>
        <n v="1091.0"/>
        <n v="105.0"/>
        <n v="459.0"/>
        <n v="2582.0"/>
        <n v="2233.0"/>
        <n v="1671.0"/>
        <n v="284.0"/>
        <n v="1767.0"/>
        <n v="55.0"/>
        <n v="367.0"/>
        <n v="30.0"/>
        <n v="112.0"/>
        <n v="1679.0"/>
        <n v="122.0"/>
        <n v="172.0"/>
        <n v="159.0"/>
        <n v="144.0"/>
        <n v="1312.0"/>
        <n v="2550.0"/>
        <n v="12.0"/>
        <n v="1262.0"/>
        <n v="233.0"/>
        <n v="533.0"/>
        <n v="1035.0"/>
        <n v="2660.0"/>
        <n v="96.0"/>
        <n v="863.0"/>
        <n v="295.0"/>
        <n v="1719.0"/>
        <n v="538.0"/>
        <n v="485.0"/>
        <n v="902.0"/>
        <n v="180.0"/>
        <n v="334.0"/>
        <n v="509.0"/>
        <n v="821.0"/>
        <n v="234.0"/>
        <n v="484.0"/>
        <n v="269.0"/>
        <n v="60.0"/>
        <n v="193.0"/>
        <n v="607.0"/>
        <n v="46.0"/>
        <n v="1242.0"/>
        <n v="157.0"/>
        <n v="91.0"/>
        <n v="499.0"/>
        <n v="2114.0"/>
        <n v="1979.0"/>
        <n v="1039.0"/>
        <n v="1716.0"/>
        <n v="592.0"/>
        <n v="1297.0"/>
        <n v="2568.0"/>
        <n v="1001.0"/>
        <n v="954.0"/>
        <n v="936.0"/>
        <n v="23.0"/>
        <n v="1057.0"/>
        <n v="1181.0"/>
        <n v="214.0"/>
        <n v="963.0"/>
        <n v="281.0"/>
        <n v="1190.0"/>
        <n v="733.0"/>
        <n v="810.0"/>
        <n v="468.0"/>
        <n v="174.0"/>
        <n v="2563.0"/>
        <n v="1016.0"/>
        <n v="89.0"/>
        <n v="1615.0"/>
        <n v="3346.0"/>
        <n v="1472.0"/>
        <n v="2063.0"/>
        <n v="423.0"/>
        <n v="240.0"/>
        <n v="391.0"/>
        <n v="763.0"/>
        <n v="759.0"/>
        <n v="118.0"/>
        <n v="2857.0"/>
        <n v="458.0"/>
        <n v="1244.0"/>
        <n v="84.0"/>
        <n v="714.0"/>
        <n v="1829.0"/>
        <n v="1839.0"/>
        <n v="211.0"/>
        <n v="255.0"/>
        <n v="3327.0"/>
        <n v="675.0"/>
        <n v="466.0"/>
        <n v="1117.0"/>
        <n v="135.0"/>
        <n v="129.0"/>
        <n v="1950.0"/>
        <n v="3077.0"/>
        <n v="987.0"/>
        <n v="1142.0"/>
        <n v="219.0"/>
        <n v="641.0"/>
        <n v="192.0"/>
        <n v="525.0"/>
        <n v="1243.0"/>
        <n v="2682.0"/>
        <n v="1912.0"/>
        <n v="846.0"/>
        <n v="65.0"/>
        <n v="358.0"/>
        <n v="474.0"/>
        <n v="131.0"/>
        <n v="56.0"/>
        <n v="715.0"/>
        <n v="25.0"/>
        <n v="460.0"/>
        <n v="44.0"/>
        <n v="343.0"/>
        <n v="1728.0"/>
        <n v="93.0"/>
        <n v="28.0"/>
        <n v="1158.0"/>
        <n v="1991.0"/>
        <n v="446.0"/>
        <n v="289.0"/>
        <n v="224.0"/>
        <n v="158.0"/>
        <n v="250.0"/>
        <n v="762.0"/>
        <n v="72.0"/>
        <n v="673.0"/>
        <n v="102.0"/>
        <n v="834.0"/>
        <n v="1234.0"/>
        <n v="558.0"/>
        <n v="2685.0"/>
        <n v="218.0"/>
        <n v="181.0"/>
        <n v="197.0"/>
        <n v="235.0"/>
        <n v="1206.0"/>
        <n v="2238.0"/>
        <n v="169.0"/>
        <n v="651.0"/>
        <n v="323.0"/>
        <n v="2859.0"/>
        <n v="973.0"/>
        <n v="291.0"/>
        <n v="252.0"/>
        <n v="1465.0"/>
        <n v="2587.0"/>
        <n v="19.0"/>
        <n v="569.0"/>
        <n v="32.0"/>
        <n v="1722.0"/>
        <n v="2943.0"/>
        <n v="80.0"/>
        <n v="251.0"/>
        <n v="1411.0"/>
        <n v="1909.0"/>
        <n v="440.0"/>
        <n v="1189.0"/>
        <n v="528.0"/>
        <n v="67.0"/>
        <n v="798.0"/>
        <n v="3326.0"/>
        <n v="217.0"/>
        <n v="340.0"/>
        <n v="1618.0"/>
        <n v="892.0"/>
        <n v="2154.0"/>
        <n v="113.0"/>
        <n v="2908.0"/>
        <n v="17.0"/>
        <n v="1100.0"/>
        <n v="52.0"/>
        <n v="24.0"/>
        <n v="419.0"/>
        <n v="789.0"/>
        <n v="1422.0"/>
        <n v="960.0"/>
        <n v="2153.0"/>
        <n v="3351.0"/>
        <n v="1593.0"/>
        <n v="1468.0"/>
        <n v="42.0"/>
        <n v="414.0"/>
        <n v="719.0"/>
        <n v="406.0"/>
        <n v="13.0"/>
        <n v="99.0"/>
        <n v="309.0"/>
        <n v="11.0"/>
        <n v="220.0"/>
        <n v="373.0"/>
        <n v="3868.0"/>
        <n v="2103.0"/>
        <n v="1082.0"/>
        <n v="1196.0"/>
        <n v="2310.0"/>
        <n v="1210.0"/>
        <n v="1423.0"/>
        <n v="905.0"/>
        <n v="213.0"/>
        <n v="353.0"/>
        <n v="1161.0"/>
        <n v="54.0"/>
        <n v="701.0"/>
        <n v="3336.0"/>
        <n v="225.0"/>
        <n v="2345.0"/>
        <n v="292.0"/>
        <n v="149.0"/>
        <n v="1112.0"/>
        <n v="2459.0"/>
        <n v="2937.0"/>
        <n v="2179.0"/>
        <n v="3719.0"/>
        <n v="815.0"/>
        <n v="600.0"/>
        <n v="1437.0"/>
        <n v="612.0"/>
        <n v="4118.0"/>
        <n v="2074.0"/>
        <n v="550.0"/>
        <n v="182.0"/>
        <n v="945.0"/>
        <n v="852.0"/>
        <n v="58.0"/>
        <n v="26.0"/>
        <n v="2463.0"/>
        <n v="649.0"/>
        <n v="246.0"/>
        <n v="1609.0"/>
        <n v="502.0"/>
        <n v="75.0"/>
        <n v="2157.0"/>
        <n v="802.0"/>
        <n v="111.0"/>
        <n v="95.0"/>
        <n v="661.0"/>
        <n v="1597.0"/>
        <n v="2086.0"/>
        <n v="273.0"/>
        <n v="382.0"/>
        <n v="336.0"/>
        <n v="2023.0"/>
        <n v="317.0"/>
        <n v="531.0"/>
        <n v="374.0"/>
        <n v="82.0"/>
        <n v="134.0"/>
        <n v="696.0"/>
        <n v="162.0"/>
        <n v="628.0"/>
        <n v="2314.0"/>
        <n v="1220.0"/>
        <n v="591.0"/>
        <n v="1657.0"/>
        <n v="768.0"/>
        <n v="923.0"/>
        <n v="2562.0"/>
        <n v="1988.0"/>
        <n v="1044.0"/>
        <n v="809.0"/>
        <n v="1608.0"/>
        <n v="307.0"/>
        <n v="1329.0"/>
        <n v="200.0"/>
        <n v="79.0"/>
        <n v="575.0"/>
        <n v="596.0"/>
        <n v="168.0"/>
        <n v="128.0"/>
        <n v="78.0"/>
        <n v="117.0"/>
        <n v="711.0"/>
        <n v="330.0"/>
        <n v="108.0"/>
        <n v="1160.0"/>
        <n v="699.0"/>
        <n v="98.0"/>
        <n v="226.0"/>
        <n v="563.0"/>
        <n v="833.0"/>
        <n v="554.0"/>
        <n v="862.0"/>
        <n v="3440.0"/>
        <n v="931.0"/>
        <n v="1392.0"/>
        <n v="21.0"/>
        <n v="38.0"/>
        <n v="43.0"/>
        <n v="76.0"/>
        <n v="77.0"/>
        <n v="398.0"/>
        <n v="3651.0"/>
        <n v="320.0"/>
        <n v="450.0"/>
        <n v="1436.0"/>
        <n v="1681.0"/>
        <n v="764.0"/>
        <n v="88.0"/>
        <n v="813.0"/>
        <n v="692.0"/>
        <n v="650.0"/>
        <n v="1214.0"/>
      </sharedItems>
    </cacheField>
    <cacheField name="Age_30_39" numFmtId="0">
      <sharedItems containsString="0" containsBlank="1" containsNumber="1" containsInteger="1">
        <n v="187.0"/>
        <n v="3212.0"/>
        <m/>
        <n v="241.0"/>
        <n v="2851.0"/>
        <n v="28.0"/>
        <n v="650.0"/>
        <n v="368.0"/>
        <n v="1464.0"/>
        <n v="102.0"/>
        <n v="706.0"/>
        <n v="1305.0"/>
        <n v="210.0"/>
        <n v="239.0"/>
        <n v="1269.0"/>
        <n v="2870.0"/>
        <n v="3085.0"/>
        <n v="185.0"/>
        <n v="11.0"/>
        <n v="1067.0"/>
        <n v="1699.0"/>
        <n v="72.0"/>
        <n v="37.0"/>
        <n v="30.0"/>
        <n v="1523.0"/>
        <n v="635.0"/>
        <n v="3049.0"/>
        <n v="2574.0"/>
        <n v="518.0"/>
        <n v="323.0"/>
        <n v="285.0"/>
        <n v="1432.0"/>
        <n v="198.0"/>
        <n v="271.0"/>
        <n v="364.0"/>
        <n v="103.0"/>
        <n v="3261.0"/>
        <n v="97.0"/>
        <n v="5968.0"/>
        <n v="502.0"/>
        <n v="3057.0"/>
        <n v="26.0"/>
        <n v="31.0"/>
        <n v="1332.0"/>
        <n v="68.0"/>
        <n v="276.0"/>
        <n v="49.0"/>
        <n v="732.0"/>
        <n v="94.0"/>
        <n v="537.0"/>
        <n v="929.0"/>
        <n v="139.0"/>
        <n v="373.0"/>
        <n v="2084.0"/>
        <n v="2176.0"/>
        <n v="18.0"/>
        <n v="2024.0"/>
        <n v="585.0"/>
        <n v="237.0"/>
        <n v="2186.0"/>
        <n v="316.0"/>
        <n v="53.0"/>
        <n v="88.0"/>
        <n v="78.0"/>
        <n v="1498.0"/>
        <n v="106.0"/>
        <n v="182.0"/>
        <n v="99.0"/>
        <n v="1044.0"/>
        <n v="2735.0"/>
        <n v="17.0"/>
        <n v="27.0"/>
        <n v="1415.0"/>
        <n v="338.0"/>
        <n v="735.0"/>
        <n v="1885.0"/>
        <n v="2647.0"/>
        <n v="152.0"/>
        <n v="1126.0"/>
        <n v="269.0"/>
        <n v="86.0"/>
        <n v="1405.0"/>
        <n v="530.0"/>
        <n v="744.0"/>
        <n v="283.0"/>
        <n v="544.0"/>
        <n v="962.0"/>
        <n v="658.0"/>
        <n v="481.0"/>
        <n v="91.0"/>
        <n v="355.0"/>
        <n v="993.0"/>
        <n v="43.0"/>
        <n v="2066.0"/>
        <n v="194.0"/>
        <n v="135.0"/>
        <n v="896.0"/>
        <n v="2543.0"/>
        <n v="2444.0"/>
        <n v="1687.0"/>
        <n v="3731.0"/>
        <n v="2642.0"/>
        <n v="3498.0"/>
        <n v="2033.0"/>
        <n v="1882.0"/>
        <n v="1773.0"/>
        <n v="702.0"/>
        <n v="2659.0"/>
        <n v="389.0"/>
        <n v="1939.0"/>
        <n v="513.0"/>
        <n v="1393.0"/>
        <n v="924.0"/>
        <n v="1351.0"/>
        <n v="1303.0"/>
        <n v="260.0"/>
        <n v="7497.0"/>
        <n v="1344.0"/>
        <n v="179.0"/>
        <n v="1999.0"/>
        <n v="25.0"/>
        <n v="3500.0"/>
        <n v="2368.0"/>
        <n v="2069.0"/>
        <n v="853.0"/>
        <n v="362.0"/>
        <n v="617.0"/>
        <n v="24.0"/>
        <n v="1925.0"/>
        <n v="287.0"/>
        <n v="3058.0"/>
        <n v="2016.0"/>
        <n v="1968.0"/>
        <n v="136.0"/>
        <n v="1188.0"/>
        <n v="3015.0"/>
        <n v="2029.0"/>
        <n v="700.0"/>
        <n v="475.0"/>
        <n v="3163.0"/>
        <n v="850.0"/>
        <n v="186.0"/>
        <n v="1795.0"/>
        <n v="128.0"/>
        <n v="234.0"/>
        <n v="2435.0"/>
        <n v="4366.0"/>
        <n v="1290.0"/>
        <n v="1836.0"/>
        <n v="299.0"/>
        <n v="1595.0"/>
        <n v="347.0"/>
        <n v="847.0"/>
        <n v="2498.0"/>
        <n v="3135.0"/>
        <n v="3203.0"/>
        <n v="1024.0"/>
        <n v="50.0"/>
        <n v="476.0"/>
        <n v="1366.0"/>
        <n v="14.0"/>
        <n v="22.0"/>
        <n v="465.0"/>
        <n v="346.0"/>
        <n v="1692.0"/>
        <n v="44.0"/>
        <n v="1487.0"/>
        <n v="36.0"/>
        <n v="1426.0"/>
        <n v="1755.0"/>
        <n v="661.0"/>
        <n v="305.0"/>
        <n v="376.0"/>
        <n v="301.0"/>
        <n v="1834.0"/>
        <n v="76.0"/>
        <n v="888.0"/>
        <n v="227.0"/>
        <n v="1026.0"/>
        <n v="1702.0"/>
        <n v="692.0"/>
        <n v="7225.0"/>
        <n v="270.0"/>
        <n v="246.0"/>
        <n v="331.0"/>
        <n v="419.0"/>
        <n v="1857.0"/>
        <n v="2895.0"/>
        <n v="222.0"/>
        <n v="159.0"/>
        <n v="1620.0"/>
        <n v="282.0"/>
        <n v="3485.0"/>
        <n v="463.0"/>
        <n v="437.0"/>
        <n v="20.0"/>
        <n v="1444.0"/>
        <n v="5461.0"/>
        <n v="609.0"/>
        <n v="41.0"/>
        <n v="163.0"/>
        <n v="98.0"/>
        <n v="2903.0"/>
        <n v="4955.0"/>
        <n v="107.0"/>
        <n v="342.0"/>
        <n v="1446.0"/>
        <n v="2130.0"/>
        <n v="1513.0"/>
        <n v="730.0"/>
        <n v="1037.0"/>
        <n v="434.0"/>
        <n v="908.0"/>
        <n v="3600.0"/>
        <n v="192.0"/>
        <n v="19.0"/>
        <n v="620.0"/>
        <n v="2232.0"/>
        <n v="1021.0"/>
        <n v="2682.0"/>
        <n v="156.0"/>
        <n v="3257.0"/>
        <n v="557.0"/>
        <n v="1389.0"/>
        <n v="71.0"/>
        <n v="789.0"/>
        <n v="1140.0"/>
        <n v="2065.0"/>
        <n v="1124.0"/>
        <n v="3280.0"/>
        <n v="4264.0"/>
        <n v="2562.0"/>
        <n v="1214.0"/>
        <n v="85.0"/>
        <n v="344.0"/>
        <n v="839.0"/>
        <n v="777.0"/>
        <n v="77.0"/>
        <n v="320.0"/>
        <n v="23.0"/>
        <n v="367.0"/>
        <n v="403.0"/>
        <n v="5396.0"/>
        <n v="3017.0"/>
        <n v="16.0"/>
        <n v="34.0"/>
        <n v="1457.0"/>
        <n v="2113.0"/>
        <n v="2173.0"/>
        <n v="1607.0"/>
        <n v="1577.0"/>
        <n v="830.0"/>
        <n v="74.0"/>
        <n v="837.0"/>
        <n v="3589.0"/>
        <n v="196.0"/>
        <n v="2313.0"/>
        <n v="228.0"/>
        <n v="454.0"/>
        <n v="1783.0"/>
        <n v="4805.0"/>
        <n v="3422.0"/>
        <n v="4307.0"/>
        <n v="4171.0"/>
        <n v="470.0"/>
        <n v="881.0"/>
        <n v="3530.0"/>
        <n v="815.0"/>
        <n v="6231.0"/>
        <n v="2416.0"/>
        <n v="861.0"/>
        <n v="385.0"/>
        <n v="1714.0"/>
        <n v="59.0"/>
        <n v="525.0"/>
        <n v="48.0"/>
        <n v="2836.0"/>
        <n v="2372.0"/>
        <n v="113.0"/>
        <n v="345.0"/>
        <n v="2303.0"/>
        <n v="630.0"/>
        <n v="157.0"/>
        <n v="4505.0"/>
        <n v="3676.0"/>
        <n v="292.0"/>
        <n v="240.0"/>
        <n v="810.0"/>
        <n v="1799.0"/>
        <n v="2463.0"/>
        <n v="412.0"/>
        <n v="273.0"/>
        <n v="66.0"/>
        <n v="2815.0"/>
        <n v="174.0"/>
        <n v="606.0"/>
        <n v="890.0"/>
        <n v="444.0"/>
        <n v="300.0"/>
        <n v="104.0"/>
        <n v="1800.0"/>
        <n v="959.0"/>
        <n v="1911.0"/>
        <n v="33.0"/>
        <n v="2170.0"/>
        <n v="2115.0"/>
        <n v="832.0"/>
        <n v="4884.0"/>
        <n v="2273.0"/>
        <n v="1180.0"/>
        <n v="2893.0"/>
        <n v="2797.0"/>
        <n v="1969.0"/>
        <n v="564.0"/>
        <n v="3462.0"/>
        <n v="363.0"/>
        <n v="3669.0"/>
        <n v="89.0"/>
        <n v="69.0"/>
        <n v="927.0"/>
        <n v="527.0"/>
        <n v="619.0"/>
        <n v="120.0"/>
        <n v="1503.0"/>
        <n v="35.0"/>
        <n v="125.0"/>
        <n v="1294.0"/>
        <n v="202.0"/>
        <n v="212.0"/>
        <n v="1077.0"/>
        <n v="141.0"/>
        <n v="303.0"/>
        <n v="865.0"/>
        <n v="1566.0"/>
        <n v="455.0"/>
        <n v="1168.0"/>
        <n v="3409.0"/>
        <n v="992.0"/>
        <n v="2026.0"/>
        <n v="82.0"/>
        <n v="84.0"/>
        <n v="374.0"/>
        <n v="3392.0"/>
        <n v="759.0"/>
        <n v="353.0"/>
        <n v="2103.0"/>
        <n v="1872.0"/>
        <n v="1660.0"/>
        <n v="684.0"/>
        <n v="1079.0"/>
        <n v="720.0"/>
        <n v="792.0"/>
        <n v="1265.0"/>
      </sharedItems>
    </cacheField>
    <cacheField name="Age_40_49" numFmtId="0">
      <sharedItems containsString="0" containsBlank="1" containsNumber="1" containsInteger="1">
        <n v="296.0"/>
        <n v="931.0"/>
        <m/>
        <n v="159.0"/>
        <n v="2151.0"/>
        <n v="40.0"/>
        <n v="845.0"/>
        <n v="361.0"/>
        <n v="649.0"/>
        <n v="55.0"/>
        <n v="461.0"/>
        <n v="486.0"/>
        <n v="308.0"/>
        <n v="164.0"/>
        <n v="652.0"/>
        <n v="1660.0"/>
        <n v="799.0"/>
        <n v="107.0"/>
        <n v="32.0"/>
        <n v="1201.0"/>
        <n v="1135.0"/>
        <n v="57.0"/>
        <n v="36.0"/>
        <n v="750.0"/>
        <n v="505.0"/>
        <n v="1183.0"/>
        <n v="773.0"/>
        <n v="867.0"/>
        <n v="286.0"/>
        <n v="210.0"/>
        <n v="643.0"/>
        <n v="122.0"/>
        <n v="139.0"/>
        <n v="280.0"/>
        <n v="1486.0"/>
        <n v="119.0"/>
        <n v="4995.0"/>
        <n v="98.0"/>
        <n v="1939.0"/>
        <n v="46.0"/>
        <n v="67.0"/>
        <n v="549.0"/>
        <n v="42.0"/>
        <n v="11.0"/>
        <n v="112.0"/>
        <n v="66.0"/>
        <n v="532.0"/>
        <n v="49.0"/>
        <n v="317.0"/>
        <n v="235.0"/>
        <n v="45.0"/>
        <n v="192.0"/>
        <n v="1170.0"/>
        <n v="1270.0"/>
        <n v="18.0"/>
        <n v="1207.0"/>
        <n v="387.0"/>
        <n v="116.0"/>
        <n v="1663.0"/>
        <n v="115.0"/>
        <n v="202.0"/>
        <n v="156.0"/>
        <n v="840.0"/>
        <n v="87.0"/>
        <n v="123.0"/>
        <n v="294.0"/>
        <n v="609.0"/>
        <n v="1514.0"/>
        <n v="31.0"/>
        <n v="39.0"/>
        <n v="1017.0"/>
        <n v="270.0"/>
        <n v="745.0"/>
        <n v="1854.0"/>
        <n v="1814.0"/>
        <n v="152.0"/>
        <n v="1166.0"/>
        <n v="154.0"/>
        <n v="1055.0"/>
        <n v="869.0"/>
        <n v="504.0"/>
        <n v="19.0"/>
        <n v="451.0"/>
        <n v="674.0"/>
        <n v="462.0"/>
        <n v="637.0"/>
        <n v="972.0"/>
        <n v="279.0"/>
        <n v="97.0"/>
        <n v="446.0"/>
        <n v="29.0"/>
        <n v="554.0"/>
        <n v="24.0"/>
        <n v="1351.0"/>
        <n v="147.0"/>
        <n v="230.0"/>
        <n v="941.0"/>
        <n v="1209.0"/>
        <n v="1573.0"/>
        <n v="1120.0"/>
        <n v="2132.0"/>
        <n v="764.0"/>
        <n v="1848.0"/>
        <n v="2044.0"/>
        <n v="927.0"/>
        <n v="670.0"/>
        <n v="851.0"/>
        <n v="62.0"/>
        <n v="509.0"/>
        <n v="1336.0"/>
        <n v="497.0"/>
        <n v="813.0"/>
        <n v="629.0"/>
        <n v="841.0"/>
        <n v="794.0"/>
        <n v="1511.0"/>
        <n v="865.0"/>
        <n v="364.0"/>
        <n v="4085.0"/>
        <n v="1064.0"/>
        <n v="259.0"/>
        <n v="1380.0"/>
        <n v="27.0"/>
        <n v="1546.0"/>
        <n v="1832.0"/>
        <n v="1022.0"/>
        <n v="824.0"/>
        <n v="249.0"/>
        <n v="666.0"/>
        <n v="53.0"/>
        <n v="1142.0"/>
        <n v="782.0"/>
        <n v="310.0"/>
        <n v="1941.0"/>
        <n v="753.0"/>
        <n v="1285.0"/>
        <n v="186.0"/>
        <n v="732.0"/>
        <n v="2359.0"/>
        <n v="1234.0"/>
        <n v="349.0"/>
        <n v="23.0"/>
        <n v="575.0"/>
        <n v="1720.0"/>
        <n v="528.0"/>
        <n v="134.0"/>
        <n v="945.0"/>
        <n v="158.0"/>
        <n v="137.0"/>
        <n v="2505.0"/>
        <n v="4629.0"/>
        <n v="1339.0"/>
        <n v="1888.0"/>
        <n v="448.0"/>
        <n v="543.0"/>
        <n v="176.0"/>
        <n v="1141.0"/>
        <n v="778.0"/>
        <n v="348.0"/>
        <n v="1232.0"/>
        <n v="902.0"/>
        <n v="20.0"/>
        <n v="120.0"/>
        <n v="292.0"/>
        <n v="155.0"/>
        <n v="690.0"/>
        <n v="117.0"/>
        <n v="38.0"/>
        <n v="266.0"/>
        <n v="153.0"/>
        <n v="980.0"/>
        <n v="50.0"/>
        <n v="959.0"/>
        <n v="30.0"/>
        <n v="978.0"/>
        <n v="925.0"/>
        <n v="468.0"/>
        <n v="307.0"/>
        <n v="224.0"/>
        <n v="913.0"/>
        <n v="34.0"/>
        <n v="642.0"/>
        <n v="28.0"/>
        <n v="283.0"/>
        <n v="589.0"/>
        <n v="1314.0"/>
        <n v="602.0"/>
        <n v="2616.0"/>
        <n v="322.0"/>
        <n v="328.0"/>
        <n v="507.0"/>
        <n v="318.0"/>
        <n v="1033.0"/>
        <n v="2436.0"/>
        <n v="269.0"/>
        <n v="559.0"/>
        <n v="255.0"/>
        <n v="1705.0"/>
        <n v="963.0"/>
        <n v="529.0"/>
        <n v="530.0"/>
        <n v="43.0"/>
        <n v="889.0"/>
        <n v="22.0"/>
        <n v="1902.0"/>
        <n v="75.0"/>
        <n v="374.0"/>
        <n v="108.0"/>
        <n v="166.0"/>
        <n v="2004.0"/>
        <n v="1272.0"/>
        <n v="68.0"/>
        <n v="21.0"/>
        <n v="1060.0"/>
        <n v="1501.0"/>
        <n v="1299.0"/>
        <n v="698.0"/>
        <n v="560.0"/>
        <n v="303.0"/>
        <n v="2478.0"/>
        <n v="207.0"/>
        <n v="441.0"/>
        <n v="709.0"/>
        <n v="1478.0"/>
        <n v="59.0"/>
        <n v="2710.0"/>
        <n v="757.0"/>
        <n v="884.0"/>
        <n v="95.0"/>
        <n v="16.0"/>
        <n v="1113.0"/>
        <n v="1069.0"/>
        <n v="1580.0"/>
        <n v="831.0"/>
        <n v="2557.0"/>
        <n v="1896.0"/>
        <n v="1389.0"/>
        <n v="734.0"/>
        <n v="51.0"/>
        <n v="222.0"/>
        <n v="565.0"/>
        <n v="592.0"/>
        <n v="208.0"/>
        <n v="15.0"/>
        <n v="481.0"/>
        <n v="2286.0"/>
        <n v="3027.0"/>
        <n v="715.0"/>
        <n v="1346.0"/>
        <n v="1369.0"/>
        <n v="1544.0"/>
        <n v="1312.0"/>
        <n v="542.0"/>
        <n v="143.0"/>
        <n v="217.0"/>
        <n v="545.0"/>
        <n v="100.0"/>
        <n v="1004.0"/>
        <n v="37.0"/>
        <n v="2678.0"/>
        <n v="203.0"/>
        <n v="220.0"/>
        <n v="198.0"/>
        <n v="541.0"/>
        <n v="2215.0"/>
        <n v="2484.0"/>
        <n v="1629.0"/>
        <n v="2681.0"/>
        <n v="500.0"/>
        <n v="375.0"/>
        <n v="747.0"/>
        <n v="1451.0"/>
        <n v="713.0"/>
        <n v="3833.0"/>
        <n v="1498.0"/>
        <n v="428.0"/>
        <n v="535.0"/>
        <n v="908.0"/>
        <n v="136.0"/>
        <n v="260.0"/>
        <n v="1354.0"/>
        <n v="35.0"/>
        <n v="920.0"/>
        <n v="367.0"/>
        <n v="218.0"/>
        <n v="3216.0"/>
        <n v="1361.0"/>
        <n v="358.0"/>
        <n v="343.0"/>
        <n v="534.0"/>
        <n v="1238.0"/>
        <n v="268.0"/>
        <n v="273.0"/>
        <n v="1061.0"/>
        <n v="195.0"/>
        <n v="299.0"/>
        <n v="312.0"/>
        <n v="244.0"/>
        <n v="82.0"/>
        <n v="340.0"/>
        <n v="402.0"/>
        <n v="182.0"/>
        <n v="839.0"/>
        <n v="290.0"/>
        <n v="603.0"/>
        <n v="47.0"/>
        <n v="211.0"/>
        <n v="1192.0"/>
        <n v="61.0"/>
        <n v="1587.0"/>
        <n v="960.0"/>
        <n v="2163.0"/>
        <n v="3274.0"/>
        <n v="844.0"/>
        <n v="393.0"/>
        <n v="479.0"/>
        <n v="357.0"/>
        <n v="727.0"/>
        <n v="65.0"/>
        <n v="355.0"/>
        <n v="85.0"/>
        <n v="12.0"/>
        <n v="922.0"/>
        <n v="73.0"/>
        <n v="77.0"/>
        <n v="604.0"/>
        <n v="141.0"/>
        <n v="417.0"/>
        <n v="171.0"/>
        <n v="795.0"/>
        <n v="569.0"/>
        <n v="2466.0"/>
        <n v="771.0"/>
        <n v="1605.0"/>
        <n v="89.0"/>
        <n v="76.0"/>
        <n v="146.0"/>
        <n v="221.0"/>
        <n v="54.0"/>
        <n v="2074.0"/>
        <n v="231.0"/>
        <n v="205.0"/>
        <n v="169.0"/>
        <n v="871.0"/>
        <n v="1282.0"/>
        <n v="892.0"/>
        <n v="13.0"/>
        <n v="181.0"/>
        <n v="556.0"/>
        <n v="730.0"/>
        <n v="444.0"/>
        <n v="264.0"/>
        <n v="722.0"/>
      </sharedItems>
    </cacheField>
    <cacheField name="Age_50_59" numFmtId="0">
      <sharedItems containsString="0" containsBlank="1" containsNumber="1" containsInteger="1">
        <n v="408.0"/>
        <n v="788.0"/>
        <m/>
        <n v="120.0"/>
        <n v="2719.0"/>
        <n v="91.0"/>
        <n v="1437.0"/>
        <n v="534.0"/>
        <n v="1000.0"/>
        <n v="76.0"/>
        <n v="312.0"/>
        <n v="701.0"/>
        <n v="564.0"/>
        <n v="122.0"/>
        <n v="961.0"/>
        <n v="2190.0"/>
        <n v="1023.0"/>
        <n v="209.0"/>
        <n v="72.0"/>
        <n v="1834.0"/>
        <n v="1805.0"/>
        <n v="46.0"/>
        <n v="92.0"/>
        <n v="86.0"/>
        <n v="863.0"/>
        <n v="972.0"/>
        <n v="1717.0"/>
        <n v="896.0"/>
        <n v="1485.0"/>
        <n v="356.0"/>
        <n v="224.0"/>
        <n v="998.0"/>
        <n v="255.0"/>
        <n v="185.0"/>
        <n v="460.0"/>
        <n v="30.0"/>
        <n v="1896.0"/>
        <n v="112.0"/>
        <n v="6250.0"/>
        <n v="2566.0"/>
        <n v="121.0"/>
        <n v="143.0"/>
        <n v="668.0"/>
        <n v="24.0"/>
        <n v="93.0"/>
        <n v="89.0"/>
        <n v="760.0"/>
        <n v="20.0"/>
        <n v="419.0"/>
        <n v="339.0"/>
        <n v="48.0"/>
        <n v="233.0"/>
        <n v="1844.0"/>
        <n v="1419.0"/>
        <n v="44.0"/>
        <n v="1376.0"/>
        <n v="455.0"/>
        <n v="174.0"/>
        <n v="2208.0"/>
        <n v="17.0"/>
        <n v="227.0"/>
        <n v="153.0"/>
        <n v="335.0"/>
        <n v="157.0"/>
        <n v="1140.0"/>
        <n v="129.0"/>
        <n v="144.0"/>
        <n v="540.0"/>
        <n v="464.0"/>
        <n v="2107.0"/>
        <n v="85.0"/>
        <n v="73.0"/>
        <n v="1496.0"/>
        <n v="284.0"/>
        <n v="1128.0"/>
        <n v="2493.0"/>
        <n v="2364.0"/>
        <n v="309.0"/>
        <n v="2042.0"/>
        <n v="75.0"/>
        <n v="294.0"/>
        <n v="681.0"/>
        <n v="1498.0"/>
        <n v="358.0"/>
        <n v="40.0"/>
        <n v="635.0"/>
        <n v="1331.0"/>
        <n v="837.0"/>
        <n v="359.0"/>
        <n v="1246.0"/>
        <n v="1348.0"/>
        <n v="368.0"/>
        <n v="210.0"/>
        <n v="663.0"/>
        <n v="60.0"/>
        <n v="1003.0"/>
        <n v="1848.0"/>
        <n v="164.0"/>
        <n v="376.0"/>
        <n v="1391.0"/>
        <n v="1350.0"/>
        <n v="1973.0"/>
        <n v="1573.0"/>
        <n v="2768.0"/>
        <n v="1076.0"/>
        <n v="2739.0"/>
        <n v="2580.0"/>
        <n v="1207.0"/>
        <n v="729.0"/>
        <n v="935.0"/>
        <n v="142.0"/>
        <n v="346.0"/>
        <n v="1893.0"/>
        <n v="718.0"/>
        <n v="948.0"/>
        <n v="1095.0"/>
        <n v="1165.0"/>
        <n v="974.0"/>
        <n v="2361.0"/>
        <n v="1302.0"/>
        <n v="15.0"/>
        <n v="490.0"/>
        <n v="4789.0"/>
        <n v="1398.0"/>
        <n v="492.0"/>
        <n v="1282.0"/>
        <n v="88.0"/>
        <n v="2199.0"/>
        <n v="2687.0"/>
        <n v="1394.0"/>
        <n v="1105.0"/>
        <n v="432.0"/>
        <n v="936.0"/>
        <n v="117.0"/>
        <n v="1415.0"/>
        <n v="699.0"/>
        <n v="532.0"/>
        <n v="2184.0"/>
        <n v="976.0"/>
        <n v="1672.0"/>
        <n v="520.0"/>
        <n v="2920.0"/>
        <n v="1850.0"/>
        <n v="507.0"/>
        <n v="903.0"/>
        <n v="2188.0"/>
        <n v="725.0"/>
        <n v="115.0"/>
        <n v="1260.0"/>
        <n v="259.0"/>
        <n v="130.0"/>
        <n v="3557.0"/>
        <n v="5699.0"/>
        <n v="1839.0"/>
        <n v="2373.0"/>
        <n v="737.0"/>
        <n v="815.0"/>
        <n v="125.0"/>
        <n v="2050.0"/>
        <n v="825.0"/>
        <n v="1525.0"/>
        <n v="1381.0"/>
        <n v="23.0"/>
        <n v="147.0"/>
        <n v="340.0"/>
        <n v="885.0"/>
        <n v="200.0"/>
        <n v="74.0"/>
        <n v="297.0"/>
        <n v="180.0"/>
        <n v="1315.0"/>
        <n v="33.0"/>
        <n v="96.0"/>
        <n v="52.0"/>
        <n v="1408.0"/>
        <n v="893.0"/>
        <n v="667.0"/>
        <n v="427.0"/>
        <n v="451.0"/>
        <n v="152.0"/>
        <n v="1289.0"/>
        <n v="31.0"/>
        <n v="886.0"/>
        <n v="63.0"/>
        <n v="463.0"/>
        <n v="2186.0"/>
        <n v="647.0"/>
        <n v="3062.0"/>
        <n v="456.0"/>
        <n v="500.0"/>
        <n v="1047.0"/>
        <n v="377.0"/>
        <n v="1472.0"/>
        <n v="3128.0"/>
        <n v="501.0"/>
        <n v="469.0"/>
        <n v="776.0"/>
        <n v="316.0"/>
        <n v="2179.0"/>
        <n v="1518.0"/>
        <n v="847.0"/>
        <n v="973.0"/>
        <n v="81.0"/>
        <n v="1204.0"/>
        <n v="57.0"/>
        <n v="2394.0"/>
        <n v="256.0"/>
        <n v="272.0"/>
        <n v="128.0"/>
        <n v="61.0"/>
        <n v="320.0"/>
        <n v="2754.0"/>
        <n v="1603.0"/>
        <n v="51.0"/>
        <n v="42.0"/>
        <n v="342.0"/>
        <n v="1477.0"/>
        <n v="2122.0"/>
        <n v="2174.0"/>
        <n v="1110.0"/>
        <n v="628.0"/>
        <n v="217.0"/>
        <n v="3624.0"/>
        <n v="278.0"/>
        <n v="64.0"/>
        <n v="433.0"/>
        <n v="933.0"/>
        <n v="477.0"/>
        <n v="1726.0"/>
        <n v="3134.0"/>
        <n v="1280.0"/>
        <n v="169.0"/>
        <n v="14.0"/>
        <n v="1871.0"/>
        <n v="1901.0"/>
        <n v="2558.0"/>
        <n v="1287.0"/>
        <n v="3361.0"/>
        <n v="2646.0"/>
        <n v="1702.0"/>
        <n v="530.0"/>
        <n v="206.0"/>
        <n v="844.0"/>
        <n v="37.0"/>
        <n v="219.0"/>
        <n v="18.0"/>
        <n v="678.0"/>
        <n v="448.0"/>
        <n v="2931.0"/>
        <n v="4353.0"/>
        <n v="41.0"/>
        <n v="82.0"/>
        <n v="1086.0"/>
        <n v="2073.0"/>
        <n v="1355.0"/>
        <n v="2260.0"/>
        <n v="2029.0"/>
        <n v="690.0"/>
        <n v="247.0"/>
        <n v="231.0"/>
        <n v="475.0"/>
        <n v="172.0"/>
        <n v="1413.0"/>
        <n v="71.0"/>
        <n v="2854.0"/>
        <n v="275.0"/>
        <n v="133.0"/>
        <n v="1029.0"/>
        <n v="416.0"/>
        <n v="3438.0"/>
        <n v="3804.0"/>
        <n v="53.0"/>
        <n v="2379.0"/>
        <n v="3625.0"/>
        <n v="487.0"/>
        <n v="317.0"/>
        <n v="1976.0"/>
        <n v="1184.0"/>
        <n v="5229.0"/>
        <n v="2215.0"/>
        <n v="535.0"/>
        <n v="913.0"/>
        <n v="118.0"/>
        <n v="229.0"/>
        <n v="87.0"/>
        <n v="2076.0"/>
        <n v="55.0"/>
        <n v="1146.0"/>
        <n v="79.0"/>
        <n v="572.0"/>
        <n v="2131.0"/>
        <n v="617.0"/>
        <n v="389.0"/>
        <n v="4532.0"/>
        <n v="50.0"/>
        <n v="1469.0"/>
        <n v="531.0"/>
        <n v="525.0"/>
        <n v="743.0"/>
        <n v="1405.0"/>
        <n v="2277.0"/>
        <n v="386.0"/>
        <n v="308.0"/>
        <n v="415.0"/>
        <n v="28.0"/>
        <n v="1430.0"/>
        <n v="354.0"/>
        <n v="435.0"/>
        <n v="458.0"/>
        <n v="630.0"/>
        <n v="395.0"/>
        <n v="12.0"/>
        <n v="1100.0"/>
        <n v="296.0"/>
        <n v="816.0"/>
        <n v="239.0"/>
        <n v="1242.0"/>
        <n v="1804.0"/>
        <n v="36.0"/>
        <n v="1633.0"/>
        <n v="1942.0"/>
        <n v="1380.0"/>
        <n v="1499.0"/>
        <n v="2790.0"/>
        <n v="5013.0"/>
        <n v="1241.0"/>
        <n v="222.0"/>
        <n v="13.0"/>
        <n v="1579.0"/>
        <n v="32.0"/>
        <n v="1073.0"/>
        <n v="406.0"/>
        <n v="66.0"/>
        <n v="16.0"/>
        <n v="1442.0"/>
        <n v="134.0"/>
        <n v="70.0"/>
        <n v="159.0"/>
        <n v="831.0"/>
        <n v="140.0"/>
        <n v="557.0"/>
        <n v="582.0"/>
        <n v="279.0"/>
        <n v="1274.0"/>
        <n v="62.0"/>
        <n v="848.0"/>
        <n v="241.0"/>
        <n v="769.0"/>
        <n v="3029.0"/>
        <n v="1089.0"/>
        <n v="2345.0"/>
        <n v="101.0"/>
        <n v="38.0"/>
        <n v="313.0"/>
        <n v="2771.0"/>
        <n v="638.0"/>
        <n v="306.0"/>
        <n v="365.0"/>
        <n v="168.0"/>
        <n v="1176.0"/>
        <n v="1406.0"/>
        <n v="1466.0"/>
        <n v="835.0"/>
        <n v="1172.0"/>
        <n v="549.0"/>
        <n v="291.0"/>
        <n v="1275.0"/>
      </sharedItems>
    </cacheField>
    <cacheField name="Age_60_69" numFmtId="0">
      <sharedItems containsString="0" containsBlank="1" containsNumber="1" containsInteger="1">
        <n v="590.0"/>
        <n v="1104.0"/>
        <m/>
        <n v="140.0"/>
        <n v="3083.0"/>
        <n v="70.0"/>
        <n v="2316.0"/>
        <n v="878.0"/>
        <n v="1763.0"/>
        <n v="32.0"/>
        <n v="135.0"/>
        <n v="1014.0"/>
        <n v="865.0"/>
        <n v="86.0"/>
        <n v="1469.0"/>
        <n v="3306.0"/>
        <n v="1606.0"/>
        <n v="423.0"/>
        <n v="93.0"/>
        <n v="2674.0"/>
        <n v="3348.0"/>
        <n v="12.0"/>
        <n v="185.0"/>
        <n v="164.0"/>
        <n v="848.0"/>
        <n v="1222.0"/>
        <n v="2752.0"/>
        <n v="1523.0"/>
        <n v="2550.0"/>
        <n v="562.0"/>
        <n v="218.0"/>
        <n v="1325.0"/>
        <n v="430.0"/>
        <n v="312.0"/>
        <n v="867.0"/>
        <n v="20.0"/>
        <n v="2821.0"/>
        <n v="167.0"/>
        <n v="7290.0"/>
        <n v="92.0"/>
        <n v="3865.0"/>
        <n v="293.0"/>
        <n v="302.0"/>
        <n v="1289.0"/>
        <n v="99.0"/>
        <n v="176.0"/>
        <n v="148.0"/>
        <n v="1358.0"/>
        <n v="35.0"/>
        <n v="888.0"/>
        <n v="476.0"/>
        <n v="112.0"/>
        <n v="305.0"/>
        <n v="2560.0"/>
        <n v="1290.0"/>
        <n v="85.0"/>
        <n v="1741.0"/>
        <n v="342.0"/>
        <n v="259.0"/>
        <n v="2780.0"/>
        <n v="68.0"/>
        <n v="384.0"/>
        <n v="82.0"/>
        <n v="529.0"/>
        <n v="213.0"/>
        <n v="1477.0"/>
        <n v="268.0"/>
        <n v="310.0"/>
        <n v="114.0"/>
        <n v="711.0"/>
        <n v="236.0"/>
        <n v="3140.0"/>
        <n v="157.0"/>
        <n v="134.0"/>
        <n v="1716.0"/>
        <n v="1499.0"/>
        <n v="2435.0"/>
        <n v="2379.0"/>
        <n v="530.0"/>
        <n v="3046.0"/>
        <n v="23.0"/>
        <n v="649.0"/>
        <n v="374.0"/>
        <n v="2107.0"/>
        <n v="261.0"/>
        <n v="105.0"/>
        <n v="695.0"/>
        <n v="1559.0"/>
        <n v="1238.0"/>
        <n v="328.0"/>
        <n v="1683.0"/>
        <n v="1876.0"/>
        <n v="453.0"/>
        <n v="380.0"/>
        <n v="995.0"/>
        <n v="131.0"/>
        <n v="1471.0"/>
        <n v="3002.0"/>
        <n v="242.0"/>
        <n v="446.0"/>
        <n v="1545.0"/>
        <n v="2162.0"/>
        <n v="2802.0"/>
        <n v="2378.0"/>
        <n v="3755.0"/>
        <n v="1450.0"/>
        <n v="4048.0"/>
        <n v="3948.0"/>
        <n v="1949.0"/>
        <n v="1189.0"/>
        <n v="1311.0"/>
        <n v="322.0"/>
        <n v="158.0"/>
        <n v="2671.0"/>
        <n v="864.0"/>
        <n v="1543.0"/>
        <n v="1430.0"/>
        <n v="1118.0"/>
        <n v="3229.0"/>
        <n v="1881.0"/>
        <n v="50.0"/>
        <n v="571.0"/>
        <n v="26.0"/>
        <n v="7213.0"/>
        <n v="2166.0"/>
        <n v="719.0"/>
        <n v="890.0"/>
        <n v="177.0"/>
        <n v="2795.0"/>
        <n v="3686.0"/>
        <n v="1958.0"/>
        <n v="1507.0"/>
        <n v="588.0"/>
        <n v="1107.0"/>
        <n v="155.0"/>
        <n v="2195.0"/>
        <n v="456.0"/>
        <n v="2421.0"/>
        <n v="1756.0"/>
        <n v="2429.0"/>
        <n v="425.0"/>
        <n v="3717.0"/>
        <n v="2097.0"/>
        <n v="948.0"/>
        <n v="101.0"/>
        <n v="1413.0"/>
        <n v="2471.0"/>
        <n v="847.0"/>
        <n v="1769.0"/>
        <n v="415.0"/>
        <n v="33.0"/>
        <n v="3257.0"/>
        <n v="5126.0"/>
        <n v="2091.0"/>
        <n v="2219.0"/>
        <n v="565.0"/>
        <n v="1390.0"/>
        <n v="39.0"/>
        <n v="3087.0"/>
        <n v="1451.0"/>
        <n v="2267.0"/>
        <n v="11.0"/>
        <n v="2008.0"/>
        <n v="507.0"/>
        <n v="668.0"/>
        <n v="162.0"/>
        <n v="1351.0"/>
        <n v="382.0"/>
        <n v="54.0"/>
        <n v="183.0"/>
        <n v="416.0"/>
        <n v="232.0"/>
        <n v="1788.0"/>
        <n v="58.0"/>
        <n v="98.0"/>
        <n v="2372.0"/>
        <n v="76.0"/>
        <n v="1987.0"/>
        <n v="922.0"/>
        <n v="1050.0"/>
        <n v="800.0"/>
        <n v="755.0"/>
        <n v="265.0"/>
        <n v="1891.0"/>
        <n v="13.0"/>
        <n v="1202.0"/>
        <n v="113.0"/>
        <n v="397.0"/>
        <n v="188.0"/>
        <n v="2438.0"/>
        <n v="478.0"/>
        <n v="4253.0"/>
        <n v="532.0"/>
        <n v="591.0"/>
        <n v="1480.0"/>
        <n v="376.0"/>
        <n v="2090.0"/>
        <n v="3528.0"/>
        <n v="620.0"/>
        <n v="43.0"/>
        <n v="1406.0"/>
        <n v="348.0"/>
        <n v="3012.0"/>
        <n v="2655.0"/>
        <n v="835.0"/>
        <n v="1360.0"/>
        <n v="160.0"/>
        <n v="1487.0"/>
        <n v="3239.0"/>
        <n v="546.0"/>
        <n v="137.0"/>
        <n v="212.0"/>
        <n v="19.0"/>
        <n v="648.0"/>
        <n v="4222.0"/>
        <n v="2926.0"/>
        <n v="17.0"/>
        <n v="67.0"/>
        <n v="28.0"/>
        <n v="1581.0"/>
        <n v="2993.0"/>
        <n v="3923.0"/>
        <n v="1816.0"/>
        <n v="804.0"/>
        <n v="191.0"/>
        <n v="1035.0"/>
        <n v="4964.0"/>
        <n v="496.0"/>
        <n v="95.0"/>
        <n v="441.0"/>
        <n v="1328.0"/>
        <n v="714.0"/>
        <n v="2401.0"/>
        <n v="3218.0"/>
        <n v="102.0"/>
        <n v="2021.0"/>
        <n v="2260.0"/>
        <n v="197.0"/>
        <n v="2971.0"/>
        <n v="3167.0"/>
        <n v="4087.0"/>
        <n v="1759.0"/>
        <n v="4636.0"/>
        <n v="4025.0"/>
        <n v="2689.0"/>
        <n v="226.0"/>
        <n v="124.0"/>
        <n v="336.0"/>
        <n v="1210.0"/>
        <n v="14.0"/>
        <n v="24.0"/>
        <n v="350.0"/>
        <n v="37.0"/>
        <n v="793.0"/>
        <n v="460.0"/>
        <n v="4543.0"/>
        <n v="5371.0"/>
        <n v="59.0"/>
        <n v="1882.0"/>
        <n v="2999.0"/>
        <n v="1022.0"/>
        <n v="3010.0"/>
        <n v="2833.0"/>
        <n v="426.0"/>
        <n v="169.0"/>
        <n v="455.0"/>
        <n v="235.0"/>
        <n v="1989.0"/>
        <n v="109.0"/>
        <n v="2732.0"/>
        <n v="439.0"/>
        <n v="64.0"/>
        <n v="1428.0"/>
        <n v="558.0"/>
        <n v="4858.0"/>
        <n v="21.0"/>
        <n v="5644.0"/>
        <n v="116.0"/>
        <n v="3758.0"/>
        <n v="5005.0"/>
        <n v="371.0"/>
        <n v="207.0"/>
        <n v="939.0"/>
        <n v="3237.0"/>
        <n v="1711.0"/>
        <n v="6738.0"/>
        <n v="3138.0"/>
        <n v="1623.0"/>
        <n v="1918.0"/>
        <n v="66.0"/>
        <n v="27.0"/>
        <n v="2870.0"/>
        <n v="161.0"/>
        <n v="1943.0"/>
        <n v="53.0"/>
        <n v="901.0"/>
        <n v="2487.0"/>
        <n v="791.0"/>
        <n v="669.0"/>
        <n v="6139.0"/>
        <n v="165.0"/>
        <n v="2120.0"/>
        <n v="884.0"/>
        <n v="682.0"/>
        <n v="1253.0"/>
        <n v="1674.0"/>
        <n v="3365.0"/>
        <n v="585.0"/>
        <n v="263.0"/>
        <n v="531.0"/>
        <n v="2287.0"/>
        <n v="548.0"/>
        <n v="862.0"/>
        <n v="737.0"/>
        <n v="641.0"/>
        <n v="16.0"/>
        <n v="580.0"/>
        <n v="1005.0"/>
        <n v="652.0"/>
        <n v="1806.0"/>
        <n v="544.0"/>
        <n v="1114.0"/>
        <n v="203.0"/>
        <n v="436.0"/>
        <n v="1773.0"/>
        <n v="2086.0"/>
        <n v="2749.0"/>
        <n v="3385.0"/>
        <n v="7139.0"/>
        <n v="1834.0"/>
        <n v="107.0"/>
        <n v="578.0"/>
        <n v="2304.0"/>
        <n v="1732.0"/>
        <n v="71.0"/>
        <n v="523.0"/>
        <n v="41.0"/>
        <n v="1310.0"/>
        <n v="2513.0"/>
        <n v="189.0"/>
        <n v="15.0"/>
        <n v="154.0"/>
        <n v="227.0"/>
        <n v="1379.0"/>
        <n v="974.0"/>
        <n v="1857.0"/>
        <n v="918.0"/>
        <n v="22.0"/>
        <n v="96.0"/>
        <n v="404.0"/>
        <n v="2238.0"/>
        <n v="136.0"/>
        <n v="110.0"/>
        <n v="1536.0"/>
        <n v="156.0"/>
        <n v="3846.0"/>
        <n v="1496.0"/>
        <n v="3538.0"/>
        <n v="210.0"/>
        <n v="118.0"/>
        <n v="200.0"/>
        <n v="52.0"/>
        <n v="497.0"/>
        <n v="3853.0"/>
        <n v="819.0"/>
        <n v="286.0"/>
        <n v="843.0"/>
        <n v="129.0"/>
        <n v="1466.0"/>
        <n v="2353.0"/>
        <n v="522.0"/>
        <n v="1249.0"/>
        <n v="1699.0"/>
        <n v="727.0"/>
        <n v="434.0"/>
        <n v="1892.0"/>
      </sharedItems>
    </cacheField>
    <cacheField name="Age_70_79" numFmtId="0">
      <sharedItems containsString="0" containsBlank="1" containsNumber="1" containsInteger="1">
        <n v="570.0"/>
        <n v="1436.0"/>
        <m/>
        <n v="60.0"/>
        <n v="1758.0"/>
        <n v="67.0"/>
        <n v="2470.0"/>
        <n v="690.0"/>
        <n v="2008.0"/>
        <n v="47.0"/>
        <n v="1329.0"/>
        <n v="1052.0"/>
        <n v="32.0"/>
        <n v="1551.0"/>
        <n v="3946.0"/>
        <n v="1819.0"/>
        <n v="535.0"/>
        <n v="117.0"/>
        <n v="2192.0"/>
        <n v="3917.0"/>
        <n v="204.0"/>
        <n v="197.0"/>
        <n v="500.0"/>
        <n v="1104.0"/>
        <n v="3626.0"/>
        <n v="2021.0"/>
        <n v="2684.0"/>
        <n v="852.0"/>
        <n v="95.0"/>
        <n v="1722.0"/>
        <n v="459.0"/>
        <n v="295.0"/>
        <n v="1007.0"/>
        <n v="2806.0"/>
        <n v="109.0"/>
        <n v="5180.0"/>
        <n v="90.0"/>
        <n v="3875.0"/>
        <n v="457.0"/>
        <n v="308.0"/>
        <n v="1603.0"/>
        <n v="174.0"/>
        <n v="191.0"/>
        <n v="29.0"/>
        <n v="156.0"/>
        <n v="1378.0"/>
        <n v="742.0"/>
        <n v="398.0"/>
        <n v="130.0"/>
        <n v="224.0"/>
        <n v="2190.0"/>
        <n v="617.0"/>
        <n v="63.0"/>
        <n v="1336.0"/>
        <n v="111.0"/>
        <n v="260.0"/>
        <n v="2729.0"/>
        <n v="469.0"/>
        <n v="26.0"/>
        <n v="556.0"/>
        <n v="210.0"/>
        <n v="1369.0"/>
        <n v="229.0"/>
        <n v="337.0"/>
        <n v="134.0"/>
        <n v="788.0"/>
        <n v="13.0"/>
        <n v="2488.0"/>
        <n v="199.0"/>
        <n v="206.0"/>
        <n v="39.0"/>
        <n v="1222.0"/>
        <n v="1424.0"/>
        <n v="1185.0"/>
        <n v="495.0"/>
        <n v="2203.0"/>
        <n v="1080.0"/>
        <n v="52.0"/>
        <n v="1330.0"/>
        <n v="54.0"/>
        <n v="119.0"/>
        <n v="562.0"/>
        <n v="704.0"/>
        <n v="1251.0"/>
        <n v="1677.0"/>
        <n v="1967.0"/>
        <n v="301.0"/>
        <n v="462.0"/>
        <n v="989.0"/>
        <n v="136.0"/>
        <n v="1383.0"/>
        <n v="3470.0"/>
        <n v="177.0"/>
        <n v="355.0"/>
        <n v="871.0"/>
        <n v="2003.0"/>
        <n v="2752.0"/>
        <n v="2254.0"/>
        <n v="4214.0"/>
        <n v="1342.0"/>
        <n v="5377.0"/>
        <n v="4377.0"/>
        <n v="2213.0"/>
        <n v="1620.0"/>
        <n v="379.0"/>
        <n v="2875.0"/>
        <n v="891.0"/>
        <n v="1785.0"/>
        <n v="955.0"/>
        <n v="1477.0"/>
        <n v="865.0"/>
        <n v="3301.0"/>
        <n v="2405.0"/>
        <n v="69.0"/>
        <n v="51.0"/>
        <n v="8086.0"/>
        <n v="2287.0"/>
        <n v="541.0"/>
        <n v="513.0"/>
        <n v="216.0"/>
        <n v="2759.0"/>
        <n v="4373.0"/>
        <n v="1679.0"/>
        <n v="1039.0"/>
        <n v="593.0"/>
        <n v="844.0"/>
        <n v="115.0"/>
        <n v="2541.0"/>
        <n v="184.0"/>
        <n v="968.0"/>
        <n v="1707.0"/>
        <n v="2723.0"/>
        <n v="2910.0"/>
        <n v="408.0"/>
        <n v="41.0"/>
        <n v="3093.0"/>
        <n v="1321.0"/>
        <n v="1242.0"/>
        <n v="71.0"/>
        <n v="1696.0"/>
        <n v="1734.0"/>
        <n v="699.0"/>
        <n v="110.0"/>
        <n v="1929.0"/>
        <n v="1807.0"/>
        <n v="2380.0"/>
        <n v="1029.0"/>
        <n v="971.0"/>
        <n v="189.0"/>
        <n v="1783.0"/>
        <n v="2409.0"/>
        <n v="1815.0"/>
        <n v="2768.0"/>
        <n v="36.0"/>
        <n v="1589.0"/>
        <n v="53.0"/>
        <n v="981.0"/>
        <n v="1880.0"/>
        <n v="578.0"/>
        <n v="68.0"/>
        <n v="245.0"/>
        <n v="603.0"/>
        <n v="515.0"/>
        <n v="1604.0"/>
        <n v="83.0"/>
        <n v="96.0"/>
        <n v="3159.0"/>
        <n v="58.0"/>
        <n v="2069.0"/>
        <n v="670.0"/>
        <n v="1230.0"/>
        <n v="884.0"/>
        <n v="943.0"/>
        <n v="300.0"/>
        <n v="2162.0"/>
        <n v="1047.0"/>
        <n v="165.0"/>
        <n v="358.0"/>
        <n v="19.0"/>
        <n v="1961.0"/>
        <n v="275.0"/>
        <n v="5768.0"/>
        <n v="424.0"/>
        <n v="478.0"/>
        <n v="1962.0"/>
        <n v="2869.0"/>
        <n v="2855.0"/>
        <n v="601.0"/>
        <n v="652.0"/>
        <n v="64.0"/>
        <n v="2185.0"/>
        <n v="348.0"/>
        <n v="3324.0"/>
        <n v="3224.0"/>
        <n v="592.0"/>
        <n v="1186.0"/>
        <n v="195.0"/>
        <n v="1123.0"/>
        <n v="104.0"/>
        <n v="3779.0"/>
        <n v="694.0"/>
        <n v="302.0"/>
        <n v="858.0"/>
        <n v="4861.0"/>
        <n v="3636.0"/>
        <n v="21.0"/>
        <n v="24.0"/>
        <n v="1400.0"/>
        <n v="2602.0"/>
        <n v="5673.0"/>
        <n v="1532.0"/>
        <n v="795.0"/>
        <n v="780.0"/>
        <n v="4223.0"/>
        <n v="429.0"/>
        <n v="62.0"/>
        <n v="380.0"/>
        <n v="1443.0"/>
        <n v="831.0"/>
        <n v="2434.0"/>
        <n v="1985.0"/>
        <n v="239.0"/>
        <n v="2132.0"/>
        <n v="2249.0"/>
        <n v="215.0"/>
        <n v="2784.0"/>
        <n v="2982.0"/>
        <n v="3455.0"/>
        <n v="1475.0"/>
        <n v="3973.0"/>
        <n v="4022.0"/>
        <n v="2824.0"/>
        <n v="143.0"/>
        <n v="1339.0"/>
        <n v="88.0"/>
        <n v="428.0"/>
        <n v="42.0"/>
        <n v="645.0"/>
        <n v="327.0"/>
        <n v="4696.0"/>
        <n v="4072.0"/>
        <n v="99.0"/>
        <n v="1790.0"/>
        <n v="2872.0"/>
        <n v="484.0"/>
        <n v="2173.0"/>
        <n v="2428.0"/>
        <n v="560.0"/>
        <n v="365.0"/>
        <n v="283.0"/>
        <n v="147.0"/>
        <n v="1690.0"/>
        <n v="93.0"/>
        <n v="1520.0"/>
        <n v="306.0"/>
        <n v="1011.0"/>
        <n v="552.0"/>
        <n v="4479.0"/>
        <n v="4460.0"/>
        <n v="102.0"/>
        <n v="4596.0"/>
        <n v="4646.0"/>
        <n v="162.0"/>
        <n v="57.0"/>
        <n v="605.0"/>
        <n v="4343.0"/>
        <n v="1719.0"/>
        <n v="5150.0"/>
        <n v="2971.0"/>
        <n v="1063.0"/>
        <n v="1963.0"/>
        <n v="2715.0"/>
        <n v="28.0"/>
        <n v="157.0"/>
        <n v="3080.0"/>
        <n v="227.0"/>
        <n v="384.0"/>
        <n v="2341.0"/>
        <n v="38.0"/>
        <n v="922.0"/>
        <n v="1493.0"/>
        <n v="477.0"/>
        <n v="851.0"/>
        <n v="5113.0"/>
        <n v="256.0"/>
        <n v="2133.0"/>
        <n v="1033.0"/>
        <n v="639.0"/>
        <n v="1333.0"/>
        <n v="1113.0"/>
        <n v="3282.0"/>
        <n v="630.0"/>
        <n v="125.0"/>
        <n v="599.0"/>
        <n v="2256.0"/>
        <n v="846.0"/>
        <n v="1164.0"/>
        <n v="813.0"/>
        <n v="796.0"/>
        <n v="346.0"/>
        <n v="1258.0"/>
        <n v="874.0"/>
        <n v="17.0"/>
        <n v="869.0"/>
        <n v="1262.0"/>
        <n v="2063.0"/>
        <n v="27.0"/>
        <n v="2412.0"/>
        <n v="3314.0"/>
        <n v="2503.0"/>
        <n v="1469.0"/>
        <n v="1897.0"/>
        <n v="6283.0"/>
        <n v="12.0"/>
        <n v="487.0"/>
        <n v="2741.0"/>
        <n v="20.0"/>
        <n v="2333.0"/>
        <n v="546.0"/>
        <n v="100.0"/>
        <n v="1494.0"/>
        <n v="2605.0"/>
        <n v="235.0"/>
        <n v="18.0"/>
        <n v="183.0"/>
        <n v="228.0"/>
        <n v="1619.0"/>
        <n v="731.0"/>
        <n v="1618.0"/>
        <n v="1042.0"/>
        <n v="151.0"/>
        <n v="2480.0"/>
        <n v="205.0"/>
        <n v="37.0"/>
        <n v="1482.0"/>
        <n v="1386.0"/>
        <n v="3641.0"/>
        <n v="154.0"/>
        <n v="251.0"/>
        <n v="539.0"/>
        <n v="77.0"/>
        <n v="3638.0"/>
        <n v="836.0"/>
        <n v="314.0"/>
        <n v="932.0"/>
        <n v="2294.0"/>
        <n v="897.0"/>
        <n v="3377.0"/>
        <n v="178.0"/>
        <n v="1527.0"/>
        <n v="1843.0"/>
        <n v="581.0"/>
        <n v="490.0"/>
        <n v="1898.0"/>
      </sharedItems>
    </cacheField>
    <cacheField name="Age_80_" numFmtId="0">
      <sharedItems containsString="0" containsBlank="1" containsNumber="1" containsInteger="1">
        <n v="619.0"/>
        <n v="1314.0"/>
        <m/>
        <n v="33.0"/>
        <n v="1104.0"/>
        <n v="26.0"/>
        <n v="2376.0"/>
        <n v="680.0"/>
        <n v="2505.0"/>
        <n v="1428.0"/>
        <n v="1472.0"/>
        <n v="1685.0"/>
        <n v="3599.0"/>
        <n v="1824.0"/>
        <n v="555.0"/>
        <n v="179.0"/>
        <n v="1709.0"/>
        <n v="3747.0"/>
        <n v="193.0"/>
        <n v="245.0"/>
        <n v="310.0"/>
        <n v="1053.0"/>
        <n v="4127.0"/>
        <n v="2895.0"/>
        <n v="2366.0"/>
        <n v="1080.0"/>
        <n v="1524.0"/>
        <n v="331.0"/>
        <n v="182.0"/>
        <n v="1023.0"/>
        <n v="2626.0"/>
        <n v="71.0"/>
        <n v="3235.0"/>
        <n v="100.0"/>
        <n v="4010.0"/>
        <n v="436.0"/>
        <n v="65.0"/>
        <n v="1745.0"/>
        <n v="145.0"/>
        <n v="180.0"/>
        <n v="19.0"/>
        <n v="202.0"/>
        <n v="841.0"/>
        <n v="414.0"/>
        <n v="158.0"/>
        <n v="242.0"/>
        <n v="1610.0"/>
        <n v="287.0"/>
        <n v="130.0"/>
        <n v="1089.0"/>
        <n v="59.0"/>
        <n v="2042.0"/>
        <n v="82.0"/>
        <n v="358.0"/>
        <n v="435.0"/>
        <n v="152.0"/>
        <n v="1178.0"/>
        <n v="219.0"/>
        <n v="298.0"/>
        <n v="151.0"/>
        <n v="1293.0"/>
        <n v="1960.0"/>
        <n v="15.0"/>
        <n v="204.0"/>
        <n v="181.0"/>
        <n v="931.0"/>
        <n v="1344.0"/>
        <n v="1096.0"/>
        <n v="750.0"/>
        <n v="354.0"/>
        <n v="1975.0"/>
        <n v="1074.0"/>
        <n v="377.0"/>
        <n v="127.0"/>
        <n v="469.0"/>
        <n v="511.0"/>
        <n v="1778.0"/>
        <n v="17.0"/>
        <n v="1321.0"/>
        <n v="2168.0"/>
        <n v="254.0"/>
        <n v="667.0"/>
        <n v="1065.0"/>
        <n v="107.0"/>
        <n v="1753.0"/>
        <n v="4667.0"/>
        <n v="69.0"/>
        <n v="402.0"/>
        <n v="662.0"/>
        <n v="2101.0"/>
        <n v="2588.0"/>
        <n v="2435.0"/>
        <n v="4568.0"/>
        <n v="1465.0"/>
        <n v="6315.0"/>
        <n v="3211.0"/>
        <n v="2523.0"/>
        <n v="1402.0"/>
        <n v="1789.0"/>
        <n v="340.0"/>
        <n v="3675.0"/>
        <n v="1191.0"/>
        <n v="2612.0"/>
        <n v="732.0"/>
        <n v="1826.0"/>
        <n v="717.0"/>
        <n v="2483.0"/>
        <n v="3331.0"/>
        <n v="92.0"/>
        <n v="639.0"/>
        <n v="81.0"/>
        <n v="7804.0"/>
        <n v="2638.0"/>
        <n v="452.0"/>
        <n v="389.0"/>
        <n v="139.0"/>
        <n v="3016.0"/>
        <n v="5173.0"/>
        <n v="1621.0"/>
        <n v="472.0"/>
        <n v="821.0"/>
        <n v="851.0"/>
        <n v="2513.0"/>
        <n v="149.0"/>
        <n v="1018.0"/>
        <n v="1364.0"/>
        <n v="3306.0"/>
        <n v="3538.0"/>
        <n v="443.0"/>
        <n v="2086.0"/>
        <n v="1198.0"/>
        <n v="1477.0"/>
        <n v="2211.0"/>
        <n v="1498.0"/>
        <n v="942.0"/>
        <n v="53.0"/>
        <n v="2020.0"/>
        <n v="105.0"/>
        <n v="1298.0"/>
        <n v="1726.0"/>
        <n v="681.0"/>
        <n v="548.0"/>
        <n v="79.0"/>
        <n v="2351.0"/>
        <n v="1094.0"/>
        <n v="1729.0"/>
        <n v="2385.0"/>
        <n v="194.0"/>
        <n v="18.0"/>
        <n v="399.0"/>
        <n v="1221.0"/>
        <n v="90.0"/>
        <n v="2143.0"/>
        <n v="547.0"/>
        <n v="102.0"/>
        <n v="227.0"/>
        <n v="509.0"/>
        <n v="329.0"/>
        <n v="244.0"/>
        <n v="1434.0"/>
        <n v="20.0"/>
        <n v="86.0"/>
        <n v="52.0"/>
        <n v="3312.0"/>
        <n v="2038.0"/>
        <n v="618.0"/>
        <n v="1199.0"/>
        <n v="590.0"/>
        <n v="1067.0"/>
        <n v="199.0"/>
        <n v="2401.0"/>
        <n v="1045.0"/>
        <n v="142.0"/>
        <n v="342.0"/>
        <n v="1971.0"/>
        <n v="201.0"/>
        <n v="7104.0"/>
        <n v="490.0"/>
        <n v="695.0"/>
        <n v="2761.0"/>
        <n v="188.0"/>
        <n v="3242.0"/>
        <n v="1982.0"/>
        <n v="856.0"/>
        <n v="854.0"/>
        <n v="47.0"/>
        <n v="3100.0"/>
        <n v="513.0"/>
        <n v="3330.0"/>
        <n v="3931.0"/>
        <n v="512.0"/>
        <n v="1280.0"/>
        <n v="205.0"/>
        <n v="84.0"/>
        <n v="3925.0"/>
        <n v="344.0"/>
        <n v="215.0"/>
        <n v="900.0"/>
        <n v="5195.0"/>
        <n v="3653.0"/>
        <n v="48.0"/>
        <n v="64.0"/>
        <n v="38.0"/>
        <n v="1339.0"/>
        <n v="2457.0"/>
        <n v="5908.0"/>
        <n v="1374.0"/>
        <n v="743.0"/>
        <n v="31.0"/>
        <n v="735.0"/>
        <n v="3281.0"/>
        <n v="474.0"/>
        <n v="35.0"/>
        <n v="1177.0"/>
        <n v="658.0"/>
        <n v="2439.0"/>
        <n v="1546.0"/>
        <n v="295.0"/>
        <n v="2160.0"/>
        <n v="2048.0"/>
        <n v="148.0"/>
        <n v="2267.0"/>
        <n v="2177.0"/>
        <n v="3418.0"/>
        <n v="1551.0"/>
        <n v="2575.0"/>
        <n v="2964.0"/>
        <n v="2693.0"/>
        <n v="39.0"/>
        <n v="1707.0"/>
        <n v="29.0"/>
        <n v="644.0"/>
        <n v="44.0"/>
        <n v="707.0"/>
        <n v="3408.0"/>
        <n v="2572.0"/>
        <n v="56.0"/>
        <n v="1638.0"/>
        <n v="2598.0"/>
        <n v="321.0"/>
        <n v="1450.0"/>
        <n v="1911.0"/>
        <n v="334.0"/>
        <n v="32.0"/>
        <n v="325.0"/>
        <n v="12.0"/>
        <n v="121.0"/>
        <n v="80.0"/>
        <n v="1388.0"/>
        <n v="1084.0"/>
        <n v="682.0"/>
        <n v="4401.0"/>
        <n v="4513.0"/>
        <n v="45.0"/>
        <n v="4492.0"/>
        <n v="4247.0"/>
        <n v="442.0"/>
        <n v="5117.0"/>
        <n v="1993.0"/>
        <n v="3090.0"/>
        <n v="3358.0"/>
        <n v="1571.0"/>
        <n v="1457.0"/>
        <n v="3463.0"/>
        <n v="11.0"/>
        <n v="108.0"/>
        <n v="3678.0"/>
        <n v="544.0"/>
        <n v="2254.0"/>
        <n v="110.0"/>
        <n v="874.0"/>
        <n v="1235.0"/>
        <n v="418.0"/>
        <n v="1268.0"/>
        <n v="3252.0"/>
        <n v="622.0"/>
        <n v="1964.0"/>
        <n v="1219.0"/>
        <n v="451.0"/>
        <n v="1415.0"/>
        <n v="846.0"/>
        <n v="2923.0"/>
        <n v="580.0"/>
        <n v="14.0"/>
        <n v="1872.0"/>
        <n v="927.0"/>
        <n v="1173.0"/>
        <n v="657.0"/>
        <n v="909.0"/>
        <n v="228.0"/>
        <n v="1863.0"/>
        <n v="1252.0"/>
        <n v="24.0"/>
        <n v="3001.0"/>
        <n v="1410.0"/>
        <n v="270.0"/>
        <n v="564.0"/>
        <n v="2283.0"/>
        <n v="3661.0"/>
        <n v="2883.0"/>
        <n v="5050.0"/>
        <n v="3752.0"/>
        <n v="1682.0"/>
        <n v="1484.0"/>
        <n v="4978.0"/>
        <n v="2278.0"/>
        <n v="603.0"/>
        <n v="3322.0"/>
        <n v="1997.0"/>
        <n v="613.0"/>
        <n v="117.0"/>
        <n v="1311.0"/>
        <n v="2110.0"/>
        <n v="164.0"/>
        <n v="231.0"/>
        <n v="1357.0"/>
        <n v="549.0"/>
        <n v="1643.0"/>
        <n v="210.0"/>
        <n v="532.0"/>
        <n v="2472.0"/>
        <n v="367.0"/>
        <n v="40.0"/>
        <n v="2026.0"/>
        <n v="969.0"/>
        <n v="2596.0"/>
        <n v="1325.0"/>
        <n v="3362.0"/>
        <n v="239.0"/>
        <n v="551.0"/>
        <n v="78.0"/>
        <n v="3048.0"/>
        <n v="713.0"/>
        <n v="306.0"/>
        <n v="2172.0"/>
        <n v="894.0"/>
        <n v="4364.0"/>
        <n v="264.0"/>
        <n v="1384.0"/>
        <n v="1787.0"/>
        <n v="2185.0"/>
        <n v="434.0"/>
        <n v="574.0"/>
        <n v="1845.0"/>
      </sharedItems>
    </cacheField>
    <cacheField name="Age_Other_Unknown" numFmtId="0">
      <sharedItems containsString="0" containsBlank="1" containsNumber="1" containsInteger="1">
        <n v="4.0"/>
        <m/>
        <n v="9.0"/>
        <n v="14.0"/>
        <n v="2.0"/>
        <n v="3.0"/>
        <n v="7.0"/>
        <n v="1.0"/>
        <n v="10.0"/>
        <n v="6.0"/>
        <n v="5.0"/>
        <n v="13.0"/>
        <n v="8.0"/>
        <n v="12.0"/>
        <n v="11.0"/>
        <n v="20.0"/>
        <n v="24.0"/>
        <n v="17.0"/>
        <n v="16.0"/>
        <n v="25.0"/>
        <n v="15.0"/>
        <n v="18.0"/>
        <n v="19.0"/>
      </sharedItems>
    </cacheField>
    <cacheField name="eth_Hispanic" numFmtId="0">
      <sharedItems containsString="0" containsBlank="1" containsNumber="1" containsInteger="1">
        <n v="487.0"/>
        <n v="4211.0"/>
        <n v="3194.0"/>
        <n v="194.0"/>
        <n v="5291.0"/>
        <n v="66.0"/>
        <n v="1129.0"/>
        <n v="1346.0"/>
        <n v="1483.0"/>
        <n v="45.0"/>
        <n v="828.0"/>
        <n v="993.0"/>
        <n v="607.0"/>
        <n v="218.0"/>
        <n v="135.0"/>
        <n v="2424.0"/>
        <n v="3946.0"/>
        <n v="4116.0"/>
        <n v="213.0"/>
        <n v="83.0"/>
        <n v="924.0"/>
        <n v="2870.0"/>
        <n v="53.0"/>
        <n v="37.0"/>
        <n v="140.0"/>
        <n v="3604.0"/>
        <n v="1517.0"/>
        <n v="3500.0"/>
        <n v="2051.0"/>
        <n v="1926.0"/>
        <n v="207.0"/>
        <n v="601.0"/>
        <n v="2414.0"/>
        <n v="212.0"/>
        <n v="306.0"/>
        <n v="353.0"/>
        <n v="25.0"/>
        <n v="8392.0"/>
        <n v="420.0"/>
        <n v="21815.0"/>
        <n v="2567.0"/>
        <n v="11085.0"/>
        <n v="243.0"/>
        <n v="246.0"/>
        <n v="3753.0"/>
        <n v="87.0"/>
        <n v="230.0"/>
        <n v="34.0"/>
        <n v="201.0"/>
        <m/>
        <n v="22.0"/>
        <n v="452.0"/>
        <n v="39.0"/>
        <n v="4536.0"/>
        <n v="5233.0"/>
        <n v="173.0"/>
        <n v="2139.0"/>
        <n v="10242.0"/>
        <n v="7985.0"/>
        <n v="5770.0"/>
        <n v="603.0"/>
        <n v="310.0"/>
        <n v="7577.0"/>
        <n v="54.0"/>
        <n v="320.0"/>
        <n v="1071.0"/>
        <n v="571.0"/>
        <n v="146.0"/>
        <n v="162.0"/>
        <n v="6655.0"/>
        <n v="226.0"/>
        <n v="281.0"/>
        <n v="1487.0"/>
        <n v="1841.0"/>
        <n v="8579.0"/>
        <n v="131.0"/>
        <n v="136.0"/>
        <n v="4775.0"/>
        <n v="397.0"/>
        <n v="6506.0"/>
        <n v="2558.0"/>
        <n v="10862.0"/>
        <n v="652.0"/>
        <n v="3863.0"/>
        <n v="242.0"/>
        <n v="3209.0"/>
        <n v="10458.0"/>
        <n v="2491.0"/>
        <n v="1504.0"/>
        <n v="73.0"/>
        <n v="2666.0"/>
        <n v="2646.0"/>
        <n v="2104.0"/>
        <n v="2946.0"/>
        <n v="2766.0"/>
        <n v="6433.0"/>
        <n v="2137.0"/>
        <n v="220.0"/>
        <n v="2011.0"/>
        <n v="88.0"/>
        <n v="2669.0"/>
        <n v="198.0"/>
        <n v="4266.0"/>
        <n v="241.0"/>
        <n v="1332.0"/>
        <n v="1615.0"/>
        <n v="8613.0"/>
        <n v="11654.0"/>
        <n v="6649.0"/>
        <n v="8230.0"/>
        <n v="3762.0"/>
        <n v="7077.0"/>
        <n v="11203.0"/>
        <n v="4859.0"/>
        <n v="4931.0"/>
        <n v="3589.0"/>
        <n v="266.0"/>
        <n v="661.0"/>
        <n v="6088.0"/>
        <n v="769.0"/>
        <n v="3335.0"/>
        <n v="1797.0"/>
        <n v="3840.0"/>
        <n v="2546.0"/>
        <n v="5065.0"/>
        <n v="332.0"/>
        <n v="2122.0"/>
        <n v="14.0"/>
        <n v="8748.0"/>
        <n v="4514.0"/>
        <n v="1116.0"/>
        <n v="2834.0"/>
        <n v="174.0"/>
        <n v="13496.0"/>
        <n v="15957.0"/>
        <n v="11130.0"/>
        <n v="1310.0"/>
        <n v="1417.0"/>
        <n v="2048.0"/>
        <n v="93.0"/>
        <n v="3315.0"/>
        <n v="2042.0"/>
        <n v="732.0"/>
        <n v="13043.0"/>
        <n v="1669.0"/>
        <n v="5111.0"/>
        <n v="988.0"/>
        <n v="1592.0"/>
        <n v="6770.0"/>
        <n v="9781.0"/>
        <n v="1034.0"/>
        <n v="118.0"/>
        <n v="1170.0"/>
        <n v="17725.0"/>
        <n v="3505.0"/>
        <n v="2301.0"/>
        <n v="561.0"/>
        <n v="295.0"/>
        <n v="11141.0"/>
        <n v="20311.0"/>
        <n v="5264.0"/>
        <n v="8361.0"/>
        <n v="1706.0"/>
        <n v="2710.0"/>
        <n v="578.0"/>
        <n v="3357.0"/>
        <n v="16.0"/>
        <n v="7874.0"/>
        <n v="10925.0"/>
        <n v="13023.0"/>
        <n v="12.0"/>
        <n v="3858.0"/>
        <n v="57.0"/>
        <n v="186.0"/>
        <n v="2700.0"/>
        <n v="6709.0"/>
        <n v="223.0"/>
        <n v="75.0"/>
        <n v="2205.0"/>
        <n v="11.0"/>
        <n v="28.0"/>
        <n v="984.0"/>
        <n v="127.0"/>
        <n v="1746.0"/>
        <n v="6149.0"/>
        <n v="158.0"/>
        <n v="68.0"/>
        <n v="2932.0"/>
        <n v="274.0"/>
        <n v="8264.0"/>
        <n v="8954.0"/>
        <n v="1864.0"/>
        <n v="476.0"/>
        <n v="185.0"/>
        <n v="330.0"/>
        <n v="6904.0"/>
        <n v="2637.0"/>
        <n v="51.0"/>
        <n v="3140.0"/>
        <n v="130.0"/>
        <n v="641.0"/>
        <n v="1304.0"/>
        <n v="5771.0"/>
        <n v="1377.0"/>
        <n v="5425.0"/>
        <n v="547.0"/>
        <n v="821.0"/>
        <n v="1197.0"/>
        <n v="1457.0"/>
        <n v="2720.0"/>
        <n v="8958.0"/>
        <n v="1101.0"/>
        <n v="756.0"/>
        <n v="33.0"/>
        <n v="1635.0"/>
        <n v="235.0"/>
        <n v="10996.0"/>
        <n v="4783.0"/>
        <n v="1724.0"/>
        <n v="1729.0"/>
        <n v="122.0"/>
        <n v="6269.0"/>
        <n v="60.0"/>
        <n v="411.0"/>
        <n v="9987.0"/>
        <n v="125.0"/>
        <n v="582.0"/>
        <n v="134.0"/>
        <n v="296.0"/>
        <n v="172.0"/>
        <n v="4880.0"/>
        <n v="17.0"/>
        <n v="204.0"/>
        <n v="4227.0"/>
        <n v="7434.0"/>
        <n v="6156.0"/>
        <n v="2346.0"/>
        <n v="5696.0"/>
        <n v="448.0"/>
        <n v="175.0"/>
        <n v="2566.0"/>
        <n v="13680.0"/>
        <n v="808.0"/>
        <n v="90.0"/>
        <n v="943.0"/>
        <n v="5749.0"/>
        <n v="2974.0"/>
        <n v="5804.0"/>
        <n v="12381.0"/>
        <n v="63.0"/>
        <n v="1610.0"/>
        <n v="4076.0"/>
        <n v="156.0"/>
        <n v="1670.0"/>
        <n v="2258.0"/>
        <n v="2600.0"/>
        <n v="2232.0"/>
        <n v="7832.0"/>
        <n v="3954.0"/>
        <n v="1020.0"/>
        <n v="49.0"/>
        <n v="522.0"/>
        <n v="490.0"/>
        <n v="566.0"/>
        <n v="62.0"/>
        <n v="331.0"/>
        <n v="26.0"/>
        <n v="209.0"/>
        <n v="1518.0"/>
        <n v="2099.0"/>
        <n v="1899.0"/>
        <n v="18200.0"/>
        <n v="10388.0"/>
        <n v="168.0"/>
        <n v="2963.0"/>
        <n v="6965.0"/>
        <n v="6595.0"/>
        <n v="6789.0"/>
        <n v="5166.0"/>
        <n v="2837.0"/>
        <n v="44.0"/>
        <n v="412.0"/>
        <n v="1370.0"/>
        <n v="2111.0"/>
        <n v="316.0"/>
        <n v="2773.0"/>
        <n v="12655.0"/>
        <n v="590.0"/>
        <n v="12516.0"/>
        <n v="1037.0"/>
        <n v="9751.0"/>
        <n v="1032.0"/>
        <n v="5078.0"/>
        <n v="5674.0"/>
        <n v="7915.0"/>
        <n v="69.0"/>
        <n v="8893.0"/>
        <n v="16642.0"/>
        <n v="862.0"/>
        <n v="457.0"/>
        <n v="2178.0"/>
        <n v="3780.0"/>
        <n v="2801.0"/>
        <n v="12071.0"/>
        <n v="13350.0"/>
        <n v="956.0"/>
        <n v="967.0"/>
        <n v="2794.0"/>
        <n v="560.0"/>
        <n v="551.0"/>
        <n v="147.0"/>
        <n v="8606.0"/>
        <n v="2086.0"/>
        <n v="94.0"/>
        <n v="517.0"/>
        <n v="5490.0"/>
        <n v="472.0"/>
        <n v="350.0"/>
        <n v="7291.0"/>
        <n v="32.0"/>
        <n v="2530.0"/>
        <n v="905.0"/>
        <n v="737.0"/>
        <n v="2087.0"/>
        <n v="5544.0"/>
        <n v="7695.0"/>
        <n v="1203.0"/>
        <n v="1224.0"/>
        <n v="6894.0"/>
        <n v="613.0"/>
        <n v="638.0"/>
        <n v="1136.0"/>
        <n v="1016.0"/>
        <n v="59.0"/>
        <n v="1062.0"/>
        <n v="1077.0"/>
        <n v="496.0"/>
        <n v="2214.0"/>
        <n v="502.0"/>
        <n v="1964.0"/>
        <n v="1028.0"/>
        <n v="9965.0"/>
        <n v="5487.0"/>
        <n v="120.0"/>
        <n v="4222.0"/>
        <n v="3245.0"/>
        <n v="2144.0"/>
        <n v="4708.0"/>
        <n v="11765.0"/>
        <n v="6877.0"/>
        <n v="4686.0"/>
        <n v="795.0"/>
        <n v="6952.0"/>
        <n v="1853.0"/>
        <n v="4703.0"/>
        <n v="99.0"/>
        <n v="92.0"/>
        <n v="2466.0"/>
        <n v="2981.0"/>
        <n v="108.0"/>
        <n v="182.0"/>
        <n v="942.0"/>
        <n v="21.0"/>
        <n v="38.0"/>
        <n v="1960.0"/>
        <n v="423.0"/>
        <n v="627.0"/>
        <n v="2940.0"/>
        <n v="1654.0"/>
        <n v="71.0"/>
        <n v="696.0"/>
        <n v="100.0"/>
        <n v="2390.0"/>
        <n v="2728.0"/>
        <n v="10262.0"/>
        <n v="4277.0"/>
        <n v="6203.0"/>
        <n v="210.0"/>
        <n v="70.0"/>
        <n v="84.0"/>
        <n v="314.0"/>
        <n v="56.0"/>
        <n v="630.0"/>
        <n v="15254.0"/>
        <n v="4252.0"/>
        <n v="1163.0"/>
        <n v="202.0"/>
        <n v="408.0"/>
        <n v="5945.0"/>
        <n v="7960.0"/>
        <n v="2030.0"/>
        <n v="52.0"/>
        <n v="812.0"/>
        <n v="1433.0"/>
        <n v="5851.0"/>
        <n v="1537.0"/>
        <n v="1585.0"/>
        <n v="3038.0"/>
      </sharedItems>
    </cacheField>
    <cacheField name="eth_NonHispanic" numFmtId="0">
      <sharedItems containsString="0" containsBlank="1" containsNumber="1" containsInteger="1">
        <n v="2230.0"/>
        <n v="10314.0"/>
        <n v="4075.0"/>
        <n v="1350.0"/>
        <n v="12348.0"/>
        <n v="224.0"/>
        <n v="9091.0"/>
        <n v="2835.0"/>
        <n v="9855.0"/>
        <n v="279.0"/>
        <n v="4584.0"/>
        <n v="6986.0"/>
        <n v="4023.0"/>
        <n v="863.0"/>
        <n v="281.0"/>
        <n v="7017.0"/>
        <n v="19069.0"/>
        <n v="11221.0"/>
        <n v="2131.0"/>
        <n v="426.0"/>
        <n v="10778.0"/>
        <n v="16106.0"/>
        <n v="208.0"/>
        <n v="725.0"/>
        <n v="653.0"/>
        <n v="4123.0"/>
        <n v="4825.0"/>
        <n v="17555.0"/>
        <n v="12633.0"/>
        <n v="8727.0"/>
        <n v="3453.0"/>
        <n v="2353.0"/>
        <n v="8058.0"/>
        <n v="2067.0"/>
        <n v="1507.0"/>
        <n v="4279.0"/>
        <n v="272.0"/>
        <n v="14054.0"/>
        <n v="306.0"/>
        <n v="22235.0"/>
        <n v="399.0"/>
        <n v="15182.0"/>
        <n v="1128.0"/>
        <n v="675.0"/>
        <n v="6242.0"/>
        <n v="104.0"/>
        <n v="186.0"/>
        <n v="431.0"/>
        <n v="1410.0"/>
        <n v="61.0"/>
        <n v="688.0"/>
        <n v="6136.0"/>
        <n v="214.0"/>
        <n v="566.0"/>
        <n v="717.0"/>
        <n v="738.0"/>
        <m/>
        <n v="552.0"/>
        <n v="9200.0"/>
        <n v="4478.0"/>
        <n v="330.0"/>
        <n v="7163.0"/>
        <n v="1813.0"/>
        <n v="1739.0"/>
        <n v="9962.0"/>
        <n v="147.0"/>
        <n v="1387.0"/>
        <n v="1683.0"/>
        <n v="1510.0"/>
        <n v="161.0"/>
        <n v="813.0"/>
        <n v="4690.0"/>
        <n v="1089.0"/>
        <n v="1546.0"/>
        <n v="933.0"/>
        <n v="2495.0"/>
        <n v="3301.0"/>
        <n v="12007.0"/>
        <n v="12.0"/>
        <n v="508.0"/>
        <n v="534.0"/>
        <n v="5961.0"/>
        <n v="819.0"/>
        <n v="1317.0"/>
        <n v="9443.0"/>
        <n v="6169.0"/>
        <n v="1425.0"/>
        <n v="9352.0"/>
        <n v="563.0"/>
        <n v="3010.0"/>
        <n v="3297.0"/>
        <n v="5737.0"/>
        <n v="4828.0"/>
        <n v="2038.0"/>
        <n v="343.0"/>
        <n v="627.0"/>
        <n v="2834.0"/>
        <n v="6000.0"/>
        <n v="3389.0"/>
        <n v="4426.0"/>
        <n v="2239.0"/>
        <n v="558.0"/>
        <n v="1722.0"/>
        <n v="2711.0"/>
        <n v="380.0"/>
        <n v="6364.0"/>
        <n v="137.0"/>
        <n v="14479.0"/>
        <n v="925.0"/>
        <n v="756.0"/>
        <n v="4985.0"/>
        <n v="8738.0"/>
        <n v="7198.0"/>
        <n v="7107.0"/>
        <n v="17606.0"/>
        <n v="3654.0"/>
        <n v="19110.0"/>
        <n v="15887.0"/>
        <n v="9310.0"/>
        <n v="5792.0"/>
        <n v="7571.0"/>
        <n v="1029.0"/>
        <n v="2304.0"/>
        <n v="12999.0"/>
        <n v="3961.0"/>
        <n v="10806.0"/>
        <n v="3838.0"/>
        <n v="6721.0"/>
        <n v="3660.0"/>
        <n v="9915.0"/>
        <n v="12388.0"/>
        <n v="184.0"/>
        <n v="929.0"/>
        <n v="40009.0"/>
        <n v="9458.0"/>
        <n v="1466.0"/>
        <n v="5238.0"/>
        <n v="420.0"/>
        <n v="11089.0"/>
        <n v="7220.0"/>
        <n v="4498.0"/>
        <n v="4417.0"/>
        <n v="2270.0"/>
        <n v="3310.0"/>
        <n v="405.0"/>
        <n v="11188.0"/>
        <n v="2027.0"/>
        <n v="3350.0"/>
        <n v="5024.0"/>
        <n v="11908.0"/>
        <n v="11967.0"/>
        <n v="1028.0"/>
        <n v="1904.0"/>
        <n v="15154.0"/>
        <n v="5341.0"/>
        <n v="4903.0"/>
        <n v="144.0"/>
        <n v="6300.0"/>
        <n v="3160.0"/>
        <n v="2860.0"/>
        <n v="1372.0"/>
        <n v="10023.0"/>
        <n v="890.0"/>
        <n v="376.0"/>
        <n v="7759.0"/>
        <n v="8536.0"/>
        <n v="4052.0"/>
        <n v="3370.0"/>
        <n v="775.0"/>
        <n v="8010.0"/>
        <n v="318.0"/>
        <n v="7552.0"/>
        <n v="21.0"/>
        <n v="42.0"/>
        <n v="5842.0"/>
        <n v="6796.0"/>
        <n v="7368.0"/>
        <n v="229.0"/>
        <n v="5938.0"/>
        <n v="97.0"/>
        <n v="998.0"/>
        <n v="3418.0"/>
        <n v="3279.0"/>
        <n v="456.0"/>
        <n v="8315.0"/>
        <n v="1573.0"/>
        <n v="248.0"/>
        <n v="761.0"/>
        <n v="2926.0"/>
        <n v="1551.0"/>
        <n v="632.0"/>
        <n v="6768.0"/>
        <n v="168.0"/>
        <n v="27.0"/>
        <n v="245.0"/>
        <n v="423.0"/>
        <n v="12062.0"/>
        <n v="127.0"/>
        <n v="4813.0"/>
        <n v="2076.0"/>
        <n v="4342.0"/>
        <n v="2974.0"/>
        <n v="4025.0"/>
        <n v="1584.0"/>
        <n v="5417.0"/>
        <n v="10402.0"/>
        <n v="80.0"/>
        <n v="4253.0"/>
        <n v="388.0"/>
        <n v="2517.0"/>
        <n v="8983.0"/>
        <n v="2087.0"/>
        <n v="34881.0"/>
        <n v="2174.0"/>
        <n v="2172.0"/>
        <n v="6950.0"/>
        <n v="1169.0"/>
        <n v="12505.0"/>
        <n v="12206.0"/>
        <n v="2164.0"/>
        <n v="2317.0"/>
        <n v="130.0"/>
        <n v="10539.0"/>
        <n v="2126.0"/>
        <n v="12450.0"/>
        <n v="12346.0"/>
        <n v="2167.0"/>
        <n v="4276.0"/>
        <n v="590.0"/>
        <n v="4628.0"/>
        <n v="310.0"/>
        <n v="980.0"/>
        <n v="25.0"/>
        <n v="20615.0"/>
        <n v="1817.0"/>
        <n v="1342.0"/>
        <n v="843.0"/>
        <n v="550.0"/>
        <n v="2801.0"/>
        <n v="22480.0"/>
        <n v="24650.0"/>
        <n v="273.0"/>
        <n v="128.0"/>
        <n v="296.0"/>
        <n v="93.0"/>
        <n v="1280.0"/>
        <n v="6226.0"/>
        <n v="10483.0"/>
        <n v="16642.0"/>
        <n v="5668.0"/>
        <n v="1910.0"/>
        <n v="1116.0"/>
        <n v="181.0"/>
        <n v="4320.0"/>
        <n v="15301.0"/>
        <n v="1686.0"/>
        <n v="203.0"/>
        <n v="1834.0"/>
        <n v="6994.0"/>
        <n v="3466.0"/>
        <n v="12459.0"/>
        <n v="185.0"/>
        <n v="10641.0"/>
        <n v="674.0"/>
        <n v="7420.0"/>
        <n v="8831.0"/>
        <n v="734.0"/>
        <n v="71.0"/>
        <n v="10553.0"/>
        <n v="11856.0"/>
        <n v="18331.0"/>
        <n v="8091.0"/>
        <n v="28788.0"/>
        <n v="24535.0"/>
        <n v="14395.0"/>
        <n v="4005.0"/>
        <n v="1661.0"/>
        <n v="2949.0"/>
        <n v="6943.0"/>
        <n v="344.0"/>
        <n v="488.0"/>
        <n v="232.0"/>
        <n v="206.0"/>
        <n v="444.0"/>
        <n v="1299.0"/>
        <n v="176.0"/>
        <n v="1821.0"/>
        <n v="1117.0"/>
        <n v="18495.0"/>
        <n v="14359.0"/>
        <n v="173.0"/>
        <n v="258.0"/>
        <n v="8449.0"/>
        <n v="9513.0"/>
        <n v="4880.0"/>
        <n v="7731.0"/>
        <n v="9491.0"/>
        <n v="3134.0"/>
        <n v="210.0"/>
        <n v="1786.0"/>
        <n v="1645.0"/>
        <n v="3154.0"/>
        <n v="547.0"/>
        <n v="6474.0"/>
        <n v="225.0"/>
        <n v="7489.0"/>
        <n v="66.0"/>
        <n v="7203.0"/>
        <n v="866.0"/>
        <n v="4260.0"/>
        <n v="10260.0"/>
        <n v="1891.0"/>
        <n v="16858.0"/>
        <n v="9639.0"/>
        <n v="22129.0"/>
        <n v="320.0"/>
        <n v="20462.0"/>
        <n v="15645.0"/>
        <n v="2824.0"/>
        <n v="1703.0"/>
        <n v="2928.0"/>
        <n v="20857.0"/>
        <n v="6375.0"/>
        <n v="27193.0"/>
        <n v="7025.0"/>
        <n v="5546.0"/>
        <n v="6011.0"/>
        <n v="11811.0"/>
        <n v="1511.0"/>
        <n v="204.0"/>
        <n v="1177.0"/>
        <n v="469.0"/>
        <n v="13490.0"/>
        <n v="664.0"/>
        <n v="1054.0"/>
        <n v="11850.0"/>
        <n v="409.0"/>
        <n v="417.0"/>
        <n v="3632.0"/>
        <n v="9405.0"/>
        <n v="3424.0"/>
        <n v="3806.0"/>
        <n v="28424.0"/>
        <n v="1073.0"/>
        <n v="15103.0"/>
        <n v="3487.0"/>
        <n v="2196.0"/>
        <n v="5762.0"/>
        <n v="6124.0"/>
        <n v="13789.0"/>
        <n v="2437.0"/>
        <n v="1380.0"/>
        <n v="2316.0"/>
        <n v="134.0"/>
        <n v="11418.0"/>
        <n v="2505.0"/>
        <n v="4743.0"/>
        <n v="4366.0"/>
        <n v="3356.0"/>
        <n v="290.0"/>
        <n v="1124.0"/>
        <n v="4476.0"/>
        <n v="3018.0"/>
        <n v="55.0"/>
        <n v="11100.0"/>
        <n v="4915.0"/>
        <n v="7761.0"/>
        <n v="781.0"/>
        <n v="1590.0"/>
        <n v="7053.0"/>
        <n v="12697.0"/>
        <n v="110.0"/>
        <n v="150.0"/>
        <n v="7324.0"/>
        <n v="22378.0"/>
        <n v="14022.0"/>
        <n v="5933.0"/>
        <n v="10164.0"/>
        <n v="24523.0"/>
        <n v="8783.0"/>
        <n v="2129.0"/>
        <n v="10986.0"/>
        <n v="1627.0"/>
        <n v="16340.0"/>
        <n v="419.0"/>
        <n v="7937.0"/>
        <n v="1001.0"/>
        <n v="1500.0"/>
        <n v="277.0"/>
        <n v="304.0"/>
        <n v="5582.0"/>
        <n v="13432.0"/>
        <n v="678.0"/>
        <n v="46.0"/>
        <n v="359.0"/>
        <n v="848.0"/>
        <n v="1187.0"/>
        <n v="7548.0"/>
        <n v="2739.0"/>
        <n v="8494.0"/>
        <n v="5334.0"/>
        <n v="283.0"/>
        <n v="454.0"/>
        <n v="1964.0"/>
        <n v="9139.0"/>
        <n v="357.0"/>
        <n v="9150.0"/>
        <n v="1606.0"/>
        <n v="5814.0"/>
        <n v="15212.0"/>
        <n v="4745.0"/>
        <n v="13390.0"/>
        <n v="529.0"/>
        <n v="160.0"/>
        <n v="767.0"/>
        <n v="384.0"/>
        <n v="166.0"/>
        <n v="195.0"/>
        <n v="201.0"/>
        <n v="2906.0"/>
        <n v="421.0"/>
        <n v="233.0"/>
        <n v="12245.0"/>
        <n v="2560.0"/>
        <n v="955.0"/>
        <n v="4157.0"/>
        <n v="1571.0"/>
        <n v="9151.0"/>
        <n v="4445.0"/>
        <n v="14210.0"/>
        <n v="521.0"/>
        <n v="2627.0"/>
        <n v="5942.0"/>
        <n v="4856.0"/>
        <n v="3157.0"/>
        <n v="2948.0"/>
        <n v="8963.0"/>
      </sharedItems>
    </cacheField>
    <cacheField name="eth_Other_Unknown" numFmtId="0">
      <sharedItems containsString="0" containsBlank="1" containsNumber="1" containsInteger="1">
        <n v="61.0"/>
        <n v="482.0"/>
        <n v="63.0"/>
        <n v="65.0"/>
        <n v="185.0"/>
        <n v="41.0"/>
        <n v="160.0"/>
        <n v="28.0"/>
        <n v="169.0"/>
        <n v="19.0"/>
        <m/>
        <n v="71.0"/>
        <n v="6.0"/>
        <n v="68.0"/>
        <n v="31.0"/>
        <n v="159.0"/>
        <n v="446.0"/>
        <n v="196.0"/>
        <n v="72.0"/>
        <n v="4.0"/>
        <n v="480.0"/>
        <n v="668.0"/>
        <n v="12.0"/>
        <n v="5.0"/>
        <n v="566.0"/>
        <n v="903.0"/>
        <n v="293.0"/>
        <n v="124.0"/>
        <n v="182.0"/>
        <n v="147.0"/>
        <n v="60.0"/>
        <n v="48.0"/>
        <n v="107.0"/>
        <n v="59.0"/>
        <n v="2.0"/>
        <n v="87.0"/>
        <n v="3.0"/>
        <n v="126.0"/>
        <n v="80.0"/>
        <n v="135.0"/>
        <n v="22.0"/>
        <n v="30.0"/>
        <n v="10.0"/>
        <n v="1.0"/>
        <n v="36.0"/>
        <n v="25.0"/>
        <n v="620.0"/>
        <n v="46.0"/>
        <n v="15.0"/>
        <n v="98.0"/>
        <n v="33.0"/>
        <n v="103.0"/>
        <n v="42.0"/>
        <n v="9.0"/>
        <n v="263.0"/>
        <n v="97.0"/>
        <n v="69.0"/>
        <n v="14.0"/>
        <n v="8.0"/>
        <n v="298.0"/>
        <n v="23.0"/>
        <n v="29.0"/>
        <n v="20.0"/>
        <n v="82.0"/>
        <n v="64.0"/>
        <n v="143.0"/>
        <n v="50.0"/>
        <n v="300.0"/>
        <n v="32.0"/>
        <n v="35.0"/>
        <n v="110.0"/>
        <n v="858.0"/>
        <n v="18.0"/>
        <n v="215.0"/>
        <n v="687.0"/>
        <n v="118.0"/>
        <n v="909.0"/>
        <n v="16.0"/>
        <n v="54.0"/>
        <n v="512.0"/>
        <n v="243.0"/>
        <n v="95.0"/>
        <n v="315.0"/>
        <n v="396.0"/>
        <n v="990.0"/>
        <n v="83.0"/>
        <n v="1208.0"/>
        <n v="506.0"/>
        <n v="148.0"/>
        <n v="58.0"/>
        <n v="432.0"/>
        <n v="164.0"/>
        <n v="248.0"/>
        <n v="56.0"/>
        <n v="901.0"/>
        <n v="278.0"/>
        <n v="154.0"/>
        <n v="94.0"/>
        <n v="413.0"/>
        <n v="613.0"/>
        <n v="516.0"/>
        <n v="104.0"/>
        <n v="946.0"/>
        <n v="21.0"/>
        <n v="43.0"/>
        <n v="535.0"/>
        <n v="205.0"/>
        <n v="1053.0"/>
        <n v="105.0"/>
        <n v="155.0"/>
        <n v="132.0"/>
        <n v="350.0"/>
        <n v="100.0"/>
        <n v="191.0"/>
        <n v="610.0"/>
        <n v="1501.0"/>
        <n v="575.0"/>
        <n v="497.0"/>
        <n v="111.0"/>
        <n v="295.0"/>
        <n v="49.0"/>
        <n v="439.0"/>
        <n v="84.0"/>
        <n v="37.0"/>
        <n v="26.0"/>
        <n v="172.0"/>
        <n v="34.0"/>
        <n v="170.0"/>
        <n v="113.0"/>
        <n v="13.0"/>
        <n v="86.0"/>
        <n v="90.0"/>
        <n v="7.0"/>
        <n v="11.0"/>
        <n v="180.0"/>
        <n v="74.0"/>
        <n v="181.0"/>
        <n v="213.0"/>
        <n v="262.0"/>
        <n v="52.0"/>
        <n v="108.0"/>
        <n v="109.0"/>
        <n v="489.0"/>
        <n v="536.0"/>
        <n v="40.0"/>
        <n v="771.0"/>
        <n v="272.0"/>
        <n v="85.0"/>
        <n v="1158.0"/>
        <n v="555.0"/>
        <n v="207.0"/>
        <n v="115.0"/>
        <n v="856.0"/>
        <n v="81.0"/>
        <n v="957.0"/>
        <n v="452.0"/>
        <n v="17.0"/>
        <n v="24.0"/>
        <n v="493.0"/>
        <n v="464.0"/>
        <n v="371.0"/>
        <n v="204.0"/>
        <n v="655.0"/>
        <n v="348.0"/>
        <n v="244.0"/>
        <n v="530.0"/>
        <n v="73.0"/>
        <n v="57.0"/>
        <n v="177.0"/>
        <n v="1044.0"/>
        <n v="988.0"/>
        <n v="76.0"/>
        <n v="241.0"/>
        <n v="188.0"/>
        <n v="379.0"/>
        <n v="138.0"/>
        <n v="739.0"/>
        <n v="727.0"/>
        <n v="1321.0"/>
        <n v="347.0"/>
        <n v="649.0"/>
        <n v="187.0"/>
        <n v="226.0"/>
        <n v="505.0"/>
        <n v="454.0"/>
        <n v="387.0"/>
        <n v="51.0"/>
        <n v="302.0"/>
        <n v="212.0"/>
        <n v="499.0"/>
        <n v="134.0"/>
        <n v="224.0"/>
        <n v="116.0"/>
        <n v="193.0"/>
        <n v="217.0"/>
        <n v="438.0"/>
        <n v="39.0"/>
        <n v="256.0"/>
        <n v="79.0"/>
        <n v="1000.0"/>
        <n v="560.0"/>
        <n v="140.0"/>
        <n v="312.0"/>
        <n v="242.0"/>
        <n v="178.0"/>
        <n v="190.0"/>
        <n v="405.0"/>
        <n v="44.0"/>
        <n v="377.0"/>
        <n v="231.0"/>
        <n v="133.0"/>
        <n v="821.0"/>
        <n v="805.0"/>
        <n v="496.0"/>
        <n v="145.0"/>
        <n v="630.0"/>
        <n v="341.0"/>
        <n v="404.0"/>
        <n v="431.0"/>
        <n v="153.0"/>
        <n v="210.0"/>
        <n v="119.0"/>
        <n v="112.0"/>
        <n v="173.0"/>
        <n v="77.0"/>
        <n v="559.0"/>
        <n v="89.0"/>
        <n v="259.0"/>
        <n v="392.0"/>
        <n v="1332.0"/>
        <n v="427.0"/>
        <n v="317.0"/>
        <n v="75.0"/>
        <n v="406.0"/>
        <n v="156.0"/>
        <n v="66.0"/>
        <n v="806.0"/>
        <n v="223.0"/>
        <n v="203.0"/>
      </sharedItems>
    </cacheField>
    <cacheField name="racegrp_aman" numFmtId="0">
      <sharedItems containsString="0" containsBlank="1" containsNumber="1" containsInteger="1">
        <m/>
        <n v="44.0"/>
        <n v="29.0"/>
        <n v="11.0"/>
        <n v="61.0"/>
        <n v="23.0"/>
        <n v="13.0"/>
        <n v="31.0"/>
        <n v="83.0"/>
        <n v="72.0"/>
        <n v="32.0"/>
        <n v="283.0"/>
        <n v="268.0"/>
        <n v="16.0"/>
        <n v="21.0"/>
        <n v="17.0"/>
        <n v="63.0"/>
        <n v="34.0"/>
        <n v="19.0"/>
        <n v="28.0"/>
        <n v="96.0"/>
        <n v="279.0"/>
        <n v="404.0"/>
        <n v="119.0"/>
        <n v="208.0"/>
        <n v="363.0"/>
        <n v="25.0"/>
        <n v="118.0"/>
        <n v="130.0"/>
        <n v="27.0"/>
        <n v="47.0"/>
        <n v="22.0"/>
        <n v="74.0"/>
        <n v="14.0"/>
        <n v="12.0"/>
        <n v="54.0"/>
        <n v="18.0"/>
        <n v="108.0"/>
        <n v="84.0"/>
        <n v="33.0"/>
        <n v="15.0"/>
        <n v="42.0"/>
        <n v="26.0"/>
        <n v="90.0"/>
        <n v="38.0"/>
        <n v="39.0"/>
        <n v="58.0"/>
        <n v="70.0"/>
        <n v="20.0"/>
        <n v="46.0"/>
        <n v="111.0"/>
        <n v="45.0"/>
        <n v="51.0"/>
        <n v="384.0"/>
        <n v="87.0"/>
        <n v="103.0"/>
        <n v="91.0"/>
        <n v="93.0"/>
        <n v="43.0"/>
        <n v="172.0"/>
        <n v="66.0"/>
        <n v="140.0"/>
        <n v="65.0"/>
        <n v="53.0"/>
        <n v="24.0"/>
        <n v="37.0"/>
        <n v="141.0"/>
        <n v="110.0"/>
        <n v="98.0"/>
        <n v="62.0"/>
        <n v="56.0"/>
        <n v="392.0"/>
        <n v="157.0"/>
        <n v="68.0"/>
        <n v="48.0"/>
        <n v="59.0"/>
        <n v="184.0"/>
        <n v="197.0"/>
        <n v="120.0"/>
        <n v="76.0"/>
        <n v="36.0"/>
        <n v="81.0"/>
        <n v="79.0"/>
        <n v="152.0"/>
        <n v="209.0"/>
        <n v="229.0"/>
        <n v="78.0"/>
        <n v="35.0"/>
        <n v="104.0"/>
        <n v="50.0"/>
        <n v="158.0"/>
        <n v="246.0"/>
        <n v="86.0"/>
        <n v="30.0"/>
        <n v="82.0"/>
        <n v="174.0"/>
        <n v="64.0"/>
        <n v="95.0"/>
        <n v="149.0"/>
        <n v="237.0"/>
      </sharedItems>
    </cacheField>
    <cacheField name="racegrp_asian" numFmtId="0">
      <sharedItems containsString="0" containsBlank="1" containsNumber="1" containsInteger="1">
        <n v="480.0"/>
        <n v="1873.0"/>
        <n v="604.0"/>
        <n v="153.0"/>
        <n v="1914.0"/>
        <n v="53.0"/>
        <n v="1664.0"/>
        <n v="879.0"/>
        <n v="5295.0"/>
        <n v="17.0"/>
        <n v="472.0"/>
        <n v="1550.0"/>
        <n v="1385.0"/>
        <n v="86.0"/>
        <n v="14.0"/>
        <n v="1478.0"/>
        <n v="3753.0"/>
        <n v="4702.0"/>
        <n v="11.0"/>
        <m/>
        <n v="491.0"/>
        <n v="359.0"/>
        <n v="16.0"/>
        <n v="743.0"/>
        <n v="393.0"/>
        <n v="2444.0"/>
        <n v="2854.0"/>
        <n v="923.0"/>
        <n v="598.0"/>
        <n v="230.0"/>
        <n v="1242.0"/>
        <n v="43.0"/>
        <n v="46.0"/>
        <n v="24.0"/>
        <n v="1985.0"/>
        <n v="2934.0"/>
        <n v="25.0"/>
        <n v="1730.0"/>
        <n v="70.0"/>
        <n v="15.0"/>
        <n v="998.0"/>
        <n v="12.0"/>
        <n v="21.0"/>
        <n v="132.0"/>
        <n v="38.0"/>
        <n v="187.0"/>
        <n v="496.0"/>
        <n v="510.0"/>
        <n v="36.0"/>
        <n v="49.0"/>
        <n v="411.0"/>
        <n v="30.0"/>
        <n v="44.0"/>
        <n v="94.0"/>
        <n v="190.0"/>
        <n v="1822.0"/>
        <n v="340.0"/>
        <n v="473.0"/>
        <n v="144.0"/>
        <n v="68.0"/>
        <n v="703.0"/>
        <n v="338.0"/>
        <n v="353.0"/>
        <n v="477.0"/>
        <n v="188.0"/>
        <n v="37.0"/>
        <n v="211.0"/>
        <n v="366.0"/>
        <n v="1031.0"/>
        <n v="1204.0"/>
        <n v="238.0"/>
        <n v="41.0"/>
        <n v="35.0"/>
        <n v="221.0"/>
        <n v="4441.0"/>
        <n v="704.0"/>
        <n v="309.0"/>
        <n v="76.0"/>
        <n v="248.0"/>
        <n v="5469.0"/>
        <n v="1332.0"/>
        <n v="85.0"/>
        <n v="421.0"/>
        <n v="382.0"/>
        <n v="3008.0"/>
        <n v="852.0"/>
        <n v="2908.0"/>
        <n v="3828.0"/>
        <n v="661.0"/>
        <n v="3906.0"/>
        <n v="3930.0"/>
        <n v="1654.0"/>
        <n v="1220.0"/>
        <n v="683.0"/>
        <n v="171.0"/>
        <n v="239.0"/>
        <n v="2090.0"/>
        <n v="185.0"/>
        <n v="663.0"/>
        <n v="634.0"/>
        <n v="418.0"/>
        <n v="1509.0"/>
        <n v="3652.0"/>
        <n v="81.0"/>
        <n v="521.0"/>
        <n v="4104.0"/>
        <n v="1398.0"/>
        <n v="223.0"/>
        <n v="440.0"/>
        <n v="1934.0"/>
        <n v="1330.0"/>
        <n v="1630.0"/>
        <n v="312.0"/>
        <n v="285.0"/>
        <n v="241.0"/>
        <n v="1492.0"/>
        <n v="117.0"/>
        <n v="122.0"/>
        <n v="275.0"/>
        <n v="851.0"/>
        <n v="660.0"/>
        <n v="158.0"/>
        <n v="2498.0"/>
        <n v="720.0"/>
        <n v="425.0"/>
        <n v="401.0"/>
        <n v="397.0"/>
        <n v="1334.0"/>
        <n v="151.0"/>
        <n v="733.0"/>
        <n v="217.0"/>
        <n v="1229.0"/>
        <n v="1476.0"/>
        <n v="39.0"/>
        <n v="413.0"/>
        <n v="137.0"/>
        <n v="1126.0"/>
        <n v="989.0"/>
        <n v="2571.0"/>
        <n v="1244.0"/>
        <n v="1613.0"/>
        <n v="55.0"/>
        <n v="80.0"/>
        <n v="594.0"/>
        <n v="170.0"/>
        <n v="87.0"/>
        <n v="405.0"/>
        <n v="56.0"/>
        <n v="23.0"/>
        <n v="816.0"/>
        <n v="13.0"/>
        <n v="820.0"/>
        <n v="512.0"/>
        <n v="311.0"/>
        <n v="157.0"/>
        <n v="58.0"/>
        <n v="27.0"/>
        <n v="18.0"/>
        <n v="1122.0"/>
        <n v="4180.0"/>
        <n v="857.0"/>
        <n v="83.0"/>
        <n v="231.0"/>
        <n v="212.0"/>
        <n v="4669.0"/>
        <n v="183.0"/>
        <n v="6028.0"/>
        <n v="380.0"/>
        <n v="772.0"/>
        <n v="961.0"/>
        <n v="403.0"/>
        <n v="668.0"/>
        <n v="3460.0"/>
        <n v="1232.0"/>
        <n v="266.0"/>
        <n v="54.0"/>
        <n v="1488.0"/>
        <n v="2748.0"/>
        <n v="1143.0"/>
        <n v="131.0"/>
        <n v="577.0"/>
        <n v="90.0"/>
        <n v="5533.0"/>
        <n v="99.0"/>
        <n v="26.0"/>
        <n v="1111.0"/>
        <n v="3091.0"/>
        <n v="363.0"/>
        <n v="321.0"/>
        <n v="302.0"/>
        <n v="57.0"/>
        <n v="28.0"/>
        <n v="759.0"/>
        <n v="45.0"/>
        <n v="32.0"/>
        <n v="732.0"/>
        <n v="236.0"/>
        <n v="727.0"/>
        <n v="590.0"/>
        <n v="444.0"/>
        <n v="975.0"/>
        <n v="1648.0"/>
        <n v="1812.0"/>
        <n v="1828.0"/>
        <n v="2213.0"/>
        <n v="3504.0"/>
        <n v="3795.0"/>
        <n v="112.0"/>
        <n v="199.0"/>
        <n v="644.0"/>
        <n v="66.0"/>
        <n v="20.0"/>
        <n v="19.0"/>
        <n v="42.0"/>
        <n v="48.0"/>
        <n v="437.0"/>
        <n v="118.0"/>
        <n v="2475.0"/>
        <n v="1369.0"/>
        <n v="1101.0"/>
        <n v="156.0"/>
        <n v="336.0"/>
        <n v="189.0"/>
        <n v="110.0"/>
        <n v="135.0"/>
        <n v="424.0"/>
        <n v="22.0"/>
        <n v="829.0"/>
        <n v="291.0"/>
        <n v="1348.0"/>
        <n v="2252.0"/>
        <n v="2063.0"/>
        <n v="1002.0"/>
        <n v="2876.0"/>
        <n v="1843.0"/>
        <n v="181.0"/>
        <n v="91.0"/>
        <n v="606.0"/>
        <n v="2529.0"/>
        <n v="367.0"/>
        <n v="2918.0"/>
        <n v="1592.0"/>
        <n v="586.0"/>
        <n v="483.0"/>
        <n v="693.0"/>
        <n v="116.0"/>
        <n v="894.0"/>
        <n v="40.0"/>
        <n v="220.0"/>
        <n v="3878.0"/>
        <n v="113.0"/>
        <n v="602.0"/>
        <n v="2295.0"/>
        <n v="596.0"/>
        <n v="1075.0"/>
        <n v="6286.0"/>
        <n v="1084.0"/>
        <n v="4688.0"/>
        <n v="635.0"/>
        <n v="620.0"/>
        <n v="1114.0"/>
        <n v="2717.0"/>
        <n v="89.0"/>
        <n v="2279.0"/>
        <n v="59.0"/>
        <n v="77.0"/>
        <n v="282.0"/>
        <n v="1640.0"/>
        <n v="2787.0"/>
        <n v="2629.0"/>
        <n v="416.0"/>
        <n v="404.0"/>
        <n v="4404.0"/>
        <n v="8496.0"/>
        <n v="4246.0"/>
        <n v="2527.0"/>
        <n v="3963.0"/>
        <n v="5244.0"/>
        <n v="2643.0"/>
        <n v="284.0"/>
        <n v="4654.0"/>
        <n v="197.0"/>
        <n v="7221.0"/>
        <n v="101.0"/>
        <n v="50.0"/>
        <n v="289.0"/>
        <n v="1598.0"/>
        <n v="204.0"/>
        <n v="994.0"/>
        <n v="731.0"/>
        <n v="500.0"/>
        <n v="109.0"/>
        <n v="769.0"/>
        <n v="280.0"/>
        <n v="579.0"/>
        <n v="29.0"/>
        <n v="209.0"/>
        <n v="788.0"/>
        <n v="364.0"/>
        <n v="736.0"/>
        <n v="252.0"/>
        <n v="1090.0"/>
      </sharedItems>
    </cacheField>
    <cacheField name="racegrp_nhpi" numFmtId="0">
      <sharedItems containsString="0" containsBlank="1" containsNumber="1" containsInteger="1">
        <n v="19.0"/>
        <n v="389.0"/>
        <n v="96.0"/>
        <n v="21.0"/>
        <n v="186.0"/>
        <m/>
        <n v="226.0"/>
        <n v="140.0"/>
        <n v="105.0"/>
        <n v="41.0"/>
        <n v="33.0"/>
        <n v="517.0"/>
        <n v="125.0"/>
        <n v="285.0"/>
        <n v="38.0"/>
        <n v="99.0"/>
        <n v="296.0"/>
        <n v="172.0"/>
        <n v="64.0"/>
        <n v="120.0"/>
        <n v="28.0"/>
        <n v="16.0"/>
        <n v="91.0"/>
        <n v="12.0"/>
        <n v="74.0"/>
        <n v="124.0"/>
        <n v="14.0"/>
        <n v="11.0"/>
        <n v="25.0"/>
        <n v="29.0"/>
        <n v="22.0"/>
        <n v="17.0"/>
        <n v="13.0"/>
        <n v="30.0"/>
        <n v="159.0"/>
        <n v="135.0"/>
        <n v="26.0"/>
        <n v="93.0"/>
        <n v="48.0"/>
        <n v="95.0"/>
        <n v="90.0"/>
        <n v="52.0"/>
        <n v="225.0"/>
        <n v="337.0"/>
        <n v="32.0"/>
        <n v="198.0"/>
        <n v="143.0"/>
        <n v="46.0"/>
        <n v="81.0"/>
        <n v="98.0"/>
        <n v="61.0"/>
        <n v="45.0"/>
        <n v="36.0"/>
        <n v="78.0"/>
        <n v="31.0"/>
        <n v="23.0"/>
        <n v="130.0"/>
        <n v="20.0"/>
        <n v="68.0"/>
        <n v="71.0"/>
        <n v="195.0"/>
        <n v="116.0"/>
        <n v="18.0"/>
        <n v="35.0"/>
        <n v="165.0"/>
        <n v="55.0"/>
        <n v="67.0"/>
        <n v="72.0"/>
        <n v="123.0"/>
        <n v="102.0"/>
        <n v="76.0"/>
        <n v="112.0"/>
        <n v="60.0"/>
        <n v="425.0"/>
        <n v="182.0"/>
        <n v="62.0"/>
        <n v="27.0"/>
        <n v="15.0"/>
        <n v="47.0"/>
        <n v="80.0"/>
        <n v="87.0"/>
        <n v="94.0"/>
        <n v="126.0"/>
        <n v="118.0"/>
        <n v="114.0"/>
        <n v="245.0"/>
        <n v="794.0"/>
        <n v="394.0"/>
        <n v="228.0"/>
        <n v="275.0"/>
        <n v="24.0"/>
        <n v="70.0"/>
        <n v="75.0"/>
        <n v="63.0"/>
        <n v="177.0"/>
        <n v="166.0"/>
        <n v="137.0"/>
        <n v="156.0"/>
        <n v="164.0"/>
        <n v="255.0"/>
        <n v="151.0"/>
        <n v="148.0"/>
        <n v="211.0"/>
        <n v="106.0"/>
        <n v="139.0"/>
        <n v="115.0"/>
        <n v="110.0"/>
        <n v="221.0"/>
        <n v="371.0"/>
        <n v="596.0"/>
        <n v="272.0"/>
        <n v="34.0"/>
        <n v="150.0"/>
        <n v="104.0"/>
        <n v="1097.0"/>
        <n v="213.0"/>
        <n v="56.0"/>
        <n v="142.0"/>
        <n v="447.0"/>
        <n v="215.0"/>
        <n v="264.0"/>
        <n v="88.0"/>
        <n v="309.0"/>
        <n v="162.0"/>
        <n v="57.0"/>
        <n v="86.0"/>
        <n v="154.0"/>
        <n v="39.0"/>
        <n v="297.0"/>
      </sharedItems>
    </cacheField>
    <cacheField name="racegrp_black" numFmtId="0">
      <sharedItems containsString="0" containsBlank="1" containsNumber="1" containsInteger="1">
        <n v="727.0"/>
        <n v="3099.0"/>
        <n v="1053.0"/>
        <n v="323.0"/>
        <n v="6297.0"/>
        <n v="63.0"/>
        <n v="3786.0"/>
        <n v="612.0"/>
        <n v="543.0"/>
        <n v="40.0"/>
        <n v="206.0"/>
        <n v="319.0"/>
        <n v="330.0"/>
        <n v="164.0"/>
        <n v="80.0"/>
        <n v="1429.0"/>
        <n v="5756.0"/>
        <n v="2025.0"/>
        <n v="18.0"/>
        <m/>
        <n v="345.0"/>
        <n v="339.0"/>
        <n v="24.0"/>
        <n v="12.0"/>
        <n v="1183.0"/>
        <n v="1419.0"/>
        <n v="1388.0"/>
        <n v="790.0"/>
        <n v="1275.0"/>
        <n v="170.0"/>
        <n v="292.0"/>
        <n v="1716.0"/>
        <n v="21.0"/>
        <n v="25.0"/>
        <n v="17.0"/>
        <n v="955.0"/>
        <n v="22.0"/>
        <n v="4110.0"/>
        <n v="1720.0"/>
        <n v="56.0"/>
        <n v="28.0"/>
        <n v="618.0"/>
        <n v="42.0"/>
        <n v="30.0"/>
        <n v="23.0"/>
        <n v="100.0"/>
        <n v="67.0"/>
        <n v="45.0"/>
        <n v="1214.0"/>
        <n v="1068.0"/>
        <n v="802.0"/>
        <n v="167.0"/>
        <n v="141.0"/>
        <n v="1415.0"/>
        <n v="19.0"/>
        <n v="90.0"/>
        <n v="234.0"/>
        <n v="132.0"/>
        <n v="41.0"/>
        <n v="109.0"/>
        <n v="507.0"/>
        <n v="50.0"/>
        <n v="13.0"/>
        <n v="201.0"/>
        <n v="859.0"/>
        <n v="4397.0"/>
        <n v="44.0"/>
        <n v="46.0"/>
        <n v="1841.0"/>
        <n v="373.0"/>
        <n v="207.0"/>
        <n v="4600.0"/>
        <n v="4121.0"/>
        <n v="155.0"/>
        <n v="7718.0"/>
        <n v="228.0"/>
        <n v="370.0"/>
        <n v="818.0"/>
        <n v="1293.0"/>
        <n v="311.0"/>
        <n v="514.0"/>
        <n v="150.0"/>
        <n v="397.0"/>
        <n v="1496.0"/>
        <n v="242.0"/>
        <n v="603.0"/>
        <n v="1281.0"/>
        <n v="417.0"/>
        <n v="269.0"/>
        <n v="137.0"/>
        <n v="193.0"/>
        <n v="143.0"/>
        <n v="126.0"/>
        <n v="54.0"/>
        <n v="649.0"/>
        <n v="212.0"/>
        <n v="82.0"/>
        <n v="1819.0"/>
        <n v="1746.0"/>
        <n v="706.0"/>
        <n v="1971.0"/>
        <n v="2490.0"/>
        <n v="432.0"/>
        <n v="2727.0"/>
        <n v="3039.0"/>
        <n v="4011.0"/>
        <n v="654.0"/>
        <n v="4606.0"/>
        <n v="88.0"/>
        <n v="435.0"/>
        <n v="2970.0"/>
        <n v="1305.0"/>
        <n v="488.0"/>
        <n v="2804.0"/>
        <n v="890.0"/>
        <n v="2578.0"/>
        <n v="442.0"/>
        <n v="6664.0"/>
        <n v="786.0"/>
        <n v="427.0"/>
        <n v="2361.0"/>
        <n v="133.0"/>
        <n v="1608.0"/>
        <n v="484.0"/>
        <n v="426.0"/>
        <n v="1153.0"/>
        <n v="231.0"/>
        <n v="588.0"/>
        <n v="1439.0"/>
        <n v="815.0"/>
        <n v="343.0"/>
        <n v="3382.0"/>
        <n v="816.0"/>
        <n v="687.0"/>
        <n v="218.0"/>
        <n v="2139.0"/>
        <n v="835.0"/>
        <n v="241.0"/>
        <n v="297.0"/>
        <n v="983.0"/>
        <n v="162.0"/>
        <n v="621.0"/>
        <n v="69.0"/>
        <n v="127.0"/>
        <n v="3679.0"/>
        <n v="3154.0"/>
        <n v="3774.0"/>
        <n v="641.0"/>
        <n v="302.0"/>
        <n v="647.0"/>
        <n v="102.0"/>
        <n v="627.0"/>
        <n v="451.0"/>
        <n v="2168.0"/>
        <n v="2618.0"/>
        <n v="1909.0"/>
        <n v="48.0"/>
        <n v="95.0"/>
        <n v="520.0"/>
        <n v="111.0"/>
        <n v="101.0"/>
        <n v="47.0"/>
        <n v="29.0"/>
        <n v="797.0"/>
        <n v="729.0"/>
        <n v="253.0"/>
        <n v="196.0"/>
        <n v="157.0"/>
        <n v="119.0"/>
        <n v="20.0"/>
        <n v="14.0"/>
        <n v="399.0"/>
        <n v="262.0"/>
        <n v="70.0"/>
        <n v="249.0"/>
        <n v="261.0"/>
        <n v="209.0"/>
        <n v="567.0"/>
        <n v="309.0"/>
        <n v="407.0"/>
        <n v="217.0"/>
        <n v="740.0"/>
        <n v="65.0"/>
        <n v="195.0"/>
        <n v="34.0"/>
        <n v="385.0"/>
        <n v="313.0"/>
        <n v="205.0"/>
        <n v="272.0"/>
        <n v="267.0"/>
        <n v="32.0"/>
        <n v="956.0"/>
        <n v="85.0"/>
        <n v="39.0"/>
        <n v="1834.0"/>
        <n v="16.0"/>
        <n v="37.0"/>
        <n v="678.0"/>
        <n v="887.0"/>
        <n v="677.0"/>
        <n v="160.0"/>
        <n v="182.0"/>
        <n v="547.0"/>
        <n v="2344.0"/>
        <n v="214.0"/>
        <n v="1240.0"/>
        <n v="1096.0"/>
        <n v="1182.0"/>
        <n v="3610.0"/>
        <n v="11.0"/>
        <n v="502.0"/>
        <n v="1060.0"/>
        <n v="79.0"/>
        <n v="1751.0"/>
        <n v="1959.0"/>
        <n v="1801.0"/>
        <n v="3349.0"/>
        <n v="3739.0"/>
        <n v="3059.0"/>
        <n v="996.0"/>
        <n v="57.0"/>
        <n v="246.0"/>
        <n v="657.0"/>
        <n v="340.0"/>
        <n v="64.0"/>
        <n v="89.0"/>
        <n v="84.0"/>
        <n v="104.0"/>
        <n v="277.0"/>
        <n v="255.0"/>
        <n v="4046.0"/>
        <n v="2973.0"/>
        <n v="52.0"/>
        <n v="726.0"/>
        <n v="1474.0"/>
        <n v="1989.0"/>
        <n v="2004.0"/>
        <n v="2200.0"/>
        <n v="1045.0"/>
        <n v="174.0"/>
        <n v="388.0"/>
        <n v="116.0"/>
        <n v="1143.0"/>
        <n v="3037.0"/>
        <n v="318.0"/>
        <n v="2007.0"/>
        <n v="772.0"/>
        <n v="1237.0"/>
        <n v="144.0"/>
        <n v="1513.0"/>
        <n v="2550.0"/>
        <n v="1966.0"/>
        <n v="2838.0"/>
        <n v="304.0"/>
        <n v="223.0"/>
        <n v="926.0"/>
        <n v="697.0"/>
        <n v="493.0"/>
        <n v="3006.0"/>
        <n v="958.0"/>
        <n v="176.0"/>
        <n v="192.0"/>
        <n v="383.0"/>
        <n v="250.0"/>
        <n v="51.0"/>
        <n v="555.0"/>
        <n v="83.0"/>
        <n v="1194.0"/>
        <n v="129.0"/>
        <n v="490.0"/>
        <n v="2650.0"/>
        <n v="429.0"/>
        <n v="2919.0"/>
        <n v="1261.0"/>
        <n v="746.0"/>
        <n v="496.0"/>
        <n v="1733.0"/>
        <n v="2251.0"/>
        <n v="274.0"/>
        <n v="199.0"/>
        <n v="43.0"/>
        <n v="1363.0"/>
        <n v="114.0"/>
        <n v="346.0"/>
        <n v="210.0"/>
        <n v="449.0"/>
        <n v="469.0"/>
        <n v="115.0"/>
        <n v="291.0"/>
        <n v="456.0"/>
        <n v="634.0"/>
        <n v="375.0"/>
        <n v="1175.0"/>
        <n v="1586.0"/>
        <n v="485.0"/>
        <n v="134.0"/>
        <n v="445.0"/>
        <n v="723.0"/>
        <n v="184.0"/>
        <n v="1510.0"/>
        <n v="229.0"/>
        <n v="2030.0"/>
        <n v="800.0"/>
        <n v="68.0"/>
        <n v="254.0"/>
        <n v="215.0"/>
        <n v="244.0"/>
        <n v="154.0"/>
        <n v="1136.0"/>
        <n v="220.0"/>
        <n v="846.0"/>
        <n v="66.0"/>
        <n v="15.0"/>
        <n v="688.0"/>
        <n v="265.0"/>
        <n v="247.0"/>
        <n v="94.0"/>
        <n v="424.0"/>
        <n v="294.0"/>
        <n v="381.0"/>
      </sharedItems>
    </cacheField>
    <cacheField name="racegrp_white" numFmtId="0">
      <sharedItems containsString="0" containsBlank="1" containsNumber="1" containsInteger="1">
        <n v="943.0"/>
        <n v="5072.0"/>
        <n v="1437.0"/>
        <n v="800.0"/>
        <n v="3048.0"/>
        <n v="99.0"/>
        <n v="3300.0"/>
        <n v="1048.0"/>
        <n v="3352.0"/>
        <n v="227.0"/>
        <n v="1455.0"/>
        <n v="3673.0"/>
        <n v="2234.0"/>
        <n v="517.0"/>
        <n v="148.0"/>
        <n v="4083.0"/>
        <n v="8395.0"/>
        <n v="4166.0"/>
        <n v="2172.0"/>
        <n v="421.0"/>
        <n v="9813.0"/>
        <n v="15007.0"/>
        <n v="182.0"/>
        <n v="724.0"/>
        <n v="697.0"/>
        <n v="2010.0"/>
        <n v="3065.0"/>
        <n v="13711.0"/>
        <n v="8570.0"/>
        <n v="6708.0"/>
        <n v="2475.0"/>
        <n v="1559.0"/>
        <n v="4783.0"/>
        <n v="1931.0"/>
        <n v="1633.0"/>
        <n v="4118.0"/>
        <n v="237.0"/>
        <n v="17944.0"/>
        <n v="695.0"/>
        <n v="33589.0"/>
        <n v="2208.0"/>
        <n v="20713.0"/>
        <n v="1237.0"/>
        <n v="845.0"/>
        <n v="4609.0"/>
        <n v="129.0"/>
        <n v="134.0"/>
        <n v="407.0"/>
        <n v="1263.0"/>
        <n v="63.0"/>
        <n v="670.0"/>
        <n v="5470.0"/>
        <n v="188.0"/>
        <n v="2937.0"/>
        <n v="5823.0"/>
        <n v="709.0"/>
        <m/>
        <n v="1072.0"/>
        <n v="14386.0"/>
        <n v="10980.0"/>
        <n v="335.0"/>
        <n v="8426.0"/>
        <n v="2166.0"/>
        <n v="1542.0"/>
        <n v="14119.0"/>
        <n v="203.0"/>
        <n v="1478.0"/>
        <n v="2232.0"/>
        <n v="1273.0"/>
        <n v="106.0"/>
        <n v="773.0"/>
        <n v="9979.0"/>
        <n v="953.0"/>
        <n v="1467.0"/>
        <n v="902.0"/>
        <n v="926.0"/>
        <n v="1929.0"/>
        <n v="7930.0"/>
        <n v="12.0"/>
        <n v="310.0"/>
        <n v="533.0"/>
        <n v="6645.0"/>
        <n v="588.0"/>
        <n v="7136.0"/>
        <n v="5377.0"/>
        <n v="8958.0"/>
        <n v="1481.0"/>
        <n v="4593.0"/>
        <n v="199.0"/>
        <n v="2649.0"/>
        <n v="5112.0"/>
        <n v="3984.0"/>
        <n v="5394.0"/>
        <n v="1284.0"/>
        <n v="140.0"/>
        <n v="186.0"/>
        <n v="1420.0"/>
        <n v="2979.0"/>
        <n v="2335.0"/>
        <n v="3023.0"/>
        <n v="3995.0"/>
        <n v="736.0"/>
        <n v="1505.0"/>
        <n v="4157.0"/>
        <n v="198.0"/>
        <n v="3042.0"/>
        <n v="76.0"/>
        <n v="13887.0"/>
        <n v="723.0"/>
        <n v="1568.0"/>
        <n v="3094.0"/>
        <n v="2109.0"/>
        <n v="7096.0"/>
        <n v="6520.0"/>
        <n v="11798.0"/>
        <n v="6111.0"/>
        <n v="12495.0"/>
        <n v="8636.0"/>
        <n v="3230.0"/>
        <n v="3918.0"/>
        <n v="2268.0"/>
        <n v="816.0"/>
        <n v="1472.0"/>
        <n v="8581.0"/>
        <n v="2816.0"/>
        <n v="9314.0"/>
        <n v="1740.0"/>
        <n v="7277.0"/>
        <n v="4808.0"/>
        <n v="7289.0"/>
        <n v="4317.0"/>
        <n v="100.0"/>
        <n v="2088.0"/>
        <n v="131.0"/>
        <n v="32055.0"/>
        <n v="10451.0"/>
        <n v="863.0"/>
        <n v="2993.0"/>
        <n v="225.0"/>
        <n v="15507.0"/>
        <n v="13874.0"/>
        <n v="12952.0"/>
        <n v="2216.0"/>
        <n v="3151.0"/>
        <n v="2918.0"/>
        <n v="358.0"/>
        <n v="1011.0"/>
        <n v="2419.0"/>
        <n v="1084.0"/>
        <n v="9614.0"/>
        <n v="9904.0"/>
        <n v="905.0"/>
        <n v="1630.0"/>
        <n v="11051.0"/>
        <n v="13077.0"/>
        <n v="3988.0"/>
        <n v="4104.0"/>
        <n v="16691.0"/>
        <n v="1831.0"/>
        <n v="991.0"/>
        <n v="8965.0"/>
        <n v="717.0"/>
        <n v="507.0"/>
        <n v="1870.0"/>
        <n v="1155.0"/>
        <n v="471.0"/>
        <n v="146.0"/>
        <n v="6208.0"/>
        <n v="751.0"/>
        <n v="4807.0"/>
        <n v="13.0"/>
        <n v="2301.0"/>
        <n v="7765.0"/>
        <n v="2998.0"/>
        <n v="236.0"/>
        <n v="7130.0"/>
        <n v="568.0"/>
        <n v="3519.0"/>
        <n v="7981.0"/>
        <n v="2935.0"/>
        <n v="393.0"/>
        <n v="9115.0"/>
        <n v="1550.0"/>
        <n v="242.0"/>
        <n v="735.0"/>
        <n v="2371.0"/>
        <n v="1369.0"/>
        <n v="10525.0"/>
        <n v="114.0"/>
        <n v="27.0"/>
        <n v="235.0"/>
        <n v="426.0"/>
        <n v="11274.0"/>
        <n v="154.0"/>
        <n v="3943.0"/>
        <n v="10347.0"/>
        <n v="5080.0"/>
        <n v="2637.0"/>
        <n v="3989.0"/>
        <n v="1833.0"/>
        <n v="7579.0"/>
        <n v="5800.0"/>
        <n v="91.0"/>
        <n v="5485.0"/>
        <n v="252.0"/>
        <n v="1188.0"/>
        <n v="2002.0"/>
        <n v="5554.0"/>
        <n v="1537.0"/>
        <n v="31410.0"/>
        <n v="1704.0"/>
        <n v="1121.0"/>
        <n v="6079.0"/>
        <n v="1510.0"/>
        <n v="11766.0"/>
        <n v="11180.0"/>
        <n v="1824.0"/>
        <n v="1763.0"/>
        <n v="142.0"/>
        <n v="8565.0"/>
        <n v="2127.0"/>
        <n v="18545.0"/>
        <n v="11353.0"/>
        <n v="2070.0"/>
        <n v="3524.0"/>
        <n v="286.0"/>
        <n v="4876.0"/>
        <n v="272.0"/>
        <n v="916.0"/>
        <n v="23.0"/>
        <n v="13423.0"/>
        <n v="1758.0"/>
        <n v="1735.0"/>
        <n v="428.0"/>
        <n v="2761.0"/>
        <n v="20279.0"/>
        <n v="19601.0"/>
        <n v="259.0"/>
        <n v="121.0"/>
        <n v="307.0"/>
        <n v="88.0"/>
        <n v="1309.0"/>
        <n v="8318.0"/>
        <n v="11782.0"/>
        <n v="17339.0"/>
        <n v="6324.0"/>
        <n v="7327.0"/>
        <n v="840.0"/>
        <n v="138.0"/>
        <n v="5108.0"/>
        <n v="14510.0"/>
        <n v="2081.0"/>
        <n v="2182.0"/>
        <n v="4856.0"/>
        <n v="1948.0"/>
        <n v="10454.0"/>
        <n v="160.0"/>
        <n v="12634.0"/>
        <n v="652.0"/>
        <n v="6584.0"/>
        <n v="8898.0"/>
        <n v="672.0"/>
        <n v="43.0"/>
        <n v="7479.0"/>
        <n v="7415.0"/>
        <n v="13585.0"/>
        <n v="3209.0"/>
        <n v="13849.0"/>
        <n v="16108.0"/>
        <n v="6928.0"/>
        <n v="2561.0"/>
        <n v="111.0"/>
        <n v="1327.0"/>
        <n v="2151.0"/>
        <n v="5573.0"/>
        <n v="488.0"/>
        <n v="139.0"/>
        <n v="86.0"/>
        <n v="340.0"/>
        <n v="1336.0"/>
        <n v="163.0"/>
        <n v="3087.0"/>
        <n v="2513.0"/>
        <n v="11583.0"/>
        <n v="13064.0"/>
        <n v="202.0"/>
        <n v="177.0"/>
        <n v="7848.0"/>
        <n v="6369.0"/>
        <n v="7807.0"/>
        <n v="7739.0"/>
        <n v="9489.0"/>
        <n v="4100.0"/>
        <n v="213.0"/>
        <n v="1686.0"/>
        <n v="1677.0"/>
        <n v="3640.0"/>
        <n v="692.0"/>
        <n v="3096.0"/>
        <n v="143.0"/>
        <n v="6392.0"/>
        <n v="1604.0"/>
        <n v="174.0"/>
        <n v="9046.0"/>
        <n v="835.0"/>
        <n v="3716.0"/>
        <n v="15525.0"/>
        <n v="2179.0"/>
        <n v="11714.0"/>
        <n v="6726.0"/>
        <n v="15270.0"/>
        <n v="251.0"/>
        <n v="15369.0"/>
        <n v="22981.0"/>
        <n v="2258.0"/>
        <n v="1578.0"/>
        <n v="2665.0"/>
        <n v="18711.0"/>
        <n v="6230.0"/>
        <n v="19980.0"/>
        <n v="6971.0"/>
        <n v="4623.0"/>
        <n v="5685.0"/>
        <n v="11331.0"/>
        <n v="1161.0"/>
        <n v="180.0"/>
        <n v="796.0"/>
        <n v="574.0"/>
        <n v="16596.0"/>
        <n v="546.0"/>
        <n v="676.0"/>
        <n v="6007.0"/>
        <n v="238.0"/>
        <n v="2421.0"/>
        <n v="3294.0"/>
        <n v="1818.0"/>
        <n v="2039.0"/>
        <n v="17700.0"/>
        <n v="30.0"/>
        <n v="8606.0"/>
        <n v="1192.0"/>
        <n v="6163.0"/>
        <n v="3144.0"/>
        <n v="7732.0"/>
        <n v="1536.0"/>
        <n v="770.0"/>
        <n v="1777.0"/>
        <n v="71.0"/>
        <n v="7912.0"/>
        <n v="2615.0"/>
        <n v="4442.0"/>
        <n v="3786.0"/>
        <n v="3401.0"/>
        <n v="233.0"/>
        <n v="1319.0"/>
        <n v="2189.0"/>
        <n v="1514.0"/>
        <n v="31.0"/>
        <n v="7392.0"/>
        <n v="3258.0"/>
        <n v="4288.0"/>
        <n v="833.0"/>
        <n v="13193.0"/>
        <n v="13735.0"/>
        <n v="211.0"/>
        <n v="6223.0"/>
        <n v="11335.0"/>
        <n v="8770.0"/>
        <n v="7149.0"/>
        <n v="15971.0"/>
        <n v="15703.0"/>
        <n v="5628.0"/>
        <n v="1829.0"/>
        <n v="5876.0"/>
        <n v="3056.0"/>
        <n v="8121.0"/>
        <n v="262.0"/>
        <n v="56.0"/>
        <n v="6835.0"/>
        <n v="1127.0"/>
        <n v="1340.0"/>
        <n v="279.0"/>
        <n v="293.0"/>
        <n v="5249.0"/>
        <n v="12233.0"/>
        <n v="660.0"/>
        <n v="47.0"/>
        <n v="334.0"/>
        <n v="803.0"/>
        <n v="1117.0"/>
        <n v="3949.0"/>
        <n v="1078.0"/>
        <n v="1335.0"/>
        <n v="7358.0"/>
        <n v="3622.0"/>
        <n v="141.0"/>
        <n v="153.0"/>
        <n v="2400.0"/>
        <n v="10155.0"/>
        <n v="742.0"/>
        <n v="331.0"/>
        <n v="8396.0"/>
        <n v="1150.0"/>
        <n v="6088.0"/>
        <n v="15517.0"/>
        <n v="6158.0"/>
        <n v="12142.0"/>
        <n v="633.0"/>
        <n v="554.0"/>
        <n v="209.0"/>
        <n v="730.0"/>
        <n v="342.0"/>
        <n v="166.0"/>
        <n v="2754.0"/>
        <n v="398.0"/>
        <n v="25175.0"/>
        <n v="2122.0"/>
        <n v="1923.0"/>
        <n v="3982.0"/>
        <n v="1091.0"/>
        <n v="8453.0"/>
        <n v="11166.0"/>
        <n v="12577.0"/>
        <n v="494.0"/>
        <n v="2841.0"/>
        <n v="5927.0"/>
        <n v="7798.0"/>
        <n v="2488.0"/>
        <n v="2497.0"/>
        <n v="7844.0"/>
      </sharedItems>
    </cacheField>
    <cacheField name="racegrp_unknown" numFmtId="0">
      <sharedItems containsString="0" containsBlank="1" containsNumber="1" containsInteger="1">
        <n v="30.0"/>
        <n v="320.0"/>
        <n v="66.0"/>
        <n v="43.0"/>
        <n v="120.0"/>
        <n v="7.0"/>
        <n v="118.0"/>
        <n v="39.0"/>
        <n v="152.0"/>
        <n v="29.0"/>
        <n v="48.0"/>
        <n v="33.0"/>
        <n v="16.0"/>
        <n v="554.0"/>
        <n v="188.0"/>
        <n v="44.0"/>
        <n v="19.0"/>
        <n v="156.0"/>
        <n v="366.0"/>
        <n v="14.0"/>
        <n v="23.0"/>
        <n v="22.0"/>
        <n v="119.0"/>
        <n v="54.0"/>
        <n v="888.0"/>
        <n v="237.0"/>
        <n v="131.0"/>
        <n v="112.0"/>
        <n v="149.0"/>
        <n v="116.0"/>
        <n v="72.0"/>
        <n v="49.0"/>
        <n v="12.0"/>
        <n v="80.0"/>
        <n v="86.0"/>
        <n v="268.0"/>
        <n v="3.0"/>
        <n v="85.0"/>
        <n v="9.0"/>
        <n v="8.0"/>
        <n v="10.0"/>
        <n v="21.0"/>
        <n v="527.0"/>
        <n v="18.0"/>
        <n v="45.0"/>
        <n v="17.0"/>
        <n v="57.0"/>
        <n v="431.0"/>
        <n v="258.0"/>
        <n v="309.0"/>
        <n v="76.0"/>
        <n v="83.0"/>
        <n v="1.0"/>
        <n v="25.0"/>
        <n v="310.0"/>
        <n v="127.0"/>
        <n v="38.0"/>
        <n v="13.0"/>
        <n v="324.0"/>
        <n v="28.0"/>
        <n v="384.0"/>
        <n v="306.0"/>
        <n v="36.0"/>
        <m/>
        <n v="59.0"/>
        <n v="132.0"/>
        <n v="1038.0"/>
        <n v="192.0"/>
        <n v="11.0"/>
        <n v="263.0"/>
        <n v="173.0"/>
        <n v="922.0"/>
        <n v="227.0"/>
        <n v="795.0"/>
        <n v="6.0"/>
        <n v="273.0"/>
        <n v="37.0"/>
        <n v="323.0"/>
        <n v="373.0"/>
        <n v="438.0"/>
        <n v="123.0"/>
        <n v="590.0"/>
        <n v="668.0"/>
        <n v="239.0"/>
        <n v="90.0"/>
        <n v="400.0"/>
        <n v="51.0"/>
        <n v="147.0"/>
        <n v="41.0"/>
        <n v="302.0"/>
        <n v="161.0"/>
        <n v="56.0"/>
        <n v="111.0"/>
        <n v="863.0"/>
        <n v="666.0"/>
        <n v="142.0"/>
        <n v="55.0"/>
        <n v="656.0"/>
        <n v="153.0"/>
        <n v="126.0"/>
        <n v="1570.0"/>
        <n v="146.0"/>
        <n v="553.0"/>
        <n v="539.0"/>
        <n v="204.0"/>
        <n v="15.0"/>
        <n v="2061.0"/>
        <n v="32.0"/>
        <n v="588.0"/>
        <n v="88.0"/>
        <n v="96.0"/>
        <n v="224.0"/>
        <n v="338.0"/>
        <n v="880.0"/>
        <n v="100.0"/>
        <n v="95.0"/>
        <n v="162.0"/>
        <n v="229.0"/>
        <n v="24.0"/>
        <n v="385.0"/>
        <n v="500.0"/>
        <n v="136.0"/>
        <n v="5.0"/>
        <n v="58.0"/>
        <n v="42.0"/>
        <n v="102.0"/>
        <n v="94.0"/>
        <n v="351.0"/>
        <n v="135.0"/>
        <n v="178.0"/>
        <n v="280.0"/>
        <n v="26.0"/>
        <n v="311.0"/>
        <n v="296.0"/>
        <n v="154.0"/>
        <n v="275.0"/>
        <n v="129.0"/>
        <n v="27.0"/>
        <n v="212.0"/>
        <n v="4.0"/>
        <n v="558.0"/>
        <n v="20.0"/>
        <n v="63.0"/>
        <n v="768.0"/>
        <n v="305.0"/>
        <n v="69.0"/>
        <n v="73.0"/>
        <n v="1207.0"/>
        <n v="575.0"/>
        <n v="393.0"/>
        <n v="125.0"/>
        <n v="2.0"/>
        <n v="1311.0"/>
        <n v="133.0"/>
        <n v="47.0"/>
        <n v="284.0"/>
        <n v="67.0"/>
        <n v="687.0"/>
        <n v="433.0"/>
        <n v="194.0"/>
        <n v="425.0"/>
        <n v="342.0"/>
        <n v="347.0"/>
        <n v="333.0"/>
        <n v="386.0"/>
        <n v="546.0"/>
        <n v="75.0"/>
        <n v="50.0"/>
        <n v="79.0"/>
        <n v="461.0"/>
        <n v="633.0"/>
        <n v="190.0"/>
        <n v="1102.0"/>
        <n v="870.0"/>
        <n v="155.0"/>
        <n v="208.0"/>
        <n v="91.0"/>
        <n v="210.0"/>
        <n v="77.0"/>
        <n v="681.0"/>
        <n v="150.0"/>
        <n v="70.0"/>
        <n v="686.0"/>
        <n v="65.0"/>
        <n v="529.0"/>
        <n v="601.0"/>
        <n v="185.0"/>
        <n v="487.0"/>
        <n v="589.0"/>
        <n v="514.0"/>
        <n v="189.0"/>
        <n v="478.0"/>
        <n v="82.0"/>
        <n v="108.0"/>
        <n v="449.0"/>
        <n v="834.0"/>
        <n v="124.0"/>
        <n v="195.0"/>
        <n v="62.0"/>
        <n v="266.0"/>
        <n v="281.0"/>
        <n v="105.0"/>
        <n v="387.0"/>
        <n v="898.0"/>
        <n v="398.0"/>
        <n v="428.0"/>
        <n v="397.0"/>
        <n v="110.0"/>
        <n v="471.0"/>
        <n v="180.0"/>
        <n v="209.0"/>
        <n v="99.0"/>
        <n v="341.0"/>
        <n v="128.0"/>
        <n v="571.0"/>
        <n v="140.0"/>
        <n v="348.0"/>
        <n v="422.0"/>
        <n v="71.0"/>
        <n v="244.0"/>
        <n v="585.0"/>
        <n v="40.0"/>
        <n v="52.0"/>
        <n v="335.0"/>
        <n v="144.0"/>
        <n v="35.0"/>
        <n v="134.0"/>
        <n v="89.0"/>
        <n v="74.0"/>
        <n v="475.0"/>
        <n v="139.0"/>
        <n v="166.0"/>
        <n v="205.0"/>
        <n v="1164.0"/>
        <n v="253.0"/>
        <n v="68.0"/>
        <n v="158.0"/>
        <n v="141.0"/>
        <n v="293.0"/>
        <n v="255.0"/>
        <n v="591.0"/>
      </sharedItems>
    </cacheField>
    <cacheField name="racegrp_other" numFmtId="0">
      <sharedItems containsString="0" containsBlank="1" containsNumber="1" containsInteger="1">
        <n v="513.0"/>
        <n v="3941.0"/>
        <n v="3617.0"/>
        <n v="193.0"/>
        <n v="5733.0"/>
        <n v="109.0"/>
        <n v="1192.0"/>
        <n v="1451.0"/>
        <n v="1818.0"/>
        <n v="30.0"/>
        <n v="3250.0"/>
        <n v="2213.0"/>
        <n v="625.0"/>
        <n v="349.0"/>
        <n v="189.0"/>
        <n v="1797.0"/>
        <n v="4425.0"/>
        <n v="3528.0"/>
        <n v="98.0"/>
        <n v="73.0"/>
        <n v="1022.0"/>
        <n v="3061.0"/>
        <n v="37.0"/>
        <n v="20.0"/>
        <m/>
        <n v="3946.0"/>
        <n v="1064.0"/>
        <n v="2500.0"/>
        <n v="2201.0"/>
        <n v="1442.0"/>
        <n v="443.0"/>
        <n v="777.0"/>
        <n v="2493.0"/>
        <n v="124.0"/>
        <n v="80.0"/>
        <n v="394.0"/>
        <n v="31.0"/>
        <n v="1036.0"/>
        <n v="2341.0"/>
        <n v="715.0"/>
        <n v="1789.0"/>
        <n v="3557.0"/>
        <n v="190.0"/>
        <n v="32.0"/>
        <n v="68.0"/>
        <n v="27.0"/>
        <n v="490.0"/>
        <n v="1963.0"/>
        <n v="55.0"/>
        <n v="81.0"/>
        <n v="1318.0"/>
        <n v="2844.0"/>
        <n v="113.0"/>
        <n v="12.0"/>
        <n v="2892.0"/>
        <n v="40.0"/>
        <n v="306.0"/>
        <n v="1444.0"/>
        <n v="58.0"/>
        <n v="216.0"/>
        <n v="583.0"/>
        <n v="145.0"/>
        <n v="76.0"/>
        <n v="572.0"/>
        <n v="179.0"/>
        <n v="66.0"/>
        <n v="997.0"/>
        <n v="2088.0"/>
        <n v="7346.0"/>
        <n v="202.0"/>
        <n v="13.0"/>
        <n v="887.0"/>
        <n v="290.0"/>
        <n v="152.0"/>
        <n v="1269.0"/>
        <n v="3176.0"/>
        <n v="270.0"/>
        <n v="684.0"/>
        <n v="286.0"/>
        <n v="104.0"/>
        <n v="9055.0"/>
        <n v="116.0"/>
        <n v="1450.0"/>
        <n v="2669.0"/>
        <n v="2276.0"/>
        <n v="427.0"/>
        <n v="3875.0"/>
        <n v="2025.0"/>
        <n v="3803.0"/>
        <n v="1600.0"/>
        <n v="181.0"/>
        <n v="64.0"/>
        <n v="106.0"/>
        <n v="223.0"/>
        <n v="161.0"/>
        <n v="2513.0"/>
        <n v="125.0"/>
        <n v="1216.0"/>
        <n v="10451.0"/>
        <n v="9339.0"/>
        <n v="2180.0"/>
        <n v="6827.0"/>
        <n v="140.0"/>
        <n v="7028.0"/>
        <n v="10911.0"/>
        <n v="4722.0"/>
        <n v="4809.0"/>
        <n v="3386.0"/>
        <n v="215.0"/>
        <n v="4665.0"/>
        <n v="321.0"/>
        <n v="3363.0"/>
        <n v="825.0"/>
        <n v="1915.0"/>
        <n v="34.0"/>
        <n v="3077.0"/>
        <n v="4235.0"/>
        <n v="39.0"/>
        <n v="213.0"/>
        <n v="4334.0"/>
        <n v="746.0"/>
        <n v="2074.0"/>
        <n v="267.0"/>
        <n v="3332.0"/>
        <n v="6693.0"/>
        <n v="446.0"/>
        <n v="2393.0"/>
        <n v="11.0"/>
        <n v="1446.0"/>
        <n v="1898.0"/>
        <n v="2119.0"/>
        <n v="1095.0"/>
        <n v="13122.0"/>
        <n v="1885.0"/>
        <n v="5271.0"/>
        <n v="709.0"/>
        <n v="1295.0"/>
        <n v="4432.0"/>
        <n v="461.0"/>
        <n v="1135.0"/>
        <n v="108.0"/>
        <n v="2299.0"/>
        <n v="2454.0"/>
        <n v="3004.0"/>
        <n v="1931.0"/>
        <n v="317.0"/>
        <n v="11784.0"/>
        <n v="23321.0"/>
        <n v="318.0"/>
        <n v="10315.0"/>
        <n v="1866.0"/>
        <n v="2717.0"/>
        <n v="29.0"/>
        <n v="3717.0"/>
        <n v="16.0"/>
        <n v="7893.0"/>
        <n v="5772.0"/>
        <n v="12893.0"/>
        <n v="245.0"/>
        <n v="170.0"/>
        <n v="743.0"/>
        <n v="240.0"/>
        <n v="36.0"/>
        <n v="437.0"/>
        <n v="182.0"/>
        <n v="45.0"/>
        <n v="1050.0"/>
        <n v="1515.0"/>
        <n v="532.0"/>
        <n v="143.0"/>
        <n v="43.0"/>
        <n v="1371.0"/>
        <n v="232.0"/>
        <n v="8239.0"/>
        <n v="653.0"/>
        <n v="442.0"/>
        <n v="172.0"/>
        <n v="2902.0"/>
        <n v="2588.0"/>
        <n v="19.0"/>
        <n v="661.0"/>
        <n v="178.0"/>
        <n v="551.0"/>
        <n v="1330.0"/>
        <n v="4403.0"/>
        <n v="1555.0"/>
        <n v="1652.0"/>
        <n v="474.0"/>
        <n v="402.0"/>
        <n v="669.0"/>
        <n v="2158.0"/>
        <n v="4289.0"/>
        <n v="937.0"/>
        <n v="1741.0"/>
        <n v="2458.0"/>
        <n v="2168.0"/>
        <n v="1121.0"/>
        <n v="847.0"/>
        <n v="271.0"/>
        <n v="5227.0"/>
        <n v="22.0"/>
        <n v="299.0"/>
        <n v="9792.0"/>
        <n v="53.0"/>
        <n v="235.0"/>
        <n v="122.0"/>
        <n v="2835.0"/>
        <n v="4051.0"/>
        <n v="973.0"/>
        <n v="4564.0"/>
        <n v="4287.0"/>
        <n v="636.0"/>
        <n v="293.0"/>
        <n v="538.0"/>
        <n v="9962.0"/>
        <n v="338.0"/>
        <n v="5540.0"/>
        <n v="2990.0"/>
        <n v="5078.0"/>
        <n v="177.0"/>
        <n v="5439.0"/>
        <n v="1355.0"/>
        <n v="1974.0"/>
        <n v="1636.0"/>
        <n v="2675.0"/>
        <n v="2903.0"/>
        <n v="3027.0"/>
        <n v="7416.0"/>
        <n v="7432.0"/>
        <n v="3580.0"/>
        <n v="1327.0"/>
        <n v="374.0"/>
        <n v="420.0"/>
        <n v="658.0"/>
        <n v="17.0"/>
        <n v="133.0"/>
        <n v="156.0"/>
        <n v="1544.0"/>
        <n v="79.0"/>
        <n v="17840.0"/>
        <n v="6350.0"/>
        <n v="180.0"/>
        <n v="2523.0"/>
        <n v="7915.0"/>
        <n v="741.0"/>
        <n v="2773.0"/>
        <n v="2496.0"/>
        <n v="4671.0"/>
        <n v="159.0"/>
        <n v="10023.0"/>
        <n v="23.0"/>
        <n v="6365.0"/>
        <n v="412.0"/>
        <n v="25.0"/>
        <n v="434.0"/>
        <n v="6122.0"/>
        <n v="5484.0"/>
        <n v="10830.0"/>
        <n v="50.0"/>
        <n v="8423.0"/>
        <n v="3562.0"/>
        <n v="844.0"/>
        <n v="789.0"/>
        <n v="2177.0"/>
        <n v="1825.0"/>
        <n v="11075.0"/>
        <n v="10609.0"/>
        <n v="927.0"/>
        <n v="477.0"/>
        <n v="1783.0"/>
        <n v="382.0"/>
        <n v="33.0"/>
        <n v="3360.0"/>
        <n v="47.0"/>
        <n v="153.0"/>
        <n v="2696.0"/>
        <n v="101.0"/>
        <n v="67.0"/>
        <n v="480.0"/>
        <n v="5431.0"/>
        <n v="577.0"/>
        <n v="395.0"/>
        <n v="6932.0"/>
        <n v="2230.0"/>
        <n v="820.0"/>
        <n v="990.0"/>
        <n v="468.0"/>
        <n v="5485.0"/>
        <n v="4507.0"/>
        <n v="1067.0"/>
        <n v="332.0"/>
        <n v="1325.0"/>
        <n v="6112.0"/>
        <n v="298.0"/>
        <n v="506.0"/>
        <n v="752.0"/>
        <n v="774.0"/>
        <n v="60.0"/>
        <n v="368.0"/>
        <n v="1028.0"/>
        <n v="131.0"/>
        <n v="730.0"/>
        <n v="2008.0"/>
        <n v="114.0"/>
        <n v="1017.0"/>
        <n v="2860.0"/>
        <n v="3429.0"/>
        <n v="249.0"/>
        <n v="5225.0"/>
        <n v="2667.0"/>
        <n v="192.0"/>
        <n v="188.0"/>
        <n v="7586.0"/>
        <n v="4464.0"/>
        <n v="455.0"/>
        <n v="6151.0"/>
        <n v="4579.0"/>
        <n v="95.0"/>
        <n v="2581.0"/>
        <n v="408.0"/>
        <n v="3208.0"/>
        <n v="110.0"/>
        <n v="224.0"/>
        <n v="917.0"/>
        <n v="61.0"/>
        <n v="2097.0"/>
        <n v="527.0"/>
        <n v="518.0"/>
        <n v="793.0"/>
        <n v="1381.0"/>
        <n v="62.0"/>
        <n v="119.0"/>
        <n v="2057.0"/>
        <n v="1884.0"/>
        <n v="7911.0"/>
        <n v="2450.0"/>
        <n v="5595.0"/>
        <n v="28.0"/>
        <n v="227.0"/>
        <n v="35.0"/>
        <n v="51.0"/>
        <n v="589.0"/>
        <n v="896.0"/>
        <n v="4282.0"/>
        <n v="117.0"/>
        <n v="763.0"/>
        <n v="5981.0"/>
        <n v="2640.0"/>
        <n v="357.0"/>
        <n v="924.0"/>
        <n v="1668.0"/>
        <n v="1484.0"/>
        <n v="1394.0"/>
      </sharedItems>
    </cacheField>
    <cacheField name="racegrp_multirace" numFmtId="0">
      <sharedItems containsString="0" containsBlank="1" containsNumber="1" containsInteger="1">
        <n v="66.0"/>
        <n v="269.0"/>
        <n v="430.0"/>
        <n v="65.0"/>
        <n v="465.0"/>
        <m/>
        <n v="71.0"/>
        <n v="40.0"/>
        <n v="229.0"/>
        <n v="175.0"/>
        <n v="147.0"/>
        <n v="370.0"/>
        <n v="567.0"/>
        <n v="41.0"/>
        <n v="72.0"/>
        <n v="206.0"/>
        <n v="46.0"/>
        <n v="172.0"/>
        <n v="97.0"/>
        <n v="792.0"/>
        <n v="227.0"/>
        <n v="144.0"/>
        <n v="16.0"/>
        <n v="59.0"/>
        <n v="125.0"/>
        <n v="81.0"/>
        <n v="24.0"/>
        <n v="26.0"/>
        <n v="211.0"/>
        <n v="594.0"/>
        <n v="49.0"/>
        <n v="79.0"/>
        <n v="51.0"/>
        <n v="56.0"/>
        <n v="101.0"/>
        <n v="68.0"/>
        <n v="21.0"/>
        <n v="45.0"/>
        <n v="15.0"/>
        <n v="47.0"/>
        <n v="23.0"/>
        <n v="12.0"/>
        <n v="55.0"/>
        <n v="350.0"/>
        <n v="226.0"/>
        <n v="28.0"/>
        <n v="303.0"/>
        <n v="87.0"/>
        <n v="20.0"/>
        <n v="626.0"/>
        <n v="115.0"/>
        <n v="50.0"/>
        <n v="13.0"/>
        <n v="14.0"/>
        <n v="11.0"/>
        <n v="35.0"/>
        <n v="731.0"/>
        <n v="1354.0"/>
        <n v="366.0"/>
        <n v="183.0"/>
        <n v="85.0"/>
        <n v="34.0"/>
        <n v="153.0"/>
        <n v="587.0"/>
        <n v="75.0"/>
        <n v="280.0"/>
        <n v="18.0"/>
        <n v="33.0"/>
        <n v="307.0"/>
        <n v="60.0"/>
        <n v="1384.0"/>
        <n v="112.0"/>
        <n v="111.0"/>
        <n v="2473.0"/>
        <n v="369.0"/>
        <n v="36.0"/>
        <n v="113.0"/>
        <n v="523.0"/>
        <n v="363.0"/>
        <n v="509.0"/>
        <n v="615.0"/>
        <n v="221.0"/>
        <n v="31.0"/>
        <n v="446.0"/>
        <n v="53.0"/>
        <n v="130.0"/>
        <n v="390.0"/>
        <n v="255.0"/>
        <n v="266.0"/>
        <n v="89.0"/>
        <n v="29.0"/>
        <n v="54.0"/>
        <n v="787.0"/>
        <n v="42.0"/>
        <n v="423.0"/>
        <n v="58.0"/>
        <n v="275.0"/>
        <n v="76.0"/>
        <n v="22.0"/>
        <n v="96.0"/>
        <n v="395.0"/>
        <n v="37.0"/>
        <n v="73.0"/>
        <n v="64.0"/>
        <n v="411.0"/>
        <n v="48.0"/>
        <n v="372.0"/>
        <n v="1302.0"/>
        <n v="39.0"/>
        <n v="171.0"/>
        <n v="398.0"/>
        <n v="361.0"/>
        <n v="142.0"/>
        <n v="174.0"/>
        <n v="504.0"/>
        <n v="713.0"/>
        <n v="25.0"/>
        <n v="246.0"/>
        <n v="1605.0"/>
        <n v="27.0"/>
        <n v="327.0"/>
        <n v="578.0"/>
        <n v="271.0"/>
        <n v="70.0"/>
        <n v="162.0"/>
        <n v="1511.0"/>
        <n v="711.0"/>
        <n v="476.0"/>
        <n v="83.0"/>
        <n v="145.0"/>
        <n v="704.0"/>
        <n v="19.0"/>
        <n v="136.0"/>
        <n v="657.0"/>
        <n v="1516.0"/>
        <n v="236.0"/>
        <n v="116.0"/>
        <n v="213.0"/>
        <n v="1158.0"/>
        <n v="80.0"/>
        <n v="1351.0"/>
        <n v="314.0"/>
        <n v="760.0"/>
        <n v="272.0"/>
        <n v="421.0"/>
        <n v="77.0"/>
        <n v="1587.0"/>
        <n v="107.0"/>
        <n v="74.0"/>
        <n v="267.0"/>
        <n v="108.0"/>
        <n v="294.0"/>
        <n v="160.0"/>
        <n v="17.0"/>
        <n v="43.0"/>
        <n v="905.0"/>
        <n v="1380.0"/>
        <n v="346.0"/>
        <n v="187.0"/>
        <n v="3962.0"/>
        <n v="305.0"/>
        <n v="403.0"/>
        <n v="827.0"/>
        <n v="88.0"/>
        <n v="322.0"/>
        <n v="114.0"/>
        <n v="511.0"/>
        <n v="207.0"/>
        <n v="562.0"/>
        <n v="413.0"/>
        <n v="178.0"/>
        <n v="495.0"/>
        <n v="790.0"/>
        <n v="109.0"/>
        <n v="526.0"/>
        <n v="257.0"/>
        <n v="151.0"/>
        <n v="52.0"/>
        <n v="167.0"/>
        <n v="134.0"/>
        <n v="315.0"/>
        <n v="326.0"/>
        <n v="94.0"/>
        <n v="124.0"/>
        <n v="63.0"/>
        <n v="44.0"/>
        <n v="201.0"/>
        <n v="32.0"/>
        <n v="356.0"/>
        <n v="583.0"/>
        <n v="197.0"/>
        <n v="106.0"/>
      </sharedItems>
    </cacheField>
    <cacheField name="Admt_Non_HCF" numFmtId="0">
      <sharedItems containsString="0" containsBlank="1" containsNumber="1" containsInteger="1">
        <n v="1823.0"/>
        <n v="9681.0"/>
        <n v="4553.0"/>
        <n v="429.0"/>
        <n v="12615.0"/>
        <m/>
        <n v="8563.0"/>
        <n v="3206.0"/>
        <n v="7405.0"/>
        <n v="322.0"/>
        <n v="63.0"/>
        <n v="6147.0"/>
        <n v="3723.0"/>
        <n v="807.0"/>
        <n v="334.0"/>
        <n v="7659.0"/>
        <n v="18889.0"/>
        <n v="10460.0"/>
        <n v="2040.0"/>
        <n v="298.0"/>
        <n v="11091.0"/>
        <n v="16005.0"/>
        <n v="72.0"/>
        <n v="763.0"/>
        <n v="465.0"/>
        <n v="5135.0"/>
        <n v="5688.0"/>
        <n v="15808.0"/>
        <n v="10115.0"/>
        <n v="9519.0"/>
        <n v="3546.0"/>
        <n v="526.0"/>
        <n v="8093.0"/>
        <n v="1848.0"/>
        <n v="1200.0"/>
        <n v="3714.0"/>
        <n v="2.0"/>
        <n v="17648.0"/>
        <n v="714.0"/>
        <n v="32819.0"/>
        <n v="1531.0"/>
        <n v="19574.0"/>
        <n v="11.0"/>
        <n v="915.0"/>
        <n v="7686.0"/>
        <n v="216.0"/>
        <n v="1219.0"/>
        <n v="31.0"/>
        <n v="588.0"/>
        <n v="5765.0"/>
        <n v="20.0"/>
        <n v="3682.0"/>
        <n v="4128.0"/>
        <n v="662.0"/>
        <n v="2030.0"/>
        <n v="11574.0"/>
        <n v="8105.0"/>
        <n v="333.0"/>
        <n v="8714.0"/>
        <n v="4.0"/>
        <n v="1561.0"/>
        <n v="12411.0"/>
        <n v="1.0"/>
        <n v="3.0"/>
        <n v="1255.0"/>
        <n v="2073.0"/>
        <n v="947.0"/>
        <n v="8006.0"/>
        <n v="1067.0"/>
        <n v="1462.0"/>
        <n v="608.0"/>
        <n v="2639.0"/>
        <n v="556.0"/>
        <n v="14960.0"/>
        <n v="8539.0"/>
        <n v="28.0"/>
        <n v="6670.0"/>
        <n v="7054.0"/>
        <n v="12133.0"/>
        <n v="12409.0"/>
        <n v="49.0"/>
        <n v="4387.0"/>
        <n v="13057.0"/>
        <n v="2361.0"/>
        <n v="3129.0"/>
        <n v="3109.0"/>
        <n v="645.0"/>
        <n v="6025.0"/>
        <n v="474.0"/>
        <n v="6854.0"/>
        <n v="8776.0"/>
        <n v="1982.0"/>
        <n v="1172.0"/>
        <n v="4154.0"/>
        <n v="6466.0"/>
        <n v="51.0"/>
        <n v="14229.0"/>
        <n v="2036.0"/>
        <n v="35.0"/>
        <n v="11188.0"/>
        <n v="15813.0"/>
        <n v="10965.0"/>
        <n v="20846.0"/>
        <n v="5576.0"/>
        <n v="23571.0"/>
        <n v="14084.0"/>
        <n v="10169.0"/>
        <n v="6905.0"/>
        <n v="7749.0"/>
        <n v="868.0"/>
        <n v="14845.0"/>
        <n v="4383.0"/>
        <n v="10715.0"/>
        <n v="5292.0"/>
        <n v="8161.0"/>
        <n v="3972.0"/>
        <n v="14252.0"/>
        <n v="11067.0"/>
        <n v="15.0"/>
        <n v="2156.0"/>
        <n v="26.0"/>
        <n v="37363.0"/>
        <n v="11062.0"/>
        <n v="1119.0"/>
        <n v="4386.0"/>
        <n v="19287.0"/>
        <n v="19249.0"/>
        <n v="11171.0"/>
        <n v="187.0"/>
        <n v="2948.0"/>
        <n v="4139.0"/>
        <n v="498.0"/>
        <n v="11048.0"/>
        <n v="2264.0"/>
        <n v="2684.0"/>
        <n v="11010.0"/>
        <n v="11175.0"/>
        <n v="14167.0"/>
        <n v="1896.0"/>
        <n v="3491.0"/>
        <n v="18377.0"/>
        <n v="9351.0"/>
        <n v="4574.0"/>
        <n v="99.0"/>
        <n v="6904.0"/>
        <n v="13815.0"/>
        <n v="4663.0"/>
        <n v="10.0"/>
        <n v="10364.0"/>
        <n v="854.0"/>
        <n v="672.0"/>
        <n v="15698.0"/>
        <n v="23739.0"/>
        <n v="9297.0"/>
        <n v="9936.0"/>
        <n v="183.0"/>
        <n v="7123.0"/>
        <n v="896.0"/>
        <n v="6342.0"/>
        <n v="17.0"/>
        <n v="8946.0"/>
        <n v="7008.0"/>
        <n v="14198.0"/>
        <n v="19.0"/>
        <n v="8940.0"/>
        <n v="680.0"/>
        <n v="2820.0"/>
        <n v="6571.0"/>
        <n v="3120.0"/>
        <n v="7742.0"/>
        <n v="1802.0"/>
        <n v="267.0"/>
        <n v="613.0"/>
        <n v="2696.0"/>
        <n v="1323.0"/>
        <n v="1757.0"/>
        <n v="8939.0"/>
        <n v="5.0"/>
        <n v="23.0"/>
        <n v="157.0"/>
        <n v="486.0"/>
        <n v="12858.0"/>
        <n v="307.0"/>
        <n v="10415.0"/>
        <n v="6386.0"/>
        <n v="4623.0"/>
        <n v="1505.0"/>
        <n v="4025.0"/>
        <n v="1374.0"/>
        <n v="10354.0"/>
        <n v="11092.0"/>
        <n v="6300.0"/>
        <n v="1365.0"/>
        <n v="1939.0"/>
        <n v="12141.0"/>
        <n v="2832.0"/>
        <n v="31478.0"/>
        <n v="2067.0"/>
        <n v="2302.0"/>
        <n v="7351.0"/>
        <n v="1799.0"/>
        <n v="12492.0"/>
        <n v="15585.0"/>
        <n v="2650.0"/>
        <n v="2757.0"/>
        <n v="6.0"/>
        <n v="10031.0"/>
        <n v="1758.0"/>
        <n v="18658.0"/>
        <n v="13484.0"/>
        <n v="2686.0"/>
        <n v="4436.0"/>
        <n v="7497.0"/>
        <n v="1134.0"/>
        <n v="20863.0"/>
        <n v="1639.0"/>
        <n v="2005.0"/>
        <n v="112.0"/>
        <n v="2805.0"/>
        <n v="21034.0"/>
        <n v="20301.0"/>
        <n v="64.0"/>
        <n v="274.0"/>
        <n v="81.0"/>
        <n v="1496.0"/>
        <n v="8694.0"/>
        <n v="12968.0"/>
        <n v="21544.0"/>
        <n v="7312.0"/>
        <n v="5827.0"/>
        <n v="233.0"/>
        <n v="242.0"/>
        <n v="4890.0"/>
        <n v="22030.0"/>
        <n v="2101.0"/>
        <n v="2947.0"/>
        <n v="8322.0"/>
        <n v="4153.0"/>
        <n v="15334.0"/>
        <n v="382.0"/>
        <n v="18989.0"/>
        <n v="8784.0"/>
        <n v="10801.0"/>
        <n v="10654.0"/>
        <n v="10473.0"/>
        <n v="15988.0"/>
        <n v="7654.0"/>
        <n v="19904.0"/>
        <n v="22612.0"/>
        <n v="13886.0"/>
        <n v="228.0"/>
        <n v="383.0"/>
        <n v="637.0"/>
        <n v="6713.0"/>
        <n v="655.0"/>
        <n v="2375.0"/>
        <n v="165.0"/>
        <n v="3852.0"/>
        <n v="2643.0"/>
        <n v="25720.0"/>
        <n v="18191.0"/>
        <n v="236.0"/>
        <n v="8774.0"/>
        <n v="13245.0"/>
        <n v="8593.0"/>
        <n v="12425.0"/>
        <n v="13221.0"/>
        <n v="4723.0"/>
        <n v="253.0"/>
        <n v="1793.0"/>
        <n v="381.0"/>
        <n v="374.0"/>
        <n v="8197.0"/>
        <n v="21.0"/>
        <n v="14849.0"/>
        <n v="1852.0"/>
        <n v="9689.0"/>
        <n v="911.0"/>
        <n v="4158.0"/>
        <n v="13441.0"/>
        <n v="2458.0"/>
        <n v="18470.0"/>
        <n v="7675.0"/>
        <n v="22594.0"/>
        <n v="20502.0"/>
        <n v="24979.0"/>
        <n v="835.0"/>
        <n v="787.0"/>
        <n v="4967.0"/>
        <n v="18999.0"/>
        <n v="7647.0"/>
        <n v="30005.0"/>
        <n v="15406.0"/>
        <n v="4929.0"/>
        <n v="2770.0"/>
        <n v="12548.0"/>
        <n v="376.0"/>
        <n v="194.0"/>
        <n v="18198.0"/>
        <n v="7.0"/>
        <n v="36.0"/>
        <n v="10632.0"/>
        <n v="68.0"/>
        <n v="2425.0"/>
        <n v="11973.0"/>
        <n v="2231.0"/>
        <n v="3589.0"/>
        <n v="19847.0"/>
        <n v="1034.0"/>
        <n v="12215.0"/>
        <n v="3607.0"/>
        <n v="2627.0"/>
        <n v="6244.0"/>
        <n v="7238.0"/>
        <n v="15462.0"/>
        <n v="3040.0"/>
        <n v="3107.0"/>
        <n v="12970.0"/>
        <n v="2402.0"/>
        <n v="3962.0"/>
        <n v="4059.0"/>
        <n v="3566.0"/>
        <n v="1898.0"/>
        <n v="5110.0"/>
        <n v="3262.0"/>
        <n v="10836.0"/>
        <n v="2116.0"/>
        <n v="6524.0"/>
        <n v="888.0"/>
        <n v="2192.0"/>
        <n v="10641.0"/>
        <n v="12565.0"/>
        <n v="115.0"/>
        <n v="10068.0"/>
        <n v="18832.0"/>
        <n v="9945.0"/>
        <n v="8678.0"/>
        <n v="13926.0"/>
        <n v="28192.0"/>
        <n v="10680.0"/>
        <n v="123.0"/>
        <n v="8221.0"/>
        <n v="3017.0"/>
        <n v="15140.0"/>
        <n v="8407.0"/>
        <n v="964.0"/>
        <n v="3403.0"/>
        <n v="361.0"/>
        <n v="152.0"/>
        <n v="5479.0"/>
        <n v="11117.0"/>
        <n v="56.0"/>
        <n v="602.0"/>
        <n v="1175.0"/>
        <n v="6013.0"/>
        <n v="73.0"/>
        <n v="3142.0"/>
        <n v="9607.0"/>
        <n v="5206.0"/>
        <n v="363.0"/>
        <n v="181.0"/>
        <n v="463.0"/>
        <n v="2017.0"/>
        <n v="9427.0"/>
        <n v="630.0"/>
        <n v="8975.0"/>
        <n v="66.0"/>
        <n v="6906.0"/>
        <n v="18195.0"/>
        <n v="8026.0"/>
        <n v="16593.0"/>
        <n v="604.0"/>
        <n v="230.0"/>
        <n v="14.0"/>
        <n v="664.0"/>
        <n v="214.0"/>
        <n v="2852.0"/>
        <n v="153.0"/>
        <n v="19168.0"/>
        <n v="4904.0"/>
        <n v="1778.0"/>
        <n v="3684.0"/>
        <n v="164.0"/>
        <n v="9164.0"/>
        <n v="11342.0"/>
        <n v="171.0"/>
        <n v="6789.0"/>
        <n v="8557.0"/>
        <n v="3133.0"/>
        <n v="3374.0"/>
        <n v="9893.0"/>
      </sharedItems>
    </cacheField>
    <cacheField name="Admt_Clinic_Dr" numFmtId="0">
      <sharedItems containsString="0" containsBlank="1" containsNumber="1" containsInteger="1">
        <n v="5.0"/>
        <n v="107.0"/>
        <n v="869.0"/>
        <n v="9.0"/>
        <n v="637.0"/>
        <m/>
        <n v="129.0"/>
        <n v="37.0"/>
        <n v="2109.0"/>
        <n v="162.0"/>
        <n v="117.0"/>
        <n v="3.0"/>
        <n v="71.0"/>
        <n v="145.0"/>
        <n v="153.0"/>
        <n v="20.0"/>
        <n v="2.0"/>
        <n v="470.0"/>
        <n v="54.0"/>
        <n v="1.0"/>
        <n v="636.0"/>
        <n v="50.0"/>
        <n v="415.0"/>
        <n v="273.0"/>
        <n v="262.0"/>
        <n v="17.0"/>
        <n v="116.0"/>
        <n v="16.0"/>
        <n v="405.0"/>
        <n v="547.0"/>
        <n v="26.0"/>
        <n v="214.0"/>
        <n v="25.0"/>
        <n v="2363.0"/>
        <n v="135.0"/>
        <n v="4.0"/>
        <n v="84.0"/>
        <n v="554.0"/>
        <n v="103.0"/>
        <n v="3033.0"/>
        <n v="1648.0"/>
        <n v="1685.0"/>
        <n v="2238.0"/>
        <n v="12.0"/>
        <n v="553.0"/>
        <n v="29.0"/>
        <n v="77.0"/>
        <n v="324.0"/>
        <n v="28.0"/>
        <n v="203.0"/>
        <n v="46.0"/>
        <n v="4527.0"/>
        <n v="1254.0"/>
        <n v="143.0"/>
        <n v="461.0"/>
        <n v="39.0"/>
        <n v="11.0"/>
        <n v="151.0"/>
        <n v="68.0"/>
        <n v="508.0"/>
        <n v="4554.0"/>
        <n v="13.0"/>
        <n v="6.0"/>
        <n v="10.0"/>
        <n v="67.0"/>
        <n v="15.0"/>
        <n v="18.0"/>
        <n v="319.0"/>
        <n v="83.0"/>
        <n v="224.0"/>
        <n v="140.0"/>
        <n v="1812.0"/>
        <n v="78.0"/>
        <n v="466.0"/>
        <n v="70.0"/>
        <n v="995.0"/>
        <n v="348.0"/>
        <n v="157.0"/>
        <n v="483.0"/>
        <n v="19.0"/>
        <n v="43.0"/>
        <n v="63.0"/>
        <n v="114.0"/>
        <n v="14.0"/>
        <n v="1573.0"/>
        <n v="839.0"/>
        <n v="38.0"/>
        <n v="124.0"/>
        <n v="81.0"/>
        <n v="1176.0"/>
        <n v="7.0"/>
        <n v="816.0"/>
        <n v="34.0"/>
        <n v="66.0"/>
        <n v="3129.0"/>
        <n v="238.0"/>
        <n v="180.0"/>
        <n v="837.0"/>
        <n v="1075.0"/>
        <n v="575.0"/>
        <n v="944.0"/>
        <n v="87.0"/>
        <n v="367.0"/>
        <n v="1826.0"/>
        <n v="2248.0"/>
        <n v="701.0"/>
        <n v="325.0"/>
        <n v="232.0"/>
        <n v="1209.0"/>
        <n v="434.0"/>
        <n v="24.0"/>
        <n v="780.0"/>
        <n v="41.0"/>
        <n v="1048.0"/>
        <n v="36.0"/>
        <n v="476.0"/>
        <n v="270.0"/>
        <n v="1611.0"/>
        <n v="260.0"/>
        <n v="33.0"/>
        <n v="916.0"/>
        <n v="778.0"/>
        <n v="32.0"/>
        <n v="23.0"/>
        <n v="246.0"/>
        <n v="555.0"/>
        <n v="92.0"/>
        <n v="178.0"/>
        <n v="320.0"/>
        <n v="132.0"/>
        <n v="309.0"/>
        <n v="661.0"/>
        <n v="1822.0"/>
        <n v="69.0"/>
        <n v="512.0"/>
        <n v="31.0"/>
        <n v="1078.0"/>
        <n v="1179.0"/>
        <n v="40.0"/>
        <n v="253.0"/>
        <n v="531.0"/>
        <n v="45.0"/>
        <n v="231.0"/>
        <n v="398.0"/>
        <n v="3083.0"/>
        <n v="98.0"/>
        <n v="106.0"/>
        <n v="423.0"/>
        <n v="363.0"/>
        <n v="297.0"/>
        <n v="127.0"/>
        <n v="95.0"/>
        <n v="2383.0"/>
        <n v="408.0"/>
        <n v="753.0"/>
        <n v="825.0"/>
        <n v="2308.0"/>
        <n v="900.0"/>
        <n v="401.0"/>
        <n v="61.0"/>
        <n v="51.0"/>
        <n v="690.0"/>
        <n v="2352.0"/>
        <n v="1785.0"/>
        <n v="108.0"/>
        <n v="1455.0"/>
        <n v="936.0"/>
        <n v="1390.0"/>
        <n v="574.0"/>
        <n v="539.0"/>
        <n v="1485.0"/>
        <n v="808.0"/>
        <n v="3270.0"/>
        <n v="75.0"/>
        <n v="719.0"/>
        <n v="125.0"/>
        <n v="58.0"/>
        <n v="1561.0"/>
        <n v="9426.0"/>
        <n v="82.0"/>
        <n v="197.0"/>
        <n v="137.0"/>
        <n v="1453.0"/>
        <n v="1696.0"/>
        <n v="42.0"/>
        <n v="196.0"/>
        <n v="211.0"/>
        <n v="456.0"/>
        <n v="156.0"/>
        <n v="57.0"/>
        <n v="149.0"/>
        <n v="55.0"/>
        <n v="2152.0"/>
        <n v="169.0"/>
        <n v="1784.0"/>
        <n v="579.0"/>
        <n v="841.0"/>
        <n v="3648.0"/>
        <n v="595.0"/>
        <n v="2950.0"/>
        <n v="896.0"/>
        <n v="100.0"/>
        <n v="450.0"/>
        <n v="155.0"/>
        <n v="109.0"/>
        <n v="429.0"/>
        <n v="403.0"/>
        <n v="27.0"/>
        <n v="44.0"/>
        <n v="222.0"/>
        <n v="91.0"/>
        <n v="374.0"/>
        <n v="235.0"/>
        <n v="136.0"/>
        <n v="1961.0"/>
        <n v="9870.0"/>
        <n v="3002.0"/>
        <n v="147.0"/>
      </sharedItems>
    </cacheField>
    <cacheField name="Admt_Hosp_Dif" numFmtId="0">
      <sharedItems containsString="0" containsBlank="1" containsNumber="1" containsInteger="1">
        <n v="461.0"/>
        <n v="829.0"/>
        <n v="1766.0"/>
        <n v="1076.0"/>
        <n v="1380.0"/>
        <n v="331.0"/>
        <n v="1170.0"/>
        <n v="152.0"/>
        <m/>
        <n v="18.0"/>
        <n v="4629.0"/>
        <n v="225.0"/>
        <n v="427.0"/>
        <n v="314.0"/>
        <n v="102.0"/>
        <n v="200.0"/>
        <n v="1421.0"/>
        <n v="498.0"/>
        <n v="26.0"/>
        <n v="97.0"/>
        <n v="10.0"/>
        <n v="516.0"/>
        <n v="131.0"/>
        <n v="1.0"/>
        <n v="176.0"/>
        <n v="305.0"/>
        <n v="62.0"/>
        <n v="1908.0"/>
        <n v="564.0"/>
        <n v="600.0"/>
        <n v="5.0"/>
        <n v="2573.0"/>
        <n v="252.0"/>
        <n v="87.0"/>
        <n v="13.0"/>
        <n v="297.0"/>
        <n v="28.0"/>
        <n v="2.0"/>
        <n v="3322.0"/>
        <n v="188.0"/>
        <n v="203.0"/>
        <n v="1368.0"/>
        <n v="3.0"/>
        <n v="161.0"/>
        <n v="20.0"/>
        <n v="237.0"/>
        <n v="162.0"/>
        <n v="16.0"/>
        <n v="93.0"/>
        <n v="369.0"/>
        <n v="232.0"/>
        <n v="9.0"/>
        <n v="15.0"/>
        <n v="1016.0"/>
        <n v="189.0"/>
        <n v="183.0"/>
        <n v="7.0"/>
        <n v="1625.0"/>
        <n v="280.0"/>
        <n v="1662.0"/>
        <n v="1077.0"/>
        <n v="21.0"/>
        <n v="714.0"/>
        <n v="72.0"/>
        <n v="699.0"/>
        <n v="140.0"/>
        <n v="272.0"/>
        <n v="6.0"/>
        <n v="698.0"/>
        <n v="673.0"/>
        <n v="247.0"/>
        <n v="1299.0"/>
        <n v="294.0"/>
        <n v="1729.0"/>
        <n v="1248.0"/>
        <n v="83.0"/>
        <n v="542.0"/>
        <n v="3310.0"/>
        <n v="1840.0"/>
        <n v="2646.0"/>
        <n v="469.0"/>
        <n v="150.0"/>
        <n v="406.0"/>
        <n v="3449.0"/>
        <n v="531.0"/>
        <n v="6084.0"/>
        <n v="130.0"/>
        <n v="302.0"/>
        <n v="238.0"/>
        <n v="267.0"/>
        <n v="23.0"/>
        <n v="482.0"/>
        <n v="879.0"/>
        <n v="192.0"/>
        <n v="670.0"/>
        <n v="1025.0"/>
        <n v="3308.0"/>
        <n v="1366.0"/>
        <n v="170.0"/>
        <n v="528.0"/>
        <n v="467.0"/>
        <n v="954.0"/>
        <n v="603.0"/>
        <n v="9420.0"/>
        <n v="1346.0"/>
        <n v="1088.0"/>
        <n v="977.0"/>
        <n v="1255.0"/>
        <n v="1881.0"/>
        <n v="487.0"/>
        <n v="31.0"/>
        <n v="657.0"/>
        <n v="149.0"/>
        <n v="693.0"/>
        <n v="793.0"/>
        <n v="774.0"/>
        <n v="46.0"/>
        <n v="222.0"/>
        <n v="870.0"/>
        <n v="98.0"/>
        <n v="2685.0"/>
        <n v="588.0"/>
        <n v="919.0"/>
        <n v="2317.0"/>
        <n v="638.0"/>
        <n v="439.0"/>
        <n v="1022.0"/>
        <n v="365.0"/>
        <n v="1718.0"/>
        <n v="557.0"/>
        <n v="1643.0"/>
        <n v="1647.0"/>
        <n v="251.0"/>
        <n v="166.0"/>
        <n v="224.0"/>
        <n v="52.0"/>
        <n v="1926.0"/>
        <n v="1848.0"/>
        <n v="174.0"/>
        <n v="65.0"/>
        <n v="36.0"/>
        <n v="1788.0"/>
        <n v="440.0"/>
        <n v="1637.0"/>
        <n v="187.0"/>
        <n v="241.0"/>
        <n v="355.0"/>
        <n v="788.0"/>
        <n v="32.0"/>
        <n v="44.0"/>
        <n v="1627.0"/>
        <n v="1711.0"/>
        <n v="3452.0"/>
        <n v="11.0"/>
        <n v="47.0"/>
        <n v="809.0"/>
        <n v="5361.0"/>
        <n v="1236.0"/>
        <n v="148.0"/>
        <n v="33.0"/>
        <n v="86.0"/>
        <n v="4.0"/>
        <n v="2577.0"/>
        <n v="253.0"/>
        <n v="624.0"/>
        <n v="420.0"/>
        <n v="49.0"/>
        <n v="35.0"/>
        <n v="215.0"/>
        <n v="178.0"/>
        <n v="313.0"/>
        <n v="759.0"/>
        <n v="825.0"/>
        <n v="877.0"/>
        <n v="1984.0"/>
        <n v="8.0"/>
        <n v="53.0"/>
        <n v="1802.0"/>
        <n v="73.0"/>
        <n v="229.0"/>
        <n v="520.0"/>
        <n v="57.0"/>
        <n v="1817.0"/>
        <n v="882.0"/>
        <n v="296.0"/>
        <n v="121.0"/>
        <n v="1700.0"/>
        <n v="205.0"/>
        <n v="70.0"/>
        <n v="559.0"/>
        <n v="466.0"/>
        <n v="479.0"/>
        <n v="713.0"/>
        <n v="163.0"/>
        <n v="339.0"/>
        <n v="317.0"/>
        <n v="55.0"/>
        <n v="2704.0"/>
        <n v="278.0"/>
        <n v="928.0"/>
        <n v="963.0"/>
        <n v="2107.0"/>
        <n v="1384.0"/>
        <n v="974.0"/>
        <n v="1804.0"/>
        <n v="17.0"/>
        <n v="111.0"/>
        <n v="1320.0"/>
        <n v="41.0"/>
        <n v="682.0"/>
        <n v="306.0"/>
        <n v="358.0"/>
        <n v="840.0"/>
        <n v="725.0"/>
        <n v="277.0"/>
        <n v="92.0"/>
        <n v="893.0"/>
        <n v="1089.0"/>
        <n v="2668.0"/>
        <n v="3162.0"/>
        <n v="1348.0"/>
        <n v="4546.0"/>
        <n v="3728.0"/>
        <n v="285.0"/>
        <n v="5048.0"/>
        <n v="221.0"/>
        <n v="1928.0"/>
        <n v="2592.0"/>
        <n v="124.0"/>
        <n v="418.0"/>
        <n v="223.0"/>
        <n v="273.0"/>
        <n v="828.0"/>
        <n v="2855.0"/>
        <n v="2834.0"/>
        <n v="436.0"/>
        <n v="181.0"/>
        <n v="118.0"/>
        <n v="981.0"/>
        <n v="628.0"/>
        <n v="69.0"/>
        <n v="2585.0"/>
        <n v="6057.0"/>
        <n v="851.0"/>
        <n v="360.0"/>
        <n v="462.0"/>
        <n v="202.0"/>
        <n v="3976.0"/>
        <n v="14.0"/>
        <n v="4492.0"/>
        <n v="137.0"/>
        <n v="259.0"/>
        <n v="648.0"/>
        <n v="385.0"/>
        <n v="2101.0"/>
        <n v="1396.0"/>
        <n v="2880.0"/>
        <n v="1232.0"/>
        <n v="94.0"/>
        <n v="1571.0"/>
        <n v="138.0"/>
        <n v="2039.0"/>
        <n v="391.0"/>
        <n v="328.0"/>
        <n v="1006.0"/>
        <n v="212.0"/>
        <n v="957.0"/>
        <n v="681.0"/>
        <n v="180.0"/>
        <n v="672.0"/>
        <n v="1127.0"/>
        <n v="257.0"/>
        <n v="495.0"/>
        <n v="1467.0"/>
        <n v="39.0"/>
        <n v="551.0"/>
        <n v="4228.0"/>
        <n v="1907.0"/>
        <n v="697.0"/>
        <n v="250.0"/>
        <n v="172.0"/>
        <n v="683.0"/>
        <n v="37.0"/>
        <n v="1726.0"/>
        <n v="64.0"/>
        <n v="888.0"/>
        <n v="669.0"/>
        <n v="333.0"/>
        <n v="182.0"/>
        <n v="805.0"/>
        <n v="29.0"/>
        <n v="1102.0"/>
        <n v="56.0"/>
        <n v="876.0"/>
        <n v="3097.0"/>
        <n v="739.0"/>
        <n v="454.0"/>
        <n v="997.0"/>
        <n v="279.0"/>
        <n v="645.0"/>
        <n v="1933.0"/>
        <n v="308.0"/>
        <n v="2871.0"/>
        <n v="4740.0"/>
        <n v="1559.0"/>
        <n v="524.0"/>
        <n v="129.0"/>
        <n v="38.0"/>
        <n v="808.0"/>
        <n v="407.0"/>
        <n v="1438.0"/>
        <n v="1935.0"/>
        <n v="80.0"/>
        <n v="76.0"/>
        <n v="326.0"/>
        <n v="377.0"/>
        <n v="2449.0"/>
        <n v="3045.0"/>
        <n v="1071.0"/>
        <n v="740.0"/>
        <n v="897.0"/>
        <n v="42.0"/>
        <n v="245.0"/>
        <n v="25.0"/>
        <n v="497.0"/>
        <n v="367.0"/>
        <n v="54.0"/>
        <n v="114.0"/>
        <n v="1811.0"/>
        <n v="733.0"/>
        <n v="978.0"/>
        <n v="357.0"/>
        <n v="79.0"/>
      </sharedItems>
    </cacheField>
    <cacheField name="Admt_SNF_ICF_ALF" numFmtId="0">
      <sharedItems containsString="0" containsBlank="1" containsNumber="1" containsInteger="1">
        <n v="380.0"/>
        <n v="150.0"/>
        <m/>
        <n v="3.0"/>
        <n v="358.0"/>
        <n v="364.0"/>
        <n v="489.0"/>
        <n v="399.0"/>
        <n v="1.0"/>
        <n v="163.0"/>
        <n v="200.0"/>
        <n v="449.0"/>
        <n v="320.0"/>
        <n v="344.0"/>
        <n v="50.0"/>
        <n v="21.0"/>
        <n v="131.0"/>
        <n v="213.0"/>
        <n v="30.0"/>
        <n v="158.0"/>
        <n v="771.0"/>
        <n v="430.0"/>
        <n v="369.0"/>
        <n v="7.0"/>
        <n v="69.0"/>
        <n v="45.0"/>
        <n v="5.0"/>
        <n v="42.0"/>
        <n v="174.0"/>
        <n v="1109.0"/>
        <n v="8.0"/>
        <n v="253.0"/>
        <n v="14.0"/>
        <n v="207.0"/>
        <n v="49.0"/>
        <n v="9.0"/>
        <n v="85.0"/>
        <n v="15.0"/>
        <n v="17.0"/>
        <n v="6.0"/>
        <n v="211.0"/>
        <n v="10.0"/>
        <n v="25.0"/>
        <n v="857.0"/>
        <n v="284.0"/>
        <n v="2.0"/>
        <n v="1439.0"/>
        <n v="121.0"/>
        <n v="64.0"/>
        <n v="4.0"/>
        <n v="108.0"/>
        <n v="1400.0"/>
        <n v="521.0"/>
        <n v="203.0"/>
        <n v="89.0"/>
        <n v="383.0"/>
        <n v="466.0"/>
        <n v="157.0"/>
        <n v="785.0"/>
        <n v="13.0"/>
        <n v="1687.0"/>
        <n v="829.0"/>
        <n v="136.0"/>
        <n v="639.0"/>
        <n v="688.0"/>
        <n v="431.0"/>
        <n v="460.0"/>
        <n v="259.0"/>
        <n v="73.0"/>
        <n v="71.0"/>
        <n v="79.0"/>
        <n v="293.0"/>
        <n v="455.0"/>
        <n v="142.0"/>
        <n v="149.0"/>
        <n v="1180.0"/>
        <n v="80.0"/>
        <n v="26.0"/>
        <n v="1681.0"/>
        <n v="392.0"/>
        <n v="560.0"/>
        <n v="536.0"/>
        <n v="193.0"/>
        <n v="188.0"/>
        <n v="602.0"/>
        <n v="2676.0"/>
        <n v="290.0"/>
        <n v="56.0"/>
        <n v="467.0"/>
        <n v="1060.0"/>
        <n v="221.0"/>
        <n v="362.0"/>
        <n v="261.0"/>
        <n v="67.0"/>
        <n v="309.0"/>
        <n v="499.0"/>
        <n v="147.0"/>
        <n v="48.0"/>
        <n v="273.0"/>
        <n v="24.0"/>
        <n v="283.0"/>
        <n v="297.0"/>
        <n v="271.0"/>
        <n v="12.0"/>
        <n v="36.0"/>
        <n v="16.0"/>
        <n v="88.0"/>
        <n v="72.0"/>
        <n v="138.0"/>
        <n v="58.0"/>
        <n v="235.0"/>
        <n v="68.0"/>
        <n v="19.0"/>
        <n v="20.0"/>
        <n v="120.0"/>
        <n v="61.0"/>
        <n v="185.0"/>
        <n v="40.0"/>
        <n v="105.0"/>
        <n v="513.0"/>
        <n v="404.0"/>
        <n v="23.0"/>
        <n v="139.0"/>
        <n v="318.0"/>
        <n v="528.0"/>
        <n v="53.0"/>
        <n v="84.0"/>
        <n v="27.0"/>
        <n v="153.0"/>
        <n v="267.0"/>
        <n v="739.0"/>
        <n v="1449.0"/>
        <n v="43.0"/>
        <n v="39.0"/>
        <n v="164.0"/>
        <n v="964.0"/>
        <n v="348.0"/>
        <n v="87.0"/>
        <n v="231.0"/>
        <n v="197.0"/>
        <n v="22.0"/>
        <n v="122.0"/>
        <n v="11.0"/>
        <n v="263.0"/>
        <n v="107.0"/>
        <n v="32.0"/>
        <n v="114.0"/>
        <n v="127.0"/>
        <n v="29.0"/>
        <n v="287.0"/>
        <n v="60.0"/>
        <n v="54.0"/>
        <n v="503.0"/>
        <n v="537.0"/>
        <n v="334.0"/>
        <n v="101.0"/>
        <n v="919.0"/>
        <n v="553.0"/>
        <n v="984.0"/>
        <n v="44.0"/>
        <n v="391.0"/>
        <n v="62.0"/>
        <n v="903.0"/>
        <n v="47.0"/>
        <n v="75.0"/>
        <n v="768.0"/>
        <n v="1566.0"/>
        <n v="274.0"/>
        <n v="278.0"/>
        <n v="82.0"/>
        <n v="18.0"/>
        <n v="747.0"/>
        <n v="423.0"/>
        <n v="175.0"/>
        <n v="112.0"/>
        <n v="110.0"/>
        <n v="597.0"/>
        <n v="148.0"/>
        <n v="81.0"/>
        <n v="52.0"/>
        <n v="556.0"/>
        <n v="83.0"/>
        <n v="70.0"/>
        <n v="159.0"/>
        <n v="38.0"/>
        <n v="90.0"/>
        <n v="394.0"/>
        <n v="104.0"/>
        <n v="115.0"/>
        <n v="562.0"/>
        <n v="181.0"/>
        <n v="862.0"/>
        <n v="532.0"/>
        <n v="133.0"/>
        <n v="186.0"/>
        <n v="311.0"/>
        <n v="232.0"/>
        <n v="126.0"/>
        <n v="440.0"/>
        <n v="177.0"/>
        <n v="132.0"/>
        <n v="86.0"/>
        <n v="63.0"/>
        <n v="166.0"/>
        <n v="74.0"/>
        <n v="151.0"/>
        <n v="98.0"/>
        <n v="479.0"/>
        <n v="424.0"/>
        <n v="342.0"/>
        <n v="329.0"/>
        <n v="37.0"/>
        <n v="190.0"/>
        <n v="199.0"/>
        <n v="227.0"/>
      </sharedItems>
    </cacheField>
    <cacheField name="Admt_Another_HCF" numFmtId="0">
      <sharedItems containsString="0" containsBlank="1" containsNumber="1" containsInteger="1">
        <n v="12.0"/>
        <n v="20.0"/>
        <n v="84.0"/>
        <n v="198.0"/>
        <m/>
        <n v="3.0"/>
        <n v="68.0"/>
        <n v="2.0"/>
        <n v="720.0"/>
        <n v="7.0"/>
        <n v="166.0"/>
        <n v="25.0"/>
        <n v="4.0"/>
        <n v="47.0"/>
        <n v="255.0"/>
        <n v="1.0"/>
        <n v="19.0"/>
        <n v="46.0"/>
        <n v="5.0"/>
        <n v="6.0"/>
        <n v="483.0"/>
        <n v="10.0"/>
        <n v="14.0"/>
        <n v="156.0"/>
        <n v="710.0"/>
        <n v="28.0"/>
        <n v="53.0"/>
        <n v="170.0"/>
        <n v="189.0"/>
        <n v="72.0"/>
        <n v="11.0"/>
        <n v="30.0"/>
        <n v="174.0"/>
        <n v="34.0"/>
        <n v="13.0"/>
        <n v="407.0"/>
        <n v="291.0"/>
        <n v="62.0"/>
        <n v="16.0"/>
        <n v="259.0"/>
        <n v="9.0"/>
        <n v="21.0"/>
        <n v="98.0"/>
        <n v="29.0"/>
        <n v="15.0"/>
        <n v="103.0"/>
        <n v="71.0"/>
        <n v="88.0"/>
        <n v="119.0"/>
        <n v="36.0"/>
        <n v="136.0"/>
        <n v="65.0"/>
        <n v="234.0"/>
        <n v="50.0"/>
        <n v="52.0"/>
        <n v="8.0"/>
        <n v="26.0"/>
        <n v="32.0"/>
        <n v="276.0"/>
        <n v="101.0"/>
        <n v="517.0"/>
        <n v="37.0"/>
        <n v="104.0"/>
        <n v="99.0"/>
        <n v="66.0"/>
        <n v="35.0"/>
        <n v="1089.0"/>
        <n v="17.0"/>
        <n v="96.0"/>
        <n v="31.0"/>
        <n v="18.0"/>
        <n v="39.0"/>
        <n v="22.0"/>
        <n v="23.0"/>
        <n v="87.0"/>
        <n v="73.0"/>
        <n v="43.0"/>
        <n v="76.0"/>
        <n v="148.0"/>
        <n v="115.0"/>
        <n v="42.0"/>
        <n v="153.0"/>
        <n v="44.0"/>
        <n v="173.0"/>
        <n v="244.0"/>
        <n v="49.0"/>
        <n v="27.0"/>
        <n v="269.0"/>
        <n v="45.0"/>
        <n v="159.0"/>
        <n v="56.0"/>
        <n v="266.0"/>
        <n v="77.0"/>
        <n v="409.0"/>
        <n v="388.0"/>
        <n v="195.0"/>
        <n v="58.0"/>
        <n v="89.0"/>
        <n v="116.0"/>
        <n v="24.0"/>
        <n v="83.0"/>
        <n v="468.0"/>
        <n v="218.0"/>
        <n v="137.0"/>
        <n v="55.0"/>
        <n v="761.0"/>
        <n v="80.0"/>
        <n v="246.0"/>
        <n v="135.0"/>
        <n v="251.0"/>
        <n v="158.0"/>
        <n v="90.0"/>
        <n v="41.0"/>
        <n v="67.0"/>
        <n v="1661.0"/>
        <n v="94.0"/>
        <n v="57.0"/>
        <n v="95.0"/>
        <n v="48.0"/>
        <n v="102.0"/>
        <n v="139.0"/>
        <n v="112.0"/>
        <n v="1328.0"/>
        <n v="110.0"/>
        <n v="33.0"/>
        <n v="93.0"/>
        <n v="40.0"/>
        <n v="92.0"/>
        <n v="659.0"/>
        <n v="308.0"/>
        <n v="69.0"/>
        <n v="162.0"/>
      </sharedItems>
    </cacheField>
    <cacheField name="Admt_DistinctPartXfer" numFmtId="0">
      <sharedItems containsString="0" containsBlank="1" containsNumber="1" containsInteger="1">
        <n v="94.0"/>
        <n v="3.0"/>
        <n v="58.0"/>
        <n v="80.0"/>
        <n v="906.0"/>
        <m/>
        <n v="127.0"/>
        <n v="1.0"/>
        <n v="93.0"/>
        <n v="416.0"/>
        <n v="439.0"/>
        <n v="149.0"/>
        <n v="353.0"/>
        <n v="25.0"/>
        <n v="5.0"/>
        <n v="4.0"/>
        <n v="64.0"/>
        <n v="6.0"/>
        <n v="1577.0"/>
        <n v="33.0"/>
        <n v="88.0"/>
        <n v="11.0"/>
        <n v="21.0"/>
        <n v="42.0"/>
        <n v="125.0"/>
        <n v="2.0"/>
        <n v="12.0"/>
        <n v="30.0"/>
        <n v="107.0"/>
        <n v="37.0"/>
        <n v="52.0"/>
        <n v="28.0"/>
        <n v="133.0"/>
        <n v="240.0"/>
        <n v="120.0"/>
        <n v="13.0"/>
        <n v="173.0"/>
        <n v="179.0"/>
        <n v="48.0"/>
        <n v="7.0"/>
        <n v="141.0"/>
        <n v="8.0"/>
        <n v="1722.0"/>
        <n v="211.0"/>
        <n v="95.0"/>
        <n v="276.0"/>
        <n v="1178.0"/>
        <n v="225.0"/>
        <n v="10.0"/>
        <n v="1287.0"/>
        <n v="26.0"/>
        <n v="506.0"/>
        <n v="55.0"/>
        <n v="32.0"/>
        <n v="430.0"/>
        <n v="262.0"/>
        <n v="268.0"/>
        <n v="1111.0"/>
        <n v="228.0"/>
        <n v="466.0"/>
        <n v="676.0"/>
        <n v="44.0"/>
        <n v="324.0"/>
        <n v="81.0"/>
        <n v="382.0"/>
        <n v="161.0"/>
        <n v="158.0"/>
        <n v="360.0"/>
        <n v="290.0"/>
        <n v="117.0"/>
        <n v="36.0"/>
        <n v="427.0"/>
        <n v="175.0"/>
        <n v="23.0"/>
        <n v="121.0"/>
        <n v="171.0"/>
        <n v="43.0"/>
        <n v="131.0"/>
        <n v="92.0"/>
        <n v="78.0"/>
        <n v="49.0"/>
        <n v="50.0"/>
        <n v="61.0"/>
        <n v="38.0"/>
        <n v="147.0"/>
        <n v="686.0"/>
        <n v="72.0"/>
        <n v="17.0"/>
        <n v="347.0"/>
        <n v="284.0"/>
        <n v="593.0"/>
        <n v="599.0"/>
        <n v="597.0"/>
        <n v="89.0"/>
        <n v="35.0"/>
        <n v="53.0"/>
        <n v="140.0"/>
        <n v="523.0"/>
        <n v="186.0"/>
        <n v="467.0"/>
        <n v="168.0"/>
        <n v="170.0"/>
        <n v="99.0"/>
        <n v="248.0"/>
        <n v="216.0"/>
        <n v="79.0"/>
        <n v="134.0"/>
        <n v="1397.0"/>
        <n v="459.0"/>
        <n v="129.0"/>
        <n v="261.0"/>
        <n v="322.0"/>
        <n v="423.0"/>
        <n v="222.0"/>
        <n v="148.0"/>
        <n v="24.0"/>
        <n v="62.0"/>
        <n v="160.0"/>
        <n v="19.0"/>
        <n v="433.0"/>
        <n v="394.0"/>
        <n v="351.0"/>
        <n v="150.0"/>
        <n v="135.0"/>
        <n v="469.0"/>
        <n v="39.0"/>
        <n v="2268.0"/>
        <n v="190.0"/>
        <n v="14.0"/>
        <n v="373.0"/>
        <n v="666.0"/>
      </sharedItems>
    </cacheField>
    <cacheField name="Admt_Amb_Surgery" numFmtId="0">
      <sharedItems containsString="0" containsBlank="1" containsNumber="1" containsInteger="1">
        <m/>
        <n v="3.0"/>
        <n v="1.0"/>
        <n v="10.0"/>
        <n v="14.0"/>
        <n v="6.0"/>
        <n v="2.0"/>
        <n v="37.0"/>
        <n v="5.0"/>
        <n v="9.0"/>
        <n v="597.0"/>
        <n v="7.0"/>
        <n v="4.0"/>
        <n v="33.0"/>
        <n v="16.0"/>
        <n v="12.0"/>
        <n v="13.0"/>
        <n v="44.0"/>
        <n v="243.0"/>
        <n v="11.0"/>
        <n v="42.0"/>
        <n v="8.0"/>
        <n v="51.0"/>
        <n v="96.0"/>
        <n v="154.0"/>
        <n v="64.0"/>
        <n v="54.0"/>
        <n v="47.0"/>
        <n v="22.0"/>
        <n v="18.0"/>
        <n v="21.0"/>
        <n v="509.0"/>
      </sharedItems>
    </cacheField>
    <cacheField name="Admt_HospiceFacility" numFmtId="0">
      <sharedItems containsString="0" containsBlank="1" containsNumber="1" containsInteger="1">
        <m/>
        <n v="1.0"/>
        <n v="2.0"/>
        <n v="74.0"/>
        <n v="3.0"/>
        <n v="8.0"/>
        <n v="5.0"/>
        <n v="4.0"/>
        <n v="11.0"/>
        <n v="16.0"/>
        <n v="15.0"/>
        <n v="26.0"/>
        <n v="6.0"/>
        <n v="12.0"/>
        <n v="10.0"/>
        <n v="39.0"/>
        <n v="7.0"/>
      </sharedItems>
    </cacheField>
    <cacheField name="Admt_Court_LE" numFmtId="0">
      <sharedItems containsString="0" containsBlank="1" containsNumber="1" containsInteger="1">
        <m/>
        <n v="105.0"/>
        <n v="4.0"/>
        <n v="2.0"/>
        <n v="33.0"/>
        <n v="5.0"/>
        <n v="45.0"/>
        <n v="18.0"/>
        <n v="16.0"/>
        <n v="3.0"/>
        <n v="20.0"/>
        <n v="1.0"/>
        <n v="346.0"/>
        <n v="6.0"/>
        <n v="37.0"/>
        <n v="25.0"/>
        <n v="32.0"/>
        <n v="120.0"/>
        <n v="817.0"/>
        <n v="24.0"/>
        <n v="82.0"/>
        <n v="11.0"/>
        <n v="106.0"/>
        <n v="184.0"/>
        <n v="264.0"/>
        <n v="17.0"/>
        <n v="397.0"/>
        <n v="9.0"/>
        <n v="7.0"/>
        <n v="173.0"/>
        <n v="180.0"/>
        <n v="91.0"/>
        <n v="103.0"/>
        <n v="19.0"/>
        <n v="13.0"/>
        <n v="40.0"/>
        <n v="139.0"/>
        <n v="26.0"/>
        <n v="10.0"/>
        <n v="1622.0"/>
        <n v="125.0"/>
        <n v="35.0"/>
        <n v="74.0"/>
        <n v="98.0"/>
        <n v="12.0"/>
        <n v="210.0"/>
        <n v="70.0"/>
        <n v="23.0"/>
        <n v="8.0"/>
        <n v="28.0"/>
        <n v="14.0"/>
        <n v="42.0"/>
        <n v="1247.0"/>
        <n v="76.0"/>
        <n v="109.0"/>
        <n v="15.0"/>
        <n v="116.0"/>
        <n v="1418.0"/>
        <n v="107.0"/>
        <n v="21.0"/>
        <n v="81.0"/>
        <n v="225.0"/>
        <n v="422.0"/>
        <n v="277.0"/>
        <n v="197.0"/>
        <n v="54.0"/>
        <n v="1089.0"/>
        <n v="149.0"/>
        <n v="112.0"/>
        <n v="29.0"/>
        <n v="153.0"/>
        <n v="31.0"/>
        <n v="58.0"/>
        <n v="22.0"/>
        <n v="46.0"/>
      </sharedItems>
    </cacheField>
    <cacheField name="Admt_NA" numFmtId="0">
      <sharedItems containsString="0" containsBlank="1" containsNumber="1" containsInteger="1">
        <n v="3.0"/>
        <n v="1.0"/>
        <m/>
        <n v="227.0"/>
        <n v="2.0"/>
        <n v="66.0"/>
        <n v="28.0"/>
        <n v="14.0"/>
        <n v="31.0"/>
        <n v="46.0"/>
        <n v="5.0"/>
        <n v="12.0"/>
        <n v="15.0"/>
        <n v="41.0"/>
        <n v="6.0"/>
        <n v="13.0"/>
        <n v="4.0"/>
        <n v="7.0"/>
        <n v="88.0"/>
        <n v="68.0"/>
        <n v="309.0"/>
        <n v="110.0"/>
        <n v="26.0"/>
        <n v="169.0"/>
        <n v="10.0"/>
        <n v="203.0"/>
        <n v="32.0"/>
        <n v="206.0"/>
        <n v="141.0"/>
        <n v="16.0"/>
        <n v="170.0"/>
        <n v="30.0"/>
        <n v="123.0"/>
        <n v="8.0"/>
        <n v="23.0"/>
        <n v="38.0"/>
        <n v="17.0"/>
        <n v="40.0"/>
        <n v="100.0"/>
        <n v="34.0"/>
        <n v="95.0"/>
        <n v="150.0"/>
        <n v="45.0"/>
        <n v="36.0"/>
        <n v="65.0"/>
        <n v="58.0"/>
        <n v="132.0"/>
        <n v="63.0"/>
        <n v="215.0"/>
        <n v="24.0"/>
        <n v="71.0"/>
        <n v="83.0"/>
        <n v="117.0"/>
        <n v="18.0"/>
        <n v="33.0"/>
        <n v="105.0"/>
        <n v="29.0"/>
        <n v="11.0"/>
      </sharedItems>
    </cacheField>
    <cacheField name="Admt_Newborn" numFmtId="0">
      <sharedItems containsString="0" containsBlank="1" containsNumber="1" containsInteger="1">
        <m/>
        <n v="4212.0"/>
        <n v="1388.0"/>
        <n v="315.0"/>
        <n v="1450.0"/>
        <n v="1303.0"/>
        <n v="1193.0"/>
        <n v="2563.0"/>
        <n v="3819.0"/>
        <n v="231.0"/>
        <n v="457.0"/>
        <n v="1923.0"/>
        <n v="1817.0"/>
        <n v="437.0"/>
        <n v="2988.0"/>
        <n v="3064.0"/>
        <n v="247.0"/>
        <n v="1834.0"/>
        <n v="245.0"/>
        <n v="289.0"/>
        <n v="348.0"/>
        <n v="4625.0"/>
        <n v="4037.0"/>
        <n v="1261.0"/>
        <n v="3974.0"/>
        <n v="1776.0"/>
        <n v="398.0"/>
        <n v="735.0"/>
        <n v="764.0"/>
        <n v="1787.0"/>
        <n v="210.0"/>
        <n v="611.0"/>
        <n v="3695.0"/>
        <n v="2430.0"/>
        <n v="2358.0"/>
        <n v="419.0"/>
        <n v="2137.0"/>
        <n v="2260.0"/>
        <n v="154.0"/>
        <n v="249.0"/>
        <n v="198.0"/>
        <n v="3230.0"/>
        <n v="1345.0"/>
        <n v="409.0"/>
        <n v="2598.0"/>
        <n v="753.0"/>
        <n v="20.0"/>
        <n v="972.0"/>
        <n v="366.0"/>
        <n v="1230.0"/>
        <n v="1503.0"/>
        <n v="3731.0"/>
        <n v="2846.0"/>
        <n v="1537.0"/>
        <n v="3018.0"/>
        <n v="2197.0"/>
        <n v="2644.0"/>
        <n v="2340.0"/>
        <n v="2369.0"/>
        <n v="1922.0"/>
        <n v="2666.0"/>
        <n v="2400.0"/>
        <n v="1256.0"/>
        <n v="1171.0"/>
        <n v="6262.0"/>
        <n v="831.0"/>
        <n v="4970.0"/>
        <n v="1993.0"/>
        <n v="3176.0"/>
        <n v="364.0"/>
        <n v="1414.0"/>
        <n v="2735.0"/>
        <n v="2069.0"/>
        <n v="2058.0"/>
        <n v="1651.0"/>
        <n v="2417.0"/>
        <n v="623.0"/>
        <n v="3859.0"/>
        <n v="1068.0"/>
        <n v="1509.0"/>
        <n v="1050.0"/>
        <n v="1231.0"/>
        <n v="511.0"/>
        <n v="932.0"/>
        <n v="1832.0"/>
        <n v="3268.0"/>
        <n v="5733.0"/>
        <n v="4031.0"/>
        <n v="785.0"/>
        <n v="721.0"/>
        <n v="1441.0"/>
        <n v="767.0"/>
        <n v="598.0"/>
        <n v="2272.0"/>
        <n v="1087.0"/>
        <n v="1491.0"/>
        <n v="2536.0"/>
        <n v="694.0"/>
        <n v="341.0"/>
        <n v="384.0"/>
        <n v="1784.0"/>
        <n v="991.0"/>
        <n v="1639.0"/>
        <n v="7902.0"/>
        <n v="389.0"/>
        <n v="2086.0"/>
        <n v="1626.0"/>
        <n v="1929.0"/>
        <n v="4440.0"/>
        <n v="2299.0"/>
        <n v="1852.0"/>
        <n v="6468.0"/>
        <n v="2425.0"/>
        <n v="6977.0"/>
        <n v="12.0"/>
        <n v="1004.0"/>
        <n v="1955.0"/>
        <n v="1211.0"/>
        <n v="281.0"/>
        <n v="1481.0"/>
        <n v="56.0"/>
        <n v="1168.0"/>
        <n v="3698.0"/>
        <n v="178.0"/>
        <n v="3278.0"/>
        <n v="1524.0"/>
        <n v="3170.0"/>
        <n v="1674.0"/>
        <n v="1567.0"/>
        <n v="882.0"/>
        <n v="1636.0"/>
        <n v="1260.0"/>
        <n v="1891.0"/>
        <n v="5844.0"/>
        <n v="2736.0"/>
        <n v="641.0"/>
        <n v="442.0"/>
        <n v="321.0"/>
        <n v="7282.0"/>
        <n v="1663.0"/>
        <n v="1885.0"/>
        <n v="1691.0"/>
        <n v="1111.0"/>
        <n v="1186.0"/>
        <n v="284.0"/>
        <n v="479.0"/>
        <n v="196.0"/>
        <n v="4010.0"/>
        <n v="2932.0"/>
        <n v="4999.0"/>
        <n v="4143.0"/>
        <n v="3524.0"/>
        <n v="688.0"/>
        <n v="4853.0"/>
        <n v="2696.0"/>
        <n v="788.0"/>
        <n v="1795.0"/>
        <n v="3624.0"/>
        <n v="2432.0"/>
        <n v="1212.0"/>
        <n v="2493.0"/>
        <n v="3645.0"/>
        <n v="943.0"/>
        <n v="3277.0"/>
        <n v="464.0"/>
        <n v="399.0"/>
        <n v="3989.0"/>
        <n v="691.0"/>
        <n v="1020.0"/>
        <n v="594.0"/>
        <n v="1532.0"/>
        <n v="1124.0"/>
        <n v="2136.0"/>
        <n v="333.0"/>
        <n v="3266.0"/>
        <n v="1949.0"/>
        <n v="4993.0"/>
        <n v="1995.0"/>
        <n v="1119.0"/>
        <n v="2978.0"/>
        <n v="2298.0"/>
        <n v="4891.0"/>
        <n v="312.0"/>
        <n v="4334.0"/>
        <n v="864.0"/>
        <n v="732.0"/>
        <n v="875.0"/>
        <n v="1715.0"/>
        <n v="119.0"/>
        <n v="181.0"/>
        <n v="1593.0"/>
        <n v="1362.0"/>
        <n v="359.0"/>
        <n v="546.0"/>
        <n v="1988.0"/>
        <n v="1573.0"/>
        <n v="3521.0"/>
        <n v="1133.0"/>
        <n v="1506.0"/>
        <n v="564.0"/>
        <n v="4543.0"/>
        <n v="1325.0"/>
        <n v="236.0"/>
        <n v="491.0"/>
        <n v="2922.0"/>
        <n v="1725.0"/>
        <n v="1694.0"/>
        <n v="493.0"/>
        <n v="1139.0"/>
        <n v="515.0"/>
        <n v="1150.0"/>
        <n v="1803.0"/>
      </sharedItems>
    </cacheField>
    <cacheField name="admt_disaster_care_site" numFmtId="0">
      <sharedItems containsString="0" containsBlank="1" containsNumber="1" containsInteger="1">
        <m/>
        <n v="5.0"/>
        <n v="1.0"/>
        <n v="2.0"/>
        <n v="7.0"/>
        <n v="4.0"/>
        <n v="3.0"/>
      </sharedItems>
    </cacheField>
    <cacheField name="Route_Your_ER" numFmtId="0">
      <sharedItems containsString="0" containsBlank="1" containsNumber="1" containsInteger="1">
        <n v="2116.0"/>
        <n v="4758.0"/>
        <n v="5028.0"/>
        <m/>
        <n v="10805.0"/>
        <n v="7612.0"/>
        <n v="3260.0"/>
        <n v="7807.0"/>
        <n v="4280.0"/>
        <n v="4064.0"/>
        <n v="6574.0"/>
        <n v="12023.0"/>
        <n v="6179.0"/>
        <n v="1820.0"/>
        <n v="311.0"/>
        <n v="10054.0"/>
        <n v="13154.0"/>
        <n v="727.0"/>
        <n v="441.0"/>
        <n v="5676.0"/>
        <n v="5392.0"/>
        <n v="11730.0"/>
        <n v="7517.0"/>
        <n v="8297.0"/>
        <n v="2854.0"/>
        <n v="5920.0"/>
        <n v="1565.0"/>
        <n v="1174.0"/>
        <n v="3741.0"/>
        <n v="12096.0"/>
        <n v="10.0"/>
        <n v="26774.0"/>
        <n v="252.0"/>
        <n v="18733.0"/>
        <n v="5634.0"/>
        <n v="220.0"/>
        <n v="1181.0"/>
        <n v="33.0"/>
        <n v="580.0"/>
        <n v="4545.0"/>
        <n v="3483.0"/>
        <n v="3904.0"/>
        <n v="561.0"/>
        <n v="2.0"/>
        <n v="1293.0"/>
        <n v="11557.0"/>
        <n v="8038.0"/>
        <n v="291.0"/>
        <n v="6384.0"/>
        <n v="1151.0"/>
        <n v="10870.0"/>
        <n v="1851.0"/>
        <n v="961.0"/>
        <n v="5965.0"/>
        <n v="931.0"/>
        <n v="1156.0"/>
        <n v="604.0"/>
        <n v="2995.0"/>
        <n v="13354.0"/>
        <n v="4.0"/>
        <n v="6781.0"/>
        <n v="6092.0"/>
        <n v="6024.0"/>
        <n v="9377.0"/>
        <n v="12275.0"/>
        <n v="9309.0"/>
        <n v="3161.0"/>
        <n v="1886.0"/>
        <n v="4341.0"/>
        <n v="6674.0"/>
        <n v="9112.0"/>
        <n v="1431.0"/>
        <n v="1687.0"/>
        <n v="4504.0"/>
        <n v="4813.0"/>
        <n v="12030.0"/>
        <n v="1982.0"/>
        <n v="7010.0"/>
        <n v="11178.0"/>
        <n v="8837.0"/>
        <n v="16139.0"/>
        <n v="5904.0"/>
        <n v="18196.0"/>
        <n v="8186.0"/>
        <n v="7584.0"/>
        <n v="4203.0"/>
        <n v="5131.0"/>
        <n v="11368.0"/>
        <n v="4016.0"/>
        <n v="7956.0"/>
        <n v="4798.0"/>
        <n v="6131.0"/>
        <n v="4828.0"/>
        <n v="11903.0"/>
        <n v="8517.0"/>
        <n v="2105.0"/>
        <n v="25619.0"/>
        <n v="10659.0"/>
        <n v="1755.0"/>
        <n v="4856.0"/>
        <n v="13466.0"/>
        <n v="15909.0"/>
        <n v="7862.0"/>
        <n v="2853.0"/>
        <n v="3704.0"/>
        <n v="7743.0"/>
        <n v="2384.0"/>
        <n v="3725.0"/>
        <n v="12749.0"/>
        <n v="6708.0"/>
        <n v="11271.0"/>
        <n v="1934.0"/>
        <n v="11196.0"/>
        <n v="7310.0"/>
        <n v="4012.0"/>
        <n v="6946.0"/>
        <n v="9872.0"/>
        <n v="3604.0"/>
        <n v="8454.0"/>
        <n v="15298.0"/>
        <n v="23175.0"/>
        <n v="558.0"/>
        <n v="8829.0"/>
        <n v="4400.0"/>
        <n v="5483.0"/>
        <n v="9391.0"/>
        <n v="1.0"/>
        <n v="6879.0"/>
        <n v="2079.0"/>
        <n v="7102.0"/>
        <n v="2940.0"/>
        <n v="6205.0"/>
        <n v="1390.0"/>
        <n v="207.0"/>
        <n v="590.0"/>
        <n v="1980.0"/>
        <n v="933.0"/>
        <n v="1165.0"/>
        <n v="7590.0"/>
        <n v="3.0"/>
        <n v="217.0"/>
        <n v="428.0"/>
        <n v="10402.0"/>
        <n v="297.0"/>
        <n v="9895.0"/>
        <n v="6727.0"/>
        <n v="3643.0"/>
        <n v="1072.0"/>
        <n v="3708.0"/>
        <n v="853.0"/>
        <n v="8615.0"/>
        <n v="8253.0"/>
        <n v="5208.0"/>
        <n v="1126.0"/>
        <n v="9812.0"/>
        <n v="2658.0"/>
        <n v="20450.0"/>
        <n v="2593.0"/>
        <n v="2770.0"/>
        <n v="7739.0"/>
        <n v="1470.0"/>
        <n v="9714.0"/>
        <n v="12583.0"/>
        <n v="3255.0"/>
        <n v="2777.0"/>
        <n v="7025.0"/>
        <n v="1427.0"/>
        <n v="11829.0"/>
        <n v="10555.0"/>
        <n v="2564.0"/>
        <n v="5899.0"/>
        <n v="5589.0"/>
        <n v="804.0"/>
        <n v="12644.0"/>
        <n v="2759.0"/>
        <n v="17387.0"/>
        <n v="12869.0"/>
        <n v="88.0"/>
        <n v="276.0"/>
        <n v="80.0"/>
        <n v="6749.0"/>
        <n v="12913.0"/>
        <n v="16728.0"/>
        <n v="6261.0"/>
        <n v="4517.0"/>
        <n v="224.0"/>
        <n v="4101.0"/>
        <n v="22325.0"/>
        <n v="2322.0"/>
        <n v="1903.0"/>
        <n v="4167.0"/>
        <n v="2875.0"/>
        <n v="13151.0"/>
        <n v="17438.0"/>
        <n v="8127.0"/>
        <n v="10055.0"/>
        <n v="9132.0"/>
        <n v="7550.0"/>
        <n v="13640.0"/>
        <n v="6262.0"/>
        <n v="18866.0"/>
        <n v="12692.0"/>
        <n v="10983.0"/>
        <n v="5914.0"/>
        <n v="1796.0"/>
        <n v="84.0"/>
        <n v="3548.0"/>
        <n v="2316.0"/>
        <n v="15400.0"/>
        <n v="18368.0"/>
        <n v="6587.0"/>
        <n v="12403.0"/>
        <n v="6684.0"/>
        <n v="9946.0"/>
        <n v="11466.0"/>
        <n v="4783.0"/>
        <n v="242.0"/>
        <n v="1512.0"/>
        <n v="8509.0"/>
        <n v="17321.0"/>
        <n v="2059.0"/>
        <n v="6055.0"/>
        <n v="4858.0"/>
        <n v="9889.0"/>
        <n v="2360.0"/>
        <n v="17287.0"/>
        <n v="20564.0"/>
        <n v="14232.0"/>
        <n v="20004.0"/>
        <n v="4949.0"/>
        <n v="12410.0"/>
        <n v="7548.0"/>
        <n v="20035.0"/>
        <n v="13046.0"/>
        <n v="3408.0"/>
        <n v="10160.0"/>
        <n v="13041.0"/>
        <n v="5610.0"/>
        <n v="1822.0"/>
        <n v="11057.0"/>
        <n v="2639.0"/>
        <n v="2775.0"/>
        <n v="12948.0"/>
        <n v="1032.0"/>
        <n v="6256.0"/>
        <n v="2820.0"/>
        <n v="2587.0"/>
        <n v="5102.0"/>
        <n v="9293.0"/>
        <n v="12832.0"/>
        <n v="2405.0"/>
        <n v="2475.0"/>
        <n v="8107.0"/>
        <n v="2203.0"/>
        <n v="3233.0"/>
        <n v="2862.0"/>
        <n v="3242.0"/>
        <n v="2011.0"/>
        <n v="4624.0"/>
        <n v="2979.0"/>
        <n v="7804.0"/>
        <n v="2433.0"/>
        <n v="2783.0"/>
        <n v="500.0"/>
        <n v="1556.0"/>
        <n v="8021.0"/>
        <n v="10244.0"/>
        <n v="110.0"/>
        <n v="10941.0"/>
        <n v="13891.0"/>
        <n v="11042.0"/>
        <n v="7884.0"/>
        <n v="12477.0"/>
        <n v="18535.0"/>
        <n v="6524.0"/>
        <n v="2818.0"/>
        <n v="7668.0"/>
        <n v="7625.0"/>
        <n v="2926.0"/>
        <n v="72.0"/>
        <n v="4706.0"/>
        <n v="9809.0"/>
        <n v="584.0"/>
        <n v="950.0"/>
        <n v="4098.0"/>
        <n v="2793.0"/>
        <n v="7597.0"/>
        <n v="3310.0"/>
        <n v="469.0"/>
        <n v="1716.0"/>
        <n v="8486.0"/>
        <n v="675.0"/>
        <n v="6882.0"/>
        <n v="4606.0"/>
        <n v="14107.0"/>
        <n v="7139.0"/>
        <n v="14057.0"/>
        <n v="531.0"/>
        <n v="2263.0"/>
        <n v="82.0"/>
        <n v="14671.0"/>
        <n v="3975.0"/>
        <n v="1901.0"/>
        <n v="3101.0"/>
        <n v="5271.0"/>
        <n v="7346.0"/>
        <n v="11388.0"/>
        <n v="114.0"/>
        <n v="3179.0"/>
        <n v="6196.0"/>
        <n v="7015.0"/>
        <n v="2568.0"/>
        <n v="2218.0"/>
        <n v="7840.0"/>
      </sharedItems>
    </cacheField>
    <cacheField name="Route_Another_ER" numFmtId="0">
      <sharedItems containsString="0" containsBlank="1" containsNumber="1" containsInteger="1">
        <n v="327.0"/>
        <n v="547.0"/>
        <n v="123.0"/>
        <n v="953.0"/>
        <n v="26.0"/>
        <m/>
        <n v="288.0"/>
        <n v="51.0"/>
        <n v="48.0"/>
        <n v="12.0"/>
        <n v="4631.0"/>
        <n v="34.0"/>
        <n v="243.0"/>
        <n v="77.0"/>
        <n v="1042.0"/>
        <n v="270.0"/>
        <n v="3.0"/>
        <n v="39.0"/>
        <n v="132.0"/>
        <n v="1.0"/>
        <n v="56.0"/>
        <n v="300.0"/>
        <n v="13.0"/>
        <n v="616.0"/>
        <n v="256.0"/>
        <n v="88.0"/>
        <n v="2471.0"/>
        <n v="29.0"/>
        <n v="6.0"/>
        <n v="2.0"/>
        <n v="875.0"/>
        <n v="71.0"/>
        <n v="33.0"/>
        <n v="657.0"/>
        <n v="36.0"/>
        <n v="20.0"/>
        <n v="117.0"/>
        <n v="59.0"/>
        <n v="127.0"/>
        <n v="232.0"/>
        <n v="55.0"/>
        <n v="684.0"/>
        <n v="1022.0"/>
        <n v="359.0"/>
        <n v="8.0"/>
        <n v="461.0"/>
        <n v="90.0"/>
        <n v="44.0"/>
        <n v="685.0"/>
        <n v="268.0"/>
        <n v="165.0"/>
        <n v="1641.0"/>
        <n v="294.0"/>
        <n v="32.0"/>
        <n v="542.0"/>
        <n v="9.0"/>
        <n v="1712.0"/>
        <n v="1183.0"/>
        <n v="3367.0"/>
        <n v="214.0"/>
        <n v="6042.0"/>
        <n v="113.0"/>
        <n v="261.0"/>
        <n v="213.0"/>
        <n v="40.0"/>
        <n v="5.0"/>
        <n v="152.0"/>
        <n v="191.0"/>
        <n v="1000.0"/>
        <n v="2368.0"/>
        <n v="16.0"/>
        <n v="41.0"/>
        <n v="76.0"/>
        <n v="372.0"/>
        <n v="5472.0"/>
        <n v="729.0"/>
        <n v="444.0"/>
        <n v="714.0"/>
        <n v="1857.0"/>
        <n v="112.0"/>
        <n v="588.0"/>
        <n v="64.0"/>
        <n v="47.0"/>
        <n v="701.0"/>
        <n v="675.0"/>
        <n v="83.0"/>
        <n v="94.0"/>
        <n v="460.0"/>
        <n v="623.0"/>
        <n v="2224.0"/>
        <n v="497.0"/>
        <n v="647.0"/>
        <n v="211.0"/>
        <n v="1715.0"/>
        <n v="851.0"/>
        <n v="1483.0"/>
        <n v="182.0"/>
        <n v="7.0"/>
        <n v="10.0"/>
        <n v="507.0"/>
        <n v="1203.0"/>
        <n v="1313.0"/>
        <n v="272.0"/>
        <n v="1456.0"/>
        <n v="54.0"/>
        <n v="38.0"/>
        <n v="35.0"/>
        <n v="66.0"/>
        <n v="1469.0"/>
        <n v="1246.0"/>
        <n v="311.0"/>
        <n v="4739.0"/>
        <n v="819.0"/>
        <n v="28.0"/>
        <n v="52.0"/>
        <n v="220.0"/>
        <n v="21.0"/>
        <n v="25.0"/>
        <n v="170.0"/>
        <n v="136.0"/>
        <n v="266.0"/>
        <n v="440.0"/>
        <n v="1659.0"/>
        <n v="719.0"/>
        <n v="229.0"/>
        <n v="958.0"/>
        <n v="670.0"/>
        <n v="14.0"/>
        <n v="45.0"/>
        <n v="131.0"/>
        <n v="130.0"/>
        <n v="11.0"/>
        <n v="185.0"/>
        <n v="68.0"/>
        <n v="72.0"/>
        <n v="84.0"/>
        <n v="431.0"/>
        <n v="15.0"/>
        <n v="1583.0"/>
        <n v="108.0"/>
        <n v="941.0"/>
        <n v="18.0"/>
        <n v="749.0"/>
        <n v="831.0"/>
        <n v="303.0"/>
        <n v="491.0"/>
        <n v="4.0"/>
        <n v="1319.0"/>
        <n v="307.0"/>
        <n v="248.0"/>
        <n v="636.0"/>
        <n v="73.0"/>
        <n v="988.0"/>
        <n v="2206.0"/>
        <n v="410.0"/>
        <n v="608.0"/>
        <n v="2310.0"/>
        <n v="75.0"/>
        <n v="5085.0"/>
        <n v="221.0"/>
        <n v="1706.0"/>
        <n v="2595.0"/>
        <n v="81.0"/>
        <n v="201.0"/>
        <n v="814.0"/>
        <n v="1369.0"/>
        <n v="407.0"/>
        <n v="24.0"/>
        <n v="119.0"/>
        <n v="2481.0"/>
        <n v="5257.0"/>
        <n v="2394.0"/>
        <n v="30.0"/>
        <n v="2604.0"/>
        <n v="393.0"/>
        <n v="179.0"/>
        <n v="296.0"/>
        <n v="620.0"/>
        <n v="1174.0"/>
        <n v="2822.0"/>
        <n v="1229.0"/>
        <n v="1053.0"/>
        <n v="253.0"/>
        <n v="111.0"/>
        <n v="49.0"/>
        <n v="707.0"/>
        <n v="166.0"/>
        <n v="907.0"/>
        <n v="19.0"/>
        <n v="109.0"/>
        <n v="202.0"/>
        <n v="492.0"/>
        <n v="351.0"/>
        <n v="176.0"/>
        <n v="103.0"/>
        <n v="1365.0"/>
        <n v="737.0"/>
        <n v="145.0"/>
        <n v="1532.0"/>
        <n v="23.0"/>
        <n v="457.0"/>
        <n v="167.0"/>
        <n v="355.0"/>
        <n v="187.0"/>
        <n v="586.0"/>
        <n v="22.0"/>
        <n v="848.0"/>
        <n v="1185.0"/>
        <n v="276.0"/>
        <n v="43.0"/>
        <n v="278.0"/>
        <n v="589.0"/>
        <n v="265.0"/>
        <n v="53.0"/>
        <n v="2871.0"/>
        <n v="3929.0"/>
        <n v="420.0"/>
        <n v="17.0"/>
        <n v="1913.0"/>
        <n v="105.0"/>
        <n v="159.0"/>
        <n v="116.0"/>
        <n v="2433.0"/>
        <n v="74.0"/>
        <n v="1094.0"/>
        <n v="454.0"/>
        <n v="124.0"/>
        <n v="222.0"/>
        <n v="245.0"/>
        <n v="226.0"/>
        <n v="1777.0"/>
        <n v="144.0"/>
        <n v="106.0"/>
        <n v="301.0"/>
      </sharedItems>
    </cacheField>
    <cacheField name="Route_No_ER" numFmtId="0">
      <sharedItems containsString="0" containsBlank="1" containsNumber="1" containsInteger="1">
        <n v="335.0"/>
        <n v="9702.0"/>
        <n v="2181.0"/>
        <n v="656.0"/>
        <n v="6979.0"/>
        <n v="331.0"/>
        <n v="2480.0"/>
        <n v="898.0"/>
        <n v="3652.0"/>
        <n v="781.0"/>
        <n v="3736.0"/>
        <n v="329.0"/>
        <n v="1149.0"/>
        <n v="447.0"/>
        <n v="2949.0"/>
        <n v="10396.0"/>
        <n v="9084.0"/>
        <n v="593.0"/>
        <n v="202.0"/>
        <n v="2128.0"/>
        <n v="6451.0"/>
        <n v="141.0"/>
        <n v="39.0"/>
        <n v="296.0"/>
        <n v="2317.0"/>
        <n v="1000.0"/>
        <n v="9612.0"/>
        <n v="7204.0"/>
        <n v="2392.0"/>
        <n v="985.0"/>
        <n v="630.0"/>
        <n v="4583.0"/>
        <n v="756.0"/>
        <n v="746.0"/>
        <n v="941.0"/>
        <n v="299.0"/>
        <n v="10434.0"/>
        <n v="719.0"/>
        <n v="16527.0"/>
        <n v="2718.0"/>
        <n v="7636.0"/>
        <n v="736.0"/>
        <n v="921.0"/>
        <n v="4355.0"/>
        <n v="190.0"/>
        <n v="309.0"/>
        <n v="246.0"/>
        <n v="466.0"/>
        <n v="38.0"/>
        <n v="96.0"/>
        <n v="2536.0"/>
        <n v="67.0"/>
        <n v="1638.0"/>
        <n v="2061.0"/>
        <n v="448.0"/>
        <n v="8.0"/>
        <n v="1428.0"/>
        <n v="7933.0"/>
        <n v="4493.0"/>
        <n v="73.0"/>
        <n v="6579.0"/>
        <n v="2425.0"/>
        <n v="964.0"/>
        <n v="6143.0"/>
        <n v="298.0"/>
        <n v="1711.0"/>
        <n v="1801.0"/>
        <n v="241.0"/>
        <n v="308.0"/>
        <n v="11.0"/>
        <n v="5297.0"/>
        <n v="405.0"/>
        <n v="692.0"/>
        <n v="416.0"/>
        <n v="546.0"/>
        <n v="5134.0"/>
        <n v="7331.0"/>
        <n v="16.0"/>
        <n v="703.0"/>
        <n v="670.0"/>
        <n v="3989.0"/>
        <n v="674.0"/>
        <n v="1513.0"/>
        <n v="6112.0"/>
        <n v="6047.0"/>
        <n v="1813.0"/>
        <n v="990.0"/>
        <n v="3353.0"/>
        <n v="4802.0"/>
        <n v="6545.0"/>
        <n v="7387.0"/>
        <n v="3560.0"/>
        <n v="422.0"/>
        <n v="135.0"/>
        <n v="442.0"/>
        <n v="3580.0"/>
        <n v="980.0"/>
        <n v="523.0"/>
        <n v="206.0"/>
        <n v="1059.0"/>
        <n v="219.0"/>
        <n v="484.0"/>
        <n v="4122.0"/>
        <n v="145.0"/>
        <n v="7006.0"/>
        <n v="168.0"/>
        <n v="106.0"/>
        <n v="4475.0"/>
        <n v="10436.0"/>
        <n v="7973.0"/>
        <n v="5274.0"/>
        <n v="10610.0"/>
        <n v="1223.0"/>
        <n v="9047.0"/>
        <n v="13938.0"/>
        <n v="6002.0"/>
        <n v="6117.0"/>
        <n v="5373.0"/>
        <n v="1311.0"/>
        <n v="1109.0"/>
        <n v="8039.0"/>
        <n v="762.0"/>
        <n v="5760.0"/>
        <n v="809.0"/>
        <n v="4526.0"/>
        <n v="678.0"/>
        <n v="3262.0"/>
        <n v="4259.0"/>
        <n v="237.0"/>
        <n v="279.0"/>
        <n v="78.0"/>
        <n v="23938.0"/>
        <n v="3074.0"/>
        <n v="358.0"/>
        <n v="1086.0"/>
        <n v="677.0"/>
        <n v="11035.0"/>
        <n v="7233.0"/>
        <n v="7609.0"/>
        <n v="4528.0"/>
        <n v="835.0"/>
        <n v="1742.0"/>
        <n v="498.0"/>
        <n v="6854.0"/>
        <n v="223.0"/>
        <n v="218.0"/>
        <n v="5999.0"/>
        <n v="7397.0"/>
        <n v="80.0"/>
        <n v="3544.0"/>
        <n v="11266.0"/>
        <n v="6714.0"/>
        <n v="2068.0"/>
        <n v="312.0"/>
        <n v="10046.0"/>
        <n v="2589.0"/>
        <n v="201.0"/>
        <n v="4007.0"/>
        <n v="1425.0"/>
        <n v="672.0"/>
        <n v="4211.0"/>
        <n v="7125.0"/>
        <n v="9313.0"/>
        <n v="3399.0"/>
        <n v="2526.0"/>
        <n v="5151.0"/>
        <n v="896.0"/>
        <n v="9958.0"/>
        <n v="36.0"/>
        <n v="18.0"/>
        <n v="7969.0"/>
        <n v="13419.0"/>
        <n v="10265.0"/>
        <n v="212.0"/>
        <n v="2964.0"/>
        <n v="150.0"/>
        <n v="1645.0"/>
        <n v="2977.0"/>
        <n v="483.0"/>
        <n v="629.0"/>
        <n v="4372.0"/>
        <n v="518.0"/>
        <n v="65.0"/>
        <n v="1837.0"/>
        <n v="624.0"/>
        <n v="1241.0"/>
        <n v="5367.0"/>
        <n v="25.0"/>
        <n v="54.0"/>
        <n v="74.0"/>
        <n v="4767.0"/>
        <n v="105.0"/>
        <n v="3191.0"/>
        <n v="4369.0"/>
        <n v="2386.0"/>
        <n v="879.0"/>
        <n v="1074.0"/>
        <n v="3248.0"/>
        <n v="4838.0"/>
        <n v="10.0"/>
        <n v="2284.0"/>
        <n v="520.0"/>
        <n v="934.0"/>
        <n v="2898.0"/>
        <n v="4761.0"/>
        <n v="20347.0"/>
        <n v="132.0"/>
        <n v="1156.0"/>
        <n v="6230.0"/>
        <n v="8668.0"/>
        <n v="291.0"/>
        <n v="91.0"/>
        <n v="5249.0"/>
        <n v="1013.0"/>
        <n v="12691.0"/>
        <n v="7040.0"/>
        <n v="1103.0"/>
        <n v="143.0"/>
        <n v="713.0"/>
        <n v="5414.0"/>
        <n v="370.0"/>
        <n v="58.0"/>
        <n v="17231.0"/>
        <n v="1853.0"/>
        <n v="2003.0"/>
        <n v="177.0"/>
        <n v="293.0"/>
        <n v="8801.0"/>
        <n v="16282.0"/>
        <n v="32.0"/>
        <n v="43.0"/>
        <n v="61.0"/>
        <n v="19.0"/>
        <n v="1496.0"/>
        <n v="4085.0"/>
        <n v="4977.0"/>
        <n v="6441.0"/>
        <n v="1792.0"/>
        <n v="3116.0"/>
        <n v="449.0"/>
        <n v="2785.0"/>
        <n v="7311.0"/>
        <n v="173.0"/>
        <n v="307.0"/>
        <n v="1218.0"/>
        <n v="8513.0"/>
        <n v="3359.0"/>
        <n v="5604.0"/>
        <n v="387.0"/>
        <n v="5021.0"/>
        <n v="738.0"/>
        <n v="994.0"/>
        <n v="3007.0"/>
        <n v="958.0"/>
        <n v="9.0"/>
        <n v="2429.0"/>
        <n v="5629.0"/>
        <n v="5259.0"/>
        <n v="3687.0"/>
        <n v="10395.0"/>
        <n v="18353.0"/>
        <n v="7446.0"/>
        <n v="240.0"/>
        <n v="24.0"/>
        <n v="637.0"/>
        <n v="855.0"/>
        <n v="1556.0"/>
        <n v="217.0"/>
        <n v="895.0"/>
        <m/>
        <n v="1209.0"/>
        <n v="107.0"/>
        <n v="391.0"/>
        <n v="694.0"/>
        <n v="20305.0"/>
        <n v="6110.0"/>
        <n v="438.0"/>
        <n v="4872.0"/>
        <n v="4748.0"/>
        <n v="4148.0"/>
        <n v="4424.0"/>
        <n v="3909.0"/>
        <n v="1194.0"/>
        <n v="12.0"/>
        <n v="768.0"/>
        <n v="544.0"/>
        <n v="1329.0"/>
        <n v="868.0"/>
        <n v="1084.0"/>
        <n v="383.0"/>
        <n v="3466.0"/>
        <n v="5.0"/>
        <n v="210.0"/>
        <n v="11734.0"/>
        <n v="596.0"/>
        <n v="7744.0"/>
        <n v="567.0"/>
        <n v="15220.0"/>
        <n v="9638.0"/>
        <n v="14601.0"/>
        <n v="11486.0"/>
        <n v="915.0"/>
        <n v="932.0"/>
        <n v="376.0"/>
        <n v="11369.0"/>
        <n v="2060.0"/>
        <n v="19475.0"/>
        <n v="7352.0"/>
        <n v="3269.0"/>
        <n v="6387.0"/>
        <n v="4471.0"/>
        <n v="1224.0"/>
        <n v="243.0"/>
        <n v="1718.0"/>
        <n v="684.0"/>
        <n v="9163.0"/>
        <n v="702.0"/>
        <n v="1146.0"/>
        <n v="8558.0"/>
        <n v="505.0"/>
        <n v="2092.0"/>
        <n v="3942.0"/>
        <n v="1337.0"/>
        <n v="1351.0"/>
        <n v="22402.0"/>
        <n v="112.0"/>
        <n v="11200.0"/>
        <n v="1327.0"/>
        <n v="396.0"/>
        <n v="2834.0"/>
        <n v="2687.0"/>
        <n v="8749.0"/>
        <n v="1257.0"/>
        <n v="203.0"/>
        <n v="1220.0"/>
        <n v="9762.0"/>
        <n v="913.0"/>
        <n v="2171.0"/>
        <n v="2690.0"/>
        <n v="1255.0"/>
        <n v="180.0"/>
        <n v="357.0"/>
        <n v="890.0"/>
        <n v="525.0"/>
        <n v="66.0"/>
        <n v="5301.0"/>
        <n v="2990.0"/>
        <n v="6325.0"/>
        <n v="470.0"/>
        <n v="1195.0"/>
        <n v="8816.0"/>
        <n v="7575.0"/>
        <n v="12494.0"/>
        <n v="5620.0"/>
        <n v="2624.0"/>
        <n v="9493.0"/>
        <n v="12941.0"/>
        <n v="213.0"/>
        <n v="14413.0"/>
        <n v="712.0"/>
        <n v="13362.0"/>
        <n v="120.0"/>
        <n v="2892.0"/>
        <n v="1702.0"/>
        <n v="1765.0"/>
        <n v="429.0"/>
        <n v="239.0"/>
        <n v="1122.0"/>
        <n v="4437.0"/>
        <n v="818.0"/>
        <n v="56.0"/>
        <n v="339.0"/>
        <n v="441.0"/>
        <n v="5339.0"/>
        <n v="95.0"/>
        <n v="606.0"/>
        <n v="3988.0"/>
        <n v="3631.0"/>
        <n v="368.0"/>
        <n v="862.0"/>
        <n v="2674.0"/>
        <n v="231.0"/>
        <n v="381.0"/>
        <n v="4801.0"/>
        <n v="116.0"/>
        <n v="4249.0"/>
        <n v="11605.0"/>
        <n v="2309.0"/>
        <n v="5399.0"/>
        <n v="739.0"/>
        <n v="99.0"/>
        <n v="230.0"/>
        <n v="926.0"/>
        <n v="3.0"/>
        <n v="48.0"/>
        <n v="1263.0"/>
        <n v="156.0"/>
        <n v="13234.0"/>
        <n v="2878.0"/>
        <n v="373.0"/>
        <n v="224.0"/>
        <n v="9412.0"/>
        <n v="4917.0"/>
        <n v="5658.0"/>
        <n v="374.0"/>
        <n v="328.0"/>
        <n v="1321.0"/>
        <n v="3763.0"/>
        <n v="1896.0"/>
        <n v="2489.0"/>
        <n v="4252.0"/>
      </sharedItems>
    </cacheField>
    <cacheField name="Route_NA" numFmtId="0">
      <sharedItems containsString="0" containsBlank="1" containsNumber="1" containsInteger="1">
        <m/>
        <n v="14.0"/>
        <n v="7.0"/>
        <n v="5.0"/>
        <n v="3.0"/>
        <n v="105.0"/>
        <n v="2.0"/>
        <n v="22.0"/>
        <n v="4.0"/>
        <n v="16.0"/>
        <n v="108.0"/>
        <n v="1.0"/>
        <n v="57.0"/>
        <n v="8.0"/>
        <n v="13.0"/>
        <n v="19.0"/>
        <n v="9.0"/>
        <n v="47.0"/>
        <n v="21.0"/>
        <n v="6.0"/>
        <n v="42.0"/>
        <n v="52.0"/>
        <n v="10.0"/>
        <n v="17.0"/>
        <n v="40.0"/>
        <n v="43.0"/>
        <n v="115.0"/>
        <n v="25.0"/>
        <n v="70.0"/>
      </sharedItems>
    </cacheField>
    <cacheField name="dsch_days" numFmtId="0">
      <sharedItems containsSemiMixedTypes="0" containsString="0" containsNumber="1" containsInteger="1">
        <n v="85839.0"/>
        <n v="60441.0"/>
        <n v="41285.0"/>
        <n v="16229.0"/>
        <n v="133268.0"/>
        <n v="23259.0"/>
        <n v="63533.0"/>
        <n v="17227.0"/>
        <n v="58714.0"/>
        <n v="3747.0"/>
        <n v="42792.0"/>
        <n v="35608.0"/>
        <n v="23540.0"/>
        <n v="6275.0"/>
        <n v="2385.0"/>
        <n v="44615.0"/>
        <n v="104645.0"/>
        <n v="53205.0"/>
        <n v="10181.0"/>
        <n v="3660.0"/>
        <n v="64812.0"/>
        <n v="86169.0"/>
        <n v="1635.0"/>
        <n v="2870.0"/>
        <n v="7822.0"/>
        <n v="40854.0"/>
        <n v="25435.0"/>
        <n v="117891.0"/>
        <n v="57707.0"/>
        <n v="60503.0"/>
        <n v="17484.0"/>
        <n v="18300.0"/>
        <n v="37175.0"/>
        <n v="10163.0"/>
        <n v="7089.0"/>
        <n v="18143.0"/>
        <n v="3856.0"/>
        <n v="96978.0"/>
        <n v="9971.0"/>
        <n v="296985.0"/>
        <n v="10829.0"/>
        <n v="118627.0"/>
        <n v="17127.0"/>
        <n v="1839.0"/>
        <n v="35419.0"/>
        <n v="5645.0"/>
        <n v="3830.0"/>
        <n v="7397.0"/>
        <n v="5750.0"/>
        <n v="1043.0"/>
        <n v="4354.0"/>
        <n v="38415.0"/>
        <n v="4311.0"/>
        <n v="24947.0"/>
        <n v="19259.0"/>
        <n v="2919.0"/>
        <n v="422.0"/>
        <n v="24759.0"/>
        <n v="77549.0"/>
        <n v="64176.0"/>
        <n v="11060.0"/>
        <n v="47509.0"/>
        <n v="11058.0"/>
        <n v="20912.0"/>
        <n v="74571.0"/>
        <n v="3327.0"/>
        <n v="22254.0"/>
        <n v="18574.0"/>
        <n v="9765.0"/>
        <n v="5137.0"/>
        <n v="3586.0"/>
        <n v="50484.0"/>
        <n v="6389.0"/>
        <n v="6971.0"/>
        <n v="3581.0"/>
        <n v="26639.0"/>
        <n v="36697.0"/>
        <n v="89016.0"/>
        <n v="441.0"/>
        <n v="26905.0"/>
        <n v="22927.0"/>
        <n v="66386.0"/>
        <n v="9871.0"/>
        <n v="33713.0"/>
        <n v="77009.0"/>
        <n v="79030.0"/>
        <n v="26536.0"/>
        <n v="67354.0"/>
        <n v="15972.0"/>
        <n v="48087.0"/>
        <n v="47147.0"/>
        <n v="107362.0"/>
        <n v="75518.0"/>
        <n v="60077.0"/>
        <n v="16831.0"/>
        <n v="15199.0"/>
        <n v="34202.0"/>
        <n v="56832.0"/>
        <n v="49887.0"/>
        <n v="48223.0"/>
        <n v="34401.0"/>
        <n v="14423.0"/>
        <n v="12724.0"/>
        <n v="25636.0"/>
        <n v="23016.0"/>
        <n v="48186.0"/>
        <n v="12190.0"/>
        <n v="108119.0"/>
        <n v="16096.0"/>
        <n v="12745.0"/>
        <n v="38299.0"/>
        <n v="102971.0"/>
        <n v="113401.0"/>
        <n v="68372.0"/>
        <n v="130621.0"/>
        <n v="38589.0"/>
        <n v="127794.0"/>
        <n v="141828.0"/>
        <n v="53972.0"/>
        <n v="38908.0"/>
        <n v="42717.0"/>
        <n v="49070.0"/>
        <n v="32653.0"/>
        <n v="96062.0"/>
        <n v="21538.0"/>
        <n v="50121.0"/>
        <n v="35906.0"/>
        <n v="48698.0"/>
        <n v="42852.0"/>
        <n v="96493.0"/>
        <n v="66539.0"/>
        <n v="6998.0"/>
        <n v="16353.0"/>
        <n v="33524.0"/>
        <n v="305878.0"/>
        <n v="74558.0"/>
        <n v="15790.0"/>
        <n v="59917.0"/>
        <n v="29948.0"/>
        <n v="104323.0"/>
        <n v="113019.0"/>
        <n v="65235.0"/>
        <n v="52809.0"/>
        <n v="16902.0"/>
        <n v="86780.0"/>
        <n v="701.0"/>
        <n v="85849.0"/>
        <n v="33296.0"/>
        <n v="23892.0"/>
        <n v="100016.0"/>
        <n v="54882.0"/>
        <n v="74933.0"/>
        <n v="10079.0"/>
        <n v="18160.0"/>
        <n v="168826.0"/>
        <n v="71421.0"/>
        <n v="30850.0"/>
        <n v="7506.0"/>
        <n v="39285.0"/>
        <n v="90883.0"/>
        <n v="29380.0"/>
        <n v="24279.0"/>
        <n v="55747.0"/>
        <n v="13127.0"/>
        <n v="13901.0"/>
        <n v="106272.0"/>
        <n v="169189.0"/>
        <n v="54302.0"/>
        <n v="69650.0"/>
        <n v="37465.0"/>
        <n v="41002.0"/>
        <n v="4706.0"/>
        <n v="87545.0"/>
        <n v="3164.0"/>
        <n v="5128.0"/>
        <n v="46473.0"/>
        <n v="70328.0"/>
        <n v="82899.0"/>
        <n v="88955.0"/>
        <n v="46924.0"/>
        <n v="3825.0"/>
        <n v="11029.0"/>
        <n v="17863.0"/>
        <n v="62619.0"/>
        <n v="16098.0"/>
        <n v="29590.0"/>
        <n v="51680.0"/>
        <n v="6634.0"/>
        <n v="6508.0"/>
        <n v="4599.0"/>
        <n v="15101.0"/>
        <n v="7327.0"/>
        <n v="6184.0"/>
        <n v="51100.0"/>
        <n v="3682.0"/>
        <n v="9909.0"/>
        <n v="4316.0"/>
        <n v="1277.0"/>
        <n v="70680.0"/>
        <n v="5870.0"/>
        <n v="48960.0"/>
        <n v="49169.0"/>
        <n v="23910.0"/>
        <n v="20596.0"/>
        <n v="18008.0"/>
        <n v="8523.0"/>
        <n v="75968.0"/>
        <n v="54183.0"/>
        <n v="1723.0"/>
        <n v="33253.0"/>
        <n v="25170.0"/>
        <n v="19822.0"/>
        <n v="38759.0"/>
        <n v="77951.0"/>
        <n v="34261.0"/>
        <n v="155855.0"/>
        <n v="20320.0"/>
        <n v="15973.0"/>
        <n v="52470.0"/>
        <n v="32746.0"/>
        <n v="68966.0"/>
        <n v="139054.0"/>
        <n v="16097.0"/>
        <n v="11208.0"/>
        <n v="2535.0"/>
        <n v="47761.0"/>
        <n v="11077.0"/>
        <n v="90660.0"/>
        <n v="83021.0"/>
        <n v="23548.0"/>
        <n v="42920.0"/>
        <n v="27445.0"/>
        <n v="52885.0"/>
        <n v="4832.0"/>
        <n v="8948.0"/>
        <n v="6494.0"/>
        <n v="110432.0"/>
        <n v="4502.0"/>
        <n v="21027.0"/>
        <n v="12644.0"/>
        <n v="10477.0"/>
        <n v="12216.0"/>
        <n v="123893.0"/>
        <n v="113668.0"/>
        <n v="5554.0"/>
        <n v="8320.0"/>
        <n v="1369.0"/>
        <n v="749.0"/>
        <n v="24655.0"/>
        <n v="62405.0"/>
        <n v="102612.0"/>
        <n v="86191.0"/>
        <n v="51674.0"/>
        <n v="19946.0"/>
        <n v="13753.0"/>
        <n v="1318.0"/>
        <n v="25884.0"/>
        <n v="148193.0"/>
        <n v="10094.0"/>
        <n v="13910.0"/>
        <n v="14924.0"/>
        <n v="50337.0"/>
        <n v="18620.0"/>
        <n v="69783.0"/>
        <n v="6195.0"/>
        <n v="137054.0"/>
        <n v="8504.0"/>
        <n v="44524.0"/>
        <n v="53683.0"/>
        <n v="13004.0"/>
        <n v="1722.0"/>
        <n v="62410.0"/>
        <n v="66350.0"/>
        <n v="100360.0"/>
        <n v="81594.0"/>
        <n v="214082.0"/>
        <n v="155075.0"/>
        <n v="76930.0"/>
        <n v="58079.0"/>
        <n v="14893.0"/>
        <n v="18501.0"/>
        <n v="41136.0"/>
        <n v="27337.0"/>
        <n v="17556.0"/>
        <n v="6864.0"/>
        <n v="3757.0"/>
        <n v="4271.0"/>
        <n v="11703.0"/>
        <n v="10215.0"/>
        <n v="3485.0"/>
        <n v="17129.0"/>
        <n v="10557.0"/>
        <n v="146835.0"/>
        <n v="159713.0"/>
        <n v="868.0"/>
        <n v="22938.0"/>
        <n v="47198.0"/>
        <n v="84885.0"/>
        <n v="87817.0"/>
        <n v="70713.0"/>
        <n v="71151.0"/>
        <n v="18028.0"/>
        <n v="556.0"/>
        <n v="24455.0"/>
        <n v="21706.0"/>
        <n v="44846.0"/>
        <n v="13264.0"/>
        <n v="40713.0"/>
        <n v="13066.0"/>
        <n v="133351.0"/>
        <n v="7247.0"/>
        <n v="22979.0"/>
        <n v="93424.0"/>
        <n v="21581.0"/>
        <n v="32128.0"/>
        <n v="116509.0"/>
        <n v="36878.0"/>
        <n v="114463.0"/>
        <n v="58116.0"/>
        <n v="147541.0"/>
        <n v="17657.0"/>
        <n v="110236.0"/>
        <n v="162234.0"/>
        <n v="32990.0"/>
        <n v="20323.0"/>
        <n v="33748.0"/>
        <n v="115052.0"/>
        <n v="55592.0"/>
        <n v="244041.0"/>
        <n v="112339.0"/>
        <n v="80315.0"/>
        <n v="33237.0"/>
        <n v="57568.0"/>
        <n v="29871.0"/>
        <n v="3437.0"/>
        <n v="85916.0"/>
        <n v="26038.0"/>
        <n v="88352.0"/>
        <n v="8236.0"/>
        <n v="97601.0"/>
        <n v="67890.0"/>
        <n v="90305.0"/>
        <n v="6401.0"/>
        <n v="35980.0"/>
        <n v="92501.0"/>
        <n v="28237.0"/>
        <n v="26274.0"/>
        <n v="265442.0"/>
        <n v="6485.0"/>
        <n v="92288.0"/>
        <n v="24168.0"/>
        <n v="13469.0"/>
        <n v="35488.0"/>
        <n v="60520.0"/>
        <n v="101621.0"/>
        <n v="11219.0"/>
        <n v="10409.0"/>
        <n v="13995.0"/>
        <n v="4967.0"/>
        <n v="60706.0"/>
        <n v="15514.0"/>
        <n v="21476.0"/>
        <n v="27960.0"/>
        <n v="18486.0"/>
        <n v="1201.0"/>
        <n v="23879.0"/>
        <n v="25822.0"/>
        <n v="24939.0"/>
        <n v="26261.0"/>
        <n v="58846.0"/>
        <n v="19099.0"/>
        <n v="31179.0"/>
        <n v="2491.0"/>
        <n v="14329.0"/>
        <n v="80643.0"/>
        <n v="96983.0"/>
        <n v="309.0"/>
        <n v="4571.0"/>
        <n v="64338.0"/>
        <n v="122505.0"/>
        <n v="83267.0"/>
        <n v="101295.0"/>
        <n v="148893.0"/>
        <n v="226514.0"/>
        <n v="50296.0"/>
        <n v="26156.0"/>
        <n v="108714.0"/>
        <n v="3102.0"/>
        <n v="19331.0"/>
        <n v="97933.0"/>
        <n v="5037.0"/>
        <n v="4932.0"/>
        <n v="52921.0"/>
        <n v="4085.0"/>
        <n v="15858.0"/>
        <n v="5245.0"/>
        <n v="29720.0"/>
        <n v="26731.0"/>
        <n v="69567.0"/>
        <n v="24045.0"/>
        <n v="101.0"/>
        <n v="4918.0"/>
        <n v="2847.0"/>
        <n v="5263.0"/>
        <n v="52955.0"/>
        <n v="17952.0"/>
        <n v="18302.0"/>
        <n v="53522.0"/>
        <n v="29053.0"/>
        <n v="4784.0"/>
        <n v="4145.0"/>
        <n v="3358.0"/>
        <n v="10782.0"/>
        <n v="71128.0"/>
        <n v="15167.0"/>
        <n v="11039.0"/>
        <n v="46289.0"/>
        <n v="24972.0"/>
        <n v="35073.0"/>
        <n v="139860.0"/>
        <n v="36752.0"/>
        <n v="98453.0"/>
        <n v="28352.0"/>
        <n v="37624.0"/>
        <n v="275.0"/>
        <n v="12511.0"/>
        <n v="4222.0"/>
        <n v="2293.0"/>
        <n v="5552.0"/>
        <n v="571.0"/>
        <n v="5338.0"/>
        <n v="11799.0"/>
        <n v="4489.0"/>
        <n v="7361.0"/>
        <n v="165558.0"/>
        <n v="33685.0"/>
        <n v="9649.0"/>
        <n v="35605.0"/>
        <n v="12425.0"/>
        <n v="57144.0"/>
        <n v="57369.0"/>
        <n v="86682.0"/>
        <n v="31322.0"/>
        <n v="41660.0"/>
        <n v="35185.0"/>
        <n v="53887.0"/>
        <n v="22072.0"/>
        <n v="13554.0"/>
        <n v="61767.0"/>
      </sharedItems>
    </cacheField>
    <cacheField name="Adm_Emergency" numFmtId="0">
      <sharedItems containsString="0" containsBlank="1" containsNumber="1" containsInteger="1">
        <n v="2119.0"/>
        <n v="3534.0"/>
        <n v="3862.0"/>
        <n v="6.0"/>
        <n v="8981.0"/>
        <m/>
        <n v="5688.0"/>
        <n v="3274.0"/>
        <n v="7749.0"/>
        <n v="4441.0"/>
        <n v="565.0"/>
        <n v="4183.0"/>
        <n v="2664.0"/>
        <n v="602.0"/>
        <n v="1391.0"/>
        <n v="57.0"/>
        <n v="12742.0"/>
        <n v="1.0"/>
        <n v="722.0"/>
        <n v="40.0"/>
        <n v="131.0"/>
        <n v="4184.0"/>
        <n v="11081.0"/>
        <n v="1770.0"/>
        <n v="8338.0"/>
        <n v="1342.0"/>
        <n v="2692.0"/>
        <n v="1388.0"/>
        <n v="914.0"/>
        <n v="1090.0"/>
        <n v="2451.0"/>
        <n v="12151.0"/>
        <n v="23.0"/>
        <n v="22810.0"/>
        <n v="234.0"/>
        <n v="18760.0"/>
        <n v="366.0"/>
        <n v="220.0"/>
        <n v="775.0"/>
        <n v="36.0"/>
        <n v="571.0"/>
        <n v="4422.0"/>
        <n v="295.0"/>
        <n v="1173.0"/>
        <n v="1513.0"/>
        <n v="72.0"/>
        <n v="1220.0"/>
        <n v="9856.0"/>
        <n v="5317.0"/>
        <n v="307.0"/>
        <n v="5203.0"/>
        <n v="7.0"/>
        <n v="1079.0"/>
        <n v="9769.0"/>
        <n v="19.0"/>
        <n v="1846.0"/>
        <n v="946.0"/>
        <n v="5629.0"/>
        <n v="676.0"/>
        <n v="658.0"/>
        <n v="579.0"/>
        <n v="3394.0"/>
        <n v="198.0"/>
        <n v="4.0"/>
        <n v="5631.0"/>
        <n v="213.0"/>
        <n v="254.0"/>
        <n v="6164.0"/>
        <n v="8360.0"/>
        <n v="11824.0"/>
        <n v="66.0"/>
        <n v="175.0"/>
        <n v="8389.0"/>
        <n v="329.0"/>
        <n v="3190.0"/>
        <n v="3507.0"/>
        <n v="4925.0"/>
        <n v="200.0"/>
        <n v="3605.0"/>
        <n v="9118.0"/>
        <n v="1365.0"/>
        <n v="168.0"/>
        <n v="1467.0"/>
        <n v="164.0"/>
        <n v="162.0"/>
        <n v="7222.0"/>
        <n v="2.0"/>
        <n v="2033.0"/>
        <n v="4111.0"/>
        <n v="7010.0"/>
        <n v="10301.0"/>
        <n v="3404.0"/>
        <n v="4783.0"/>
        <n v="1786.0"/>
        <n v="18527.0"/>
        <n v="6192.0"/>
        <n v="6642.0"/>
        <n v="4106.0"/>
        <n v="3721.0"/>
        <n v="708.0"/>
        <n v="11435.0"/>
        <n v="4021.0"/>
        <n v="7705.0"/>
        <n v="5388.0"/>
        <n v="5379.0"/>
        <n v="4587.0"/>
        <n v="10186.0"/>
        <n v="8517.0"/>
        <n v="13.0"/>
        <n v="24940.0"/>
        <n v="4016.0"/>
        <n v="2595.0"/>
        <n v="4507.0"/>
        <n v="10908.0"/>
        <n v="16022.0"/>
        <n v="2798.0"/>
        <n v="2826.0"/>
        <n v="3589.0"/>
        <n v="8436.0"/>
        <n v="2331.0"/>
        <n v="819.0"/>
        <n v="12508.0"/>
        <n v="6585.0"/>
        <n v="11250.0"/>
        <n v="1947.0"/>
        <n v="10568.0"/>
        <n v="3536.0"/>
        <n v="1694.0"/>
        <n v="7036.0"/>
        <n v="3429.0"/>
        <n v="3588.0"/>
        <n v="1442.0"/>
        <n v="2951.0"/>
        <n v="21.0"/>
        <n v="13648.0"/>
        <n v="20483.0"/>
        <n v="8792.0"/>
        <n v="1221.0"/>
        <n v="4273.0"/>
        <n v="439.0"/>
        <n v="4886.0"/>
        <n v="174.0"/>
        <n v="8148.0"/>
        <n v="42.0"/>
        <n v="3062.0"/>
        <n v="2195.0"/>
        <n v="1801.0"/>
        <n v="651.0"/>
        <n v="4101.0"/>
        <n v="773.0"/>
        <n v="161.0"/>
        <n v="750.0"/>
        <n v="687.0"/>
        <n v="1998.0"/>
        <n v="3.0"/>
        <n v="156.0"/>
        <n v="428.0"/>
        <n v="10399.0"/>
        <n v="296.0"/>
        <n v="9949.0"/>
        <n v="6284.0"/>
        <n v="3527.0"/>
        <n v="1347.0"/>
        <n v="1893.0"/>
        <n v="780.0"/>
        <n v="5.0"/>
        <n v="7815.0"/>
        <n v="5152.0"/>
        <n v="511.0"/>
        <n v="2305.0"/>
        <n v="3199.0"/>
        <n v="1691.0"/>
        <n v="1605.0"/>
        <n v="2588.0"/>
        <n v="2782.0"/>
        <n v="1835.0"/>
        <n v="792.0"/>
        <n v="7052.0"/>
        <n v="4167.0"/>
        <n v="3255.0"/>
        <n v="1956.0"/>
        <n v="4773.0"/>
        <n v="1193.0"/>
        <n v="9623.0"/>
        <n v="8575.0"/>
        <n v="2173.0"/>
        <n v="5896.0"/>
        <n v="3257.0"/>
        <n v="674.0"/>
        <n v="3744.0"/>
        <n v="48.0"/>
        <n v="1755.0"/>
        <n v="11432.0"/>
        <n v="1393.0"/>
        <n v="90.0"/>
        <n v="270.0"/>
        <n v="2814.0"/>
        <n v="4244.0"/>
        <n v="8119.0"/>
        <n v="6294.0"/>
        <n v="2483.0"/>
        <n v="317.0"/>
        <n v="243.0"/>
        <n v="20596.0"/>
        <n v="2193.0"/>
        <n v="1952.0"/>
        <n v="3729.0"/>
        <n v="2518.0"/>
        <n v="6904.0"/>
        <n v="8971.0"/>
        <n v="3660.0"/>
        <n v="7470.0"/>
        <n v="1339.0"/>
        <n v="4130.0"/>
        <n v="8438.0"/>
        <n v="326.0"/>
        <n v="15335.0"/>
        <n v="9419.0"/>
        <n v="1716.0"/>
        <n v="15.0"/>
        <n v="3446.0"/>
        <n v="2799.0"/>
        <n v="12.0"/>
        <n v="1795.0"/>
        <n v="140.0"/>
        <n v="37.0"/>
        <n v="2301.0"/>
        <n v="5018.0"/>
        <n v="12680.0"/>
        <n v="6513.0"/>
        <n v="6536.0"/>
        <n v="4225.0"/>
        <n v="9939.0"/>
        <n v="11560.0"/>
        <n v="4747.0"/>
        <n v="1089.0"/>
        <n v="2973.0"/>
        <n v="850.0"/>
        <n v="14797.0"/>
        <n v="1645.0"/>
        <n v="6675.0"/>
        <n v="4858.0"/>
        <n v="11364.0"/>
        <n v="373.0"/>
        <n v="1465.0"/>
        <n v="2111.0"/>
        <n v="14309.0"/>
        <n v="19524.0"/>
        <n v="9.0"/>
        <n v="4483.0"/>
        <n v="12410.0"/>
        <n v="429.0"/>
        <n v="20028.0"/>
        <n v="1283.0"/>
        <n v="3631.0"/>
        <n v="10143.0"/>
        <n v="55.0"/>
        <n v="12723.0"/>
        <n v="789.0"/>
        <n v="1255.0"/>
        <n v="8973.0"/>
        <n v="1845.0"/>
        <n v="2437.0"/>
        <n v="13545.0"/>
        <n v="1029.0"/>
        <n v="4141.0"/>
        <n v="1745.0"/>
        <n v="2567.0"/>
        <n v="4914.0"/>
        <n v="6461.0"/>
        <n v="10224.0"/>
        <n v="1453.0"/>
        <n v="111.0"/>
        <n v="779.0"/>
        <n v="951.0"/>
        <n v="2208.0"/>
        <n v="3242.0"/>
        <n v="1858.0"/>
        <n v="2422.0"/>
        <n v="355.0"/>
        <n v="2036.0"/>
        <n v="828.0"/>
        <n v="3071.0"/>
        <n v="5816.0"/>
        <n v="1774.0"/>
        <n v="774.0"/>
        <n v="524.0"/>
        <n v="1523.0"/>
        <n v="8153.0"/>
        <n v="10943.0"/>
        <n v="108.0"/>
        <n v="252.0"/>
        <n v="9897.0"/>
        <n v="8470.0"/>
        <n v="11071.0"/>
        <n v="7927.0"/>
        <n v="10801.0"/>
        <n v="18570.0"/>
        <n v="1777.0"/>
        <n v="2167.0"/>
        <n v="7617.0"/>
        <n v="2823.0"/>
        <n v="1704.0"/>
        <n v="5946.0"/>
        <n v="1524.0"/>
        <n v="46.0"/>
        <n v="4771.0"/>
        <n v="4311.0"/>
        <n v="160.0"/>
        <n v="351.0"/>
        <n v="740.0"/>
        <n v="14.0"/>
        <n v="2026.0"/>
        <n v="2691.0"/>
        <n v="503.0"/>
        <n v="430.0"/>
        <n v="1732.0"/>
        <n v="7235.0"/>
        <n v="672.0"/>
        <n v="632.0"/>
        <n v="2980.0"/>
        <n v="12661.0"/>
        <n v="7325.0"/>
        <n v="7480.0"/>
        <n v="54.0"/>
        <n v="1077.0"/>
        <n v="7021.0"/>
        <n v="1333.0"/>
        <n v="1505.0"/>
        <n v="2777.0"/>
        <n v="1553.0"/>
        <n v="207.0"/>
        <n v="6167.0"/>
        <n v="10618.0"/>
        <n v="3090.0"/>
        <n v="4782.0"/>
        <n v="6628.0"/>
        <n v="148.0"/>
        <n v="6538.0"/>
      </sharedItems>
    </cacheField>
    <cacheField name="Adm_Urgent" numFmtId="0">
      <sharedItems containsString="0" containsBlank="1" containsNumber="1" containsInteger="1">
        <n v="379.0"/>
        <n v="4666.0"/>
        <n v="1711.0"/>
        <n v="1593.0"/>
        <n v="4053.0"/>
        <m/>
        <n v="2611.0"/>
        <n v="272.0"/>
        <n v="1400.0"/>
        <n v="17.0"/>
        <n v="5412.0"/>
        <n v="256.0"/>
        <n v="3986.0"/>
        <n v="1149.0"/>
        <n v="447.0"/>
        <n v="1950.0"/>
        <n v="14312.0"/>
        <n v="9659.0"/>
        <n v="517.0"/>
        <n v="329.0"/>
        <n v="10412.0"/>
        <n v="419.0"/>
        <n v="271.0"/>
        <n v="741.0"/>
        <n v="5676.0"/>
        <n v="1538.0"/>
        <n v="1158.0"/>
        <n v="9263.0"/>
        <n v="871.0"/>
        <n v="1707.0"/>
        <n v="404.0"/>
        <n v="6686.0"/>
        <n v="722.0"/>
        <n v="48.0"/>
        <n v="1328.0"/>
        <n v="299.0"/>
        <n v="4400.0"/>
        <n v="694.0"/>
        <n v="8257.0"/>
        <n v="360.0"/>
        <n v="644.0"/>
        <n v="4.0"/>
        <n v="7254.0"/>
        <n v="210.0"/>
        <n v="426.0"/>
        <n v="3.0"/>
        <n v="115.0"/>
        <n v="539.0"/>
        <n v="2308.0"/>
        <n v="1847.0"/>
        <n v="487.0"/>
        <n v="1.0"/>
        <n v="255.0"/>
        <n v="3357.0"/>
        <n v="2396.0"/>
        <n v="3970.0"/>
        <n v="2415.0"/>
        <n v="326.0"/>
        <n v="4008.0"/>
        <n v="2798.0"/>
        <n v="20.0"/>
        <n v="307.0"/>
        <n v="18.0"/>
        <n v="1036.0"/>
        <n v="511.0"/>
        <n v="73.0"/>
        <n v="467.0"/>
        <n v="5223.0"/>
        <n v="15257.0"/>
        <n v="1540.0"/>
        <n v="6173.0"/>
        <n v="3392.0"/>
        <n v="3767.0"/>
        <n v="525.0"/>
        <n v="118.0"/>
        <n v="774.0"/>
        <n v="6087.0"/>
        <n v="4485.0"/>
        <n v="4254.0"/>
        <n v="3231.0"/>
        <n v="6.0"/>
        <n v="1590.0"/>
        <n v="6815.0"/>
        <n v="3574.0"/>
        <n v="275.0"/>
        <n v="364.0"/>
        <n v="1610.0"/>
        <n v="3053.0"/>
        <n v="6188.0"/>
        <n v="174.0"/>
        <n v="7013.0"/>
        <n v="1166.0"/>
        <n v="19.0"/>
        <n v="1956.0"/>
        <n v="1264.0"/>
        <n v="494.0"/>
        <n v="6180.0"/>
        <n v="13274.0"/>
        <n v="4175.0"/>
        <n v="1866.0"/>
        <n v="12739.0"/>
        <n v="3796.0"/>
        <n v="3106.0"/>
        <n v="3741.0"/>
        <n v="2035.0"/>
        <n v="1623.0"/>
        <n v="1424.0"/>
        <n v="2135.0"/>
        <n v="988.0"/>
        <n v="1393.0"/>
        <n v="1529.0"/>
        <n v="3001.0"/>
        <n v="157.0"/>
        <n v="7146.0"/>
        <n v="6360.0"/>
        <n v="3585.0"/>
        <n v="5446.0"/>
        <n v="3382.0"/>
        <n v="8263.0"/>
        <n v="5873.0"/>
        <n v="345.0"/>
        <n v="551.0"/>
        <n v="2888.0"/>
        <n v="399.0"/>
        <n v="3164.0"/>
        <n v="1846.0"/>
        <n v="464.0"/>
        <n v="884.0"/>
        <n v="4528.0"/>
        <n v="7514.0"/>
        <n v="2895.0"/>
        <n v="59.0"/>
        <n v="88.0"/>
        <n v="10789.0"/>
        <n v="1263.0"/>
        <n v="166.0"/>
        <n v="5702.0"/>
        <n v="794.0"/>
        <n v="868.0"/>
        <n v="2954.0"/>
        <n v="268.0"/>
        <n v="8192.0"/>
        <n v="66.0"/>
        <n v="3662.0"/>
        <n v="5327.0"/>
        <n v="58.0"/>
        <n v="3120.0"/>
        <n v="10313.0"/>
        <n v="6567.0"/>
        <n v="2.0"/>
        <n v="4699.0"/>
        <n v="1040.0"/>
        <n v="61.0"/>
        <n v="6431.0"/>
        <n v="2613.0"/>
        <n v="3280.0"/>
        <n v="678.0"/>
        <n v="640.0"/>
        <n v="882.0"/>
        <n v="412.0"/>
        <n v="651.0"/>
        <n v="7716.0"/>
        <n v="331.0"/>
        <n v="9.0"/>
        <n v="70.0"/>
        <n v="10.0"/>
        <n v="973.0"/>
        <n v="499.0"/>
        <n v="1004.0"/>
        <n v="930.0"/>
        <n v="1665.0"/>
        <n v="1916.0"/>
        <n v="117.0"/>
        <n v="10578.0"/>
        <n v="989.0"/>
        <n v="237.0"/>
        <n v="652.0"/>
        <n v="857.0"/>
        <n v="1551.0"/>
        <n v="9311.0"/>
        <n v="1666.0"/>
        <n v="20070.0"/>
        <n v="11.0"/>
        <n v="6207.0"/>
        <n v="876.0"/>
        <n v="1818.0"/>
        <n v="9267.0"/>
        <n v="1178.0"/>
        <n v="161.0"/>
        <n v="3342.0"/>
        <n v="959.0"/>
        <n v="5432.0"/>
        <n v="2574.0"/>
        <n v="425.0"/>
        <n v="94.0"/>
        <n v="2675.0"/>
        <n v="16616.0"/>
        <n v="336.0"/>
        <n v="1067.0"/>
        <n v="1077.0"/>
        <n v="7387.0"/>
        <n v="18760.0"/>
        <n v="335.0"/>
        <n v="7.0"/>
        <n v="80.0"/>
        <n v="5139.0"/>
        <n v="8746.0"/>
        <n v="9992.0"/>
        <n v="3070.0"/>
        <n v="1322.0"/>
        <n v="30.0"/>
        <n v="543.0"/>
        <n v="103.0"/>
        <n v="4964.0"/>
        <n v="1874.0"/>
        <n v="6445.0"/>
        <n v="387.0"/>
        <n v="9429.0"/>
        <n v="4689.0"/>
        <n v="2708.0"/>
        <n v="82.0"/>
        <n v="8893.0"/>
        <n v="5231.0"/>
        <n v="7546.0"/>
        <n v="6660.0"/>
        <n v="4430.0"/>
        <n v="12227.0"/>
        <n v="11571.0"/>
        <n v="5310.0"/>
        <n v="244.0"/>
        <n v="2168.0"/>
        <n v="3195.0"/>
        <n v="273.0"/>
        <n v="231.0"/>
        <n v="3902.0"/>
        <n v="376.0"/>
        <n v="20485.0"/>
        <n v="6103.0"/>
        <n v="227.0"/>
        <n v="961.0"/>
        <n v="7316.0"/>
        <n v="3881.0"/>
        <n v="93.0"/>
        <n v="677.0"/>
        <n v="245.0"/>
        <n v="903.0"/>
        <n v="2642.0"/>
        <n v="3604.0"/>
        <n v="8265.0"/>
        <n v="1041.0"/>
        <n v="6663.0"/>
        <n v="99.0"/>
        <n v="4814.0"/>
        <n v="2099.0"/>
        <n v="15595.0"/>
        <n v="5628.0"/>
        <n v="22654.0"/>
        <n v="5928.0"/>
        <n v="5237.0"/>
        <n v="3724.0"/>
        <n v="2154.0"/>
        <n v="713.0"/>
        <n v="3476.0"/>
        <n v="7120.0"/>
        <n v="5570.0"/>
        <n v="14399.0"/>
        <n v="1349.0"/>
        <n v="4441.0"/>
        <n v="948.0"/>
        <n v="1064.0"/>
        <n v="5.0"/>
        <n v="1731.0"/>
        <n v="8423.0"/>
        <n v="500.0"/>
        <n v="1345.0"/>
        <n v="760.0"/>
        <n v="1359.0"/>
        <n v="496.0"/>
        <n v="9819.0"/>
        <n v="7416.0"/>
        <n v="1862.0"/>
        <n v="146.0"/>
        <n v="1492.0"/>
        <n v="1798.0"/>
        <n v="6928.0"/>
        <n v="1307.0"/>
        <n v="1625.0"/>
        <n v="2206.0"/>
        <n v="206.0"/>
        <n v="12046.0"/>
        <n v="895.0"/>
        <n v="2678.0"/>
        <n v="1332.0"/>
        <n v="12.0"/>
        <n v="32.0"/>
        <n v="4133.0"/>
        <n v="185.0"/>
        <n v="4084.0"/>
        <n v="1533.0"/>
        <n v="5487.0"/>
        <n v="339.0"/>
        <n v="3276.0"/>
        <n v="1078.0"/>
        <n v="34.0"/>
        <n v="281.0"/>
        <n v="8452.0"/>
        <n v="454.0"/>
        <n v="692.0"/>
        <n v="2043.0"/>
        <n v="2345.0"/>
        <n v="7872.0"/>
        <n v="900.0"/>
        <n v="2260.0"/>
        <n v="54.0"/>
        <n v="12789.0"/>
        <n v="533.0"/>
        <n v="229.0"/>
        <n v="2139.0"/>
        <n v="90.0"/>
        <n v="429.0"/>
        <n v="199.0"/>
        <n v="50.0"/>
        <n v="6691.0"/>
        <n v="406.0"/>
        <n v="468.0"/>
        <n v="602.0"/>
        <n v="5734.0"/>
        <n v="1995.0"/>
        <n v="874.0"/>
        <n v="6260.0"/>
        <n v="4170.0"/>
        <n v="368.0"/>
        <n v="181.0"/>
        <n v="49.0"/>
        <n v="304.0"/>
        <n v="1111.0"/>
        <n v="8583.0"/>
        <n v="2549.0"/>
        <n v="2510.0"/>
        <n v="9217.0"/>
        <n v="979.0"/>
        <n v="7394.0"/>
        <n v="550.0"/>
        <n v="706.0"/>
        <n v="225.0"/>
        <n v="270.0"/>
        <n v="13.0"/>
        <n v="274.0"/>
        <n v="1347.0"/>
        <n v="497.0"/>
        <n v="197.0"/>
        <n v="10537.0"/>
        <n v="2673.0"/>
        <n v="347.0"/>
        <n v="340.0"/>
        <n v="369.0"/>
        <n v="9378.0"/>
        <n v="3654.0"/>
        <n v="172.0"/>
        <n v="570.0"/>
        <n v="107.0"/>
        <n v="1710.0"/>
        <n v="3374.0"/>
        <n v="1042.0"/>
        <n v="2255.0"/>
      </sharedItems>
    </cacheField>
    <cacheField name="Adm_Elective" numFmtId="0">
      <sharedItems containsString="0" containsBlank="1" containsNumber="1" containsInteger="1">
        <n v="279.0"/>
        <n v="2595.0"/>
        <n v="1536.0"/>
        <n v="10.0"/>
        <n v="1919.0"/>
        <n v="331.0"/>
        <n v="2081.0"/>
        <n v="348.0"/>
        <n v="906.0"/>
        <n v="326.0"/>
        <m/>
        <n v="2050.0"/>
        <n v="85.0"/>
        <n v="1016.0"/>
        <n v="3916.0"/>
        <n v="1453.0"/>
        <n v="277.0"/>
        <n v="184.0"/>
        <n v="1256.0"/>
        <n v="4203.0"/>
        <n v="1.0"/>
        <n v="45.0"/>
        <n v="12.0"/>
        <n v="655.0"/>
        <n v="246.0"/>
        <n v="5513.0"/>
        <n v="867.0"/>
        <n v="1565.0"/>
        <n v="546.0"/>
        <n v="3.0"/>
        <n v="623.0"/>
        <n v="397.0"/>
        <n v="418.0"/>
        <n v="429.0"/>
        <n v="1314.0"/>
        <n v="5802.0"/>
        <n v="1191.0"/>
        <n v="3024.0"/>
        <n v="1392.0"/>
        <n v="917.0"/>
        <n v="626.0"/>
        <n v="471.0"/>
        <n v="37.0"/>
        <n v="48.0"/>
        <n v="1367.0"/>
        <n v="876.0"/>
        <n v="818.0"/>
        <n v="239.0"/>
        <n v="8.0"/>
        <n v="633.0"/>
        <n v="2616.0"/>
        <n v="1482.0"/>
        <n v="40.0"/>
        <n v="1408.0"/>
        <n v="293.0"/>
        <n v="1865.0"/>
        <n v="298.0"/>
        <n v="1705.0"/>
        <n v="6.0"/>
        <n v="229.0"/>
        <n v="19.0"/>
        <n v="2703.0"/>
        <n v="143.0"/>
        <n v="330.0"/>
        <n v="170.0"/>
        <n v="141.0"/>
        <n v="1026.0"/>
        <n v="16.0"/>
        <n v="703.0"/>
        <n v="672.0"/>
        <n v="1888.0"/>
        <n v="1146.0"/>
        <n v="1030.0"/>
        <n v="2744.0"/>
        <n v="1348.0"/>
        <n v="1584.0"/>
        <n v="602.0"/>
        <n v="3361.0"/>
        <n v="252.0"/>
        <n v="3922.0"/>
        <n v="3132.0"/>
        <n v="422.0"/>
        <n v="104.0"/>
        <n v="2182.0"/>
        <n v="648.0"/>
        <n v="7.0"/>
        <n v="129.0"/>
        <n v="136.0"/>
        <n v="608.0"/>
        <n v="195.0"/>
        <n v="208.0"/>
        <n v="484.0"/>
        <n v="1505.0"/>
        <n v="3501.0"/>
        <n v="36.0"/>
        <n v="776.0"/>
        <n v="5439.0"/>
        <n v="4711.0"/>
        <n v="2985.0"/>
        <n v="5179.0"/>
        <n v="1538.0"/>
        <n v="4745.0"/>
        <n v="6013.0"/>
        <n v="1522.0"/>
        <n v="1182.0"/>
        <n v="1832.0"/>
        <n v="1311.0"/>
        <n v="227.0"/>
        <n v="3786.0"/>
        <n v="753.0"/>
        <n v="2771.0"/>
        <n v="283.0"/>
        <n v="2038.0"/>
        <n v="632.0"/>
        <n v="1559.0"/>
        <n v="237.0"/>
        <n v="10531.0"/>
        <n v="2062.0"/>
        <n v="139.0"/>
        <n v="74.0"/>
        <n v="677.0"/>
        <n v="2388.0"/>
        <n v="2393.0"/>
        <n v="1445.0"/>
        <n v="368.0"/>
        <n v="153.0"/>
        <n v="1307.0"/>
        <n v="498.0"/>
        <n v="2708.0"/>
        <n v="1353.0"/>
        <n v="142.0"/>
        <n v="1059.0"/>
        <n v="4989.0"/>
        <n v="3075.0"/>
        <n v="75.0"/>
        <n v="3544.0"/>
        <n v="5586.0"/>
        <n v="1759.0"/>
        <n v="880.0"/>
        <n v="251.0"/>
        <n v="475.0"/>
        <n v="3145.0"/>
        <n v="49.0"/>
        <n v="2179.0"/>
        <n v="650.0"/>
        <n v="2420.0"/>
        <n v="3754.0"/>
        <n v="315.0"/>
        <n v="1875.0"/>
        <n v="2520.0"/>
        <n v="1253.0"/>
        <n v="896.0"/>
        <n v="5437.0"/>
        <n v="2490.0"/>
        <n v="1915.0"/>
        <n v="1726.0"/>
        <n v="197.0"/>
        <n v="1292.0"/>
        <n v="2.0"/>
        <n v="746.0"/>
        <n v="1740.0"/>
        <n v="272.0"/>
        <n v="625.0"/>
        <n v="1443.0"/>
        <n v="478.0"/>
        <n v="60.0"/>
        <n v="556.0"/>
        <n v="542.0"/>
        <n v="470.0"/>
        <n v="1011.0"/>
        <n v="61.0"/>
        <n v="105.0"/>
        <n v="1149.0"/>
        <n v="816.0"/>
        <n v="1255.0"/>
        <n v="614.0"/>
        <n v="206.0"/>
        <n v="596.0"/>
        <n v="1854.0"/>
        <n v="2503.0"/>
        <n v="698.0"/>
        <n v="520.0"/>
        <n v="692.0"/>
        <n v="1092.0"/>
        <n v="148.0"/>
        <n v="11263.0"/>
        <n v="137.0"/>
        <n v="131.0"/>
        <n v="275.0"/>
        <n v="575.0"/>
        <n v="3875.0"/>
        <n v="4677.0"/>
        <n v="2230.0"/>
        <n v="291.0"/>
        <n v="5102.0"/>
        <n v="4201.0"/>
        <n v="1499.0"/>
        <n v="713.0"/>
        <n v="1909.0"/>
        <n v="370.0"/>
        <n v="57.0"/>
        <n v="4615.0"/>
        <n v="1625.0"/>
        <n v="2005.0"/>
        <n v="985.0"/>
        <n v="238.0"/>
        <n v="4043.0"/>
        <n v="2836.0"/>
        <n v="1496.0"/>
        <n v="1963.0"/>
        <n v="1055.0"/>
        <n v="3809.0"/>
        <n v="1487.0"/>
        <n v="463.0"/>
        <n v="27.0"/>
        <n v="1601.0"/>
        <n v="2998.0"/>
        <n v="21.0"/>
        <n v="307.0"/>
        <n v="1168.0"/>
        <n v="549.0"/>
        <n v="1674.0"/>
        <n v="2984.0"/>
        <n v="738.0"/>
        <n v="870.0"/>
        <n v="1320.0"/>
        <n v="958.0"/>
        <n v="2037.0"/>
        <n v="3919.0"/>
        <n v="2485.0"/>
        <n v="2084.0"/>
        <n v="5221.0"/>
        <n v="5864.0"/>
        <n v="1926.0"/>
        <n v="171.0"/>
        <n v="882.0"/>
        <n v="891.0"/>
        <n v="760.0"/>
        <n v="51.0"/>
        <n v="22.0"/>
        <n v="4287.0"/>
        <n v="4214.0"/>
        <n v="438.0"/>
        <n v="2329.0"/>
        <n v="1480.0"/>
        <n v="1683.0"/>
        <n v="3398.0"/>
        <n v="1516.0"/>
        <n v="5.0"/>
        <n v="383.0"/>
        <n v="868.0"/>
        <n v="1196.0"/>
        <n v="198.0"/>
        <n v="212.0"/>
        <n v="2166.0"/>
        <n v="518.0"/>
        <n v="3688.0"/>
        <n v="465.0"/>
        <n v="3691.0"/>
        <n v="2488.0"/>
        <n v="2800.0"/>
        <n v="391.0"/>
        <n v="4193.0"/>
        <n v="3718.0"/>
        <n v="5414.0"/>
        <n v="1369.0"/>
        <n v="7339.0"/>
        <n v="2129.0"/>
        <n v="953.0"/>
        <n v="2643.0"/>
        <n v="1908.0"/>
        <n v="245.0"/>
        <n v="684.0"/>
        <n v="1486.0"/>
        <n v="699.0"/>
        <n v="1148.0"/>
        <n v="2695.0"/>
        <n v="493.0"/>
        <n v="1665.0"/>
        <n v="2431.0"/>
        <n v="948.0"/>
        <n v="1302.0"/>
        <n v="10841.0"/>
        <n v="112.0"/>
        <n v="2991.0"/>
        <n v="836.0"/>
        <n v="270.0"/>
        <n v="629.0"/>
        <n v="765.0"/>
        <n v="1295.0"/>
        <n v="450.0"/>
        <n v="333.0"/>
        <n v="1338.0"/>
        <n v="813.0"/>
        <n v="732.0"/>
        <n v="161.0"/>
        <n v="150.0"/>
        <n v="300.0"/>
        <n v="634.0"/>
        <n v="295.0"/>
        <n v="66.0"/>
        <n v="2259.0"/>
        <n v="1017.0"/>
        <n v="1549.0"/>
        <n v="456.0"/>
        <n v="2200.0"/>
        <n v="5027.0"/>
        <n v="344.0"/>
        <n v="4510.0"/>
        <n v="3140.0"/>
        <n v="1045.0"/>
        <n v="5032.0"/>
        <n v="9801.0"/>
        <n v="1656.0"/>
        <n v="15.0"/>
        <n v="3574.0"/>
        <n v="13.0"/>
        <n v="342.0"/>
        <n v="2642.0"/>
        <n v="1602.0"/>
        <n v="426.0"/>
        <n v="1007.0"/>
        <n v="1112.0"/>
        <n v="56.0"/>
        <n v="149.0"/>
        <n v="253.0"/>
        <n v="1502.0"/>
        <n v="537.0"/>
        <n v="768.0"/>
        <n v="706.0"/>
        <n v="341.0"/>
        <n v="1517.0"/>
        <n v="223.0"/>
        <n v="381.0"/>
        <n v="593.0"/>
        <n v="1866.0"/>
        <n v="848.0"/>
        <n v="11.0"/>
        <n v="2164.0"/>
        <n v="740.0"/>
        <n v="230.0"/>
        <n v="926.0"/>
        <n v="199.0"/>
        <n v="443.0"/>
        <n v="41.0"/>
        <n v="5332.0"/>
        <n v="1523.0"/>
        <n v="805.0"/>
        <n v="79.0"/>
        <n v="2723.0"/>
        <n v="3898.0"/>
        <n v="317.0"/>
        <n v="2688.0"/>
        <n v="721.0"/>
        <n v="939.0"/>
        <n v="1226.0"/>
      </sharedItems>
    </cacheField>
    <cacheField name="Adm_Newborn" numFmtId="0">
      <sharedItems containsString="0" containsBlank="1" containsNumber="1" containsInteger="1">
        <m/>
        <n v="4212.0"/>
        <n v="1388.0"/>
        <n v="315.0"/>
        <n v="1450.0"/>
        <n v="1303.0"/>
        <n v="1193.0"/>
        <n v="2563.0"/>
        <n v="3819.0"/>
        <n v="231.0"/>
        <n v="457.0"/>
        <n v="1923.0"/>
        <n v="1817.0"/>
        <n v="437.0"/>
        <n v="2988.0"/>
        <n v="3064.0"/>
        <n v="247.0"/>
        <n v="1834.0"/>
        <n v="245.0"/>
        <n v="289.0"/>
        <n v="348.0"/>
        <n v="4625.0"/>
        <n v="4037.0"/>
        <n v="1261.0"/>
        <n v="3974.0"/>
        <n v="1776.0"/>
        <n v="398.0"/>
        <n v="735.0"/>
        <n v="764.0"/>
        <n v="1787.0"/>
        <n v="210.0"/>
        <n v="611.0"/>
        <n v="3695.0"/>
        <n v="2430.0"/>
        <n v="2358.0"/>
        <n v="419.0"/>
        <n v="2137.0"/>
        <n v="2260.0"/>
        <n v="154.0"/>
        <n v="249.0"/>
        <n v="198.0"/>
        <n v="3230.0"/>
        <n v="1345.0"/>
        <n v="409.0"/>
        <n v="2598.0"/>
        <n v="753.0"/>
        <n v="20.0"/>
        <n v="972.0"/>
        <n v="366.0"/>
        <n v="1230.0"/>
        <n v="1503.0"/>
        <n v="3731.0"/>
        <n v="2846.0"/>
        <n v="1537.0"/>
        <n v="3018.0"/>
        <n v="2197.0"/>
        <n v="2644.0"/>
        <n v="2340.0"/>
        <n v="2369.0"/>
        <n v="1922.0"/>
        <n v="2666.0"/>
        <n v="2400.0"/>
        <n v="1256.0"/>
        <n v="1171.0"/>
        <n v="6262.0"/>
        <n v="831.0"/>
        <n v="4970.0"/>
        <n v="1993.0"/>
        <n v="3176.0"/>
        <n v="364.0"/>
        <n v="1414.0"/>
        <n v="2735.0"/>
        <n v="2069.0"/>
        <n v="2058.0"/>
        <n v="1651.0"/>
        <n v="2417.0"/>
        <n v="623.0"/>
        <n v="3859.0"/>
        <n v="1068.0"/>
        <n v="1509.0"/>
        <n v="1050.0"/>
        <n v="1231.0"/>
        <n v="511.0"/>
        <n v="932.0"/>
        <n v="1832.0"/>
        <n v="3268.0"/>
        <n v="5733.0"/>
        <n v="4031.0"/>
        <n v="785.0"/>
        <n v="721.0"/>
        <n v="1441.0"/>
        <n v="767.0"/>
        <n v="598.0"/>
        <n v="2272.0"/>
        <n v="1087.0"/>
        <n v="1491.0"/>
        <n v="2536.0"/>
        <n v="694.0"/>
        <n v="341.0"/>
        <n v="384.0"/>
        <n v="1784.0"/>
        <n v="991.0"/>
        <n v="1639.0"/>
        <n v="7902.0"/>
        <n v="389.0"/>
        <n v="2086.0"/>
        <n v="1626.0"/>
        <n v="1929.0"/>
        <n v="4440.0"/>
        <n v="2299.0"/>
        <n v="1852.0"/>
        <n v="6468.0"/>
        <n v="2425.0"/>
        <n v="6977.0"/>
        <n v="12.0"/>
        <n v="1004.0"/>
        <n v="1955.0"/>
        <n v="1211.0"/>
        <n v="281.0"/>
        <n v="1481.0"/>
        <n v="56.0"/>
        <n v="1168.0"/>
        <n v="3698.0"/>
        <n v="178.0"/>
        <n v="3278.0"/>
        <n v="1524.0"/>
        <n v="3170.0"/>
        <n v="1674.0"/>
        <n v="1567.0"/>
        <n v="882.0"/>
        <n v="1636.0"/>
        <n v="1260.0"/>
        <n v="1891.0"/>
        <n v="5844.0"/>
        <n v="2736.0"/>
        <n v="641.0"/>
        <n v="442.0"/>
        <n v="321.0"/>
        <n v="7282.0"/>
        <n v="1663.0"/>
        <n v="1885.0"/>
        <n v="1691.0"/>
        <n v="1111.0"/>
        <n v="1186.0"/>
        <n v="284.0"/>
        <n v="479.0"/>
        <n v="196.0"/>
        <n v="4010.0"/>
        <n v="2932.0"/>
        <n v="4999.0"/>
        <n v="4143.0"/>
        <n v="3524.0"/>
        <n v="688.0"/>
        <n v="4853.0"/>
        <n v="2696.0"/>
        <n v="788.0"/>
        <n v="1795.0"/>
        <n v="3624.0"/>
        <n v="2432.0"/>
        <n v="1212.0"/>
        <n v="2493.0"/>
        <n v="3645.0"/>
        <n v="943.0"/>
        <n v="3277.0"/>
        <n v="464.0"/>
        <n v="399.0"/>
        <n v="3989.0"/>
        <n v="691.0"/>
        <n v="1020.0"/>
        <n v="594.0"/>
        <n v="1532.0"/>
        <n v="1124.0"/>
        <n v="2136.0"/>
        <n v="333.0"/>
        <n v="3266.0"/>
        <n v="1949.0"/>
        <n v="4993.0"/>
        <n v="1995.0"/>
        <n v="1119.0"/>
        <n v="2978.0"/>
        <n v="2298.0"/>
        <n v="4891.0"/>
        <n v="312.0"/>
        <n v="4334.0"/>
        <n v="864.0"/>
        <n v="732.0"/>
        <n v="875.0"/>
        <n v="1715.0"/>
        <n v="119.0"/>
        <n v="181.0"/>
        <n v="1593.0"/>
        <n v="1362.0"/>
        <n v="359.0"/>
        <n v="546.0"/>
        <n v="1988.0"/>
        <n v="1573.0"/>
        <n v="3521.0"/>
        <n v="1133.0"/>
        <n v="1506.0"/>
        <n v="564.0"/>
        <n v="4543.0"/>
        <n v="1325.0"/>
        <n v="236.0"/>
        <n v="491.0"/>
        <n v="2922.0"/>
        <n v="1725.0"/>
        <n v="1694.0"/>
        <n v="493.0"/>
        <n v="1139.0"/>
        <n v="515.0"/>
        <n v="1150.0"/>
        <n v="1803.0"/>
      </sharedItems>
    </cacheField>
    <cacheField name="Adm_Trauma" numFmtId="0">
      <sharedItems containsString="0" containsBlank="1" containsNumber="1" containsInteger="1">
        <m/>
        <n v="218.0"/>
        <n v="1460.0"/>
        <n v="2.0"/>
        <n v="1258.0"/>
        <n v="346.0"/>
        <n v="1200.0"/>
        <n v="1.0"/>
        <n v="49.0"/>
        <n v="75.0"/>
        <n v="134.0"/>
        <n v="3132.0"/>
        <n v="124.0"/>
        <n v="21.0"/>
        <n v="904.0"/>
        <n v="36.0"/>
        <n v="19.0"/>
        <n v="15.0"/>
        <n v="3.0"/>
        <n v="108.0"/>
        <n v="982.0"/>
        <n v="414.0"/>
        <n v="994.0"/>
        <n v="237.0"/>
        <n v="16.0"/>
        <n v="792.0"/>
        <n v="572.0"/>
        <n v="987.0"/>
        <n v="779.0"/>
        <n v="981.0"/>
        <n v="1286.0"/>
        <n v="605.0"/>
        <n v="641.0"/>
        <n v="5.0"/>
        <n v="172.0"/>
        <n v="1504.0"/>
        <n v="1884.0"/>
        <n v="6.0"/>
        <n v="18.0"/>
        <n v="325.0"/>
        <n v="400.0"/>
        <n v="10.0"/>
        <n v="464.0"/>
        <n v="58.0"/>
        <n v="67.0"/>
        <n v="51.0"/>
        <n v="146.0"/>
        <n v="1130.0"/>
        <n v="1699.0"/>
        <n v="1318.0"/>
        <n v="81.0"/>
        <n v="1650.0"/>
        <n v="2375.0"/>
        <n v="38.0"/>
        <n v="140.0"/>
        <n v="1801.0"/>
        <n v="589.0"/>
        <n v="25.0"/>
        <n v="998.0"/>
        <n v="29.0"/>
        <n v="2989.0"/>
        <n v="555.0"/>
        <n v="34.0"/>
        <n v="1888.0"/>
        <n v="1683.0"/>
        <n v="669.0"/>
        <n v="333.0"/>
        <n v="1686.0"/>
        <n v="22.0"/>
        <n v="44.0"/>
        <n v="11.0"/>
        <n v="1973.0"/>
        <n v="739.0"/>
        <n v="1611.0"/>
        <n v="9.0"/>
        <n v="1032.0"/>
        <n v="190.0"/>
        <n v="233.0"/>
        <n v="1043.0"/>
        <n v="1700.0"/>
        <n v="1025.0"/>
        <n v="677.0"/>
        <n v="32.0"/>
        <n v="240.0"/>
        <n v="303.0"/>
        <n v="1335.0"/>
        <n v="558.0"/>
        <n v="1366.0"/>
        <n v="123.0"/>
        <n v="472.0"/>
        <n v="12.0"/>
        <n v="854.0"/>
        <n v="664.0"/>
        <n v="4.0"/>
        <n v="7.0"/>
        <n v="286.0"/>
      </sharedItems>
    </cacheField>
    <cacheField name="Adm_NA" numFmtId="0">
      <sharedItems containsString="0" containsBlank="1" containsNumber="1" containsInteger="1">
        <n v="1.0"/>
        <m/>
        <n v="5.0"/>
        <n v="23.0"/>
        <n v="6.0"/>
        <n v="11.0"/>
        <n v="14.0"/>
        <n v="18.0"/>
        <n v="13.0"/>
        <n v="2.0"/>
        <n v="41.0"/>
        <n v="138.0"/>
        <n v="3.0"/>
        <n v="21.0"/>
        <n v="4.0"/>
        <n v="7.0"/>
        <n v="52.0"/>
        <n v="46.0"/>
        <n v="60.0"/>
        <n v="17.0"/>
        <n v="9.0"/>
        <n v="15.0"/>
        <n v="16.0"/>
        <n v="8.0"/>
        <n v="20.0"/>
        <n v="42.0"/>
        <n v="25.0"/>
        <n v="35.0"/>
        <n v="24.0"/>
        <n v="31.0"/>
        <n v="22.0"/>
        <n v="38.0"/>
        <n v="33.0"/>
        <n v="10.0"/>
      </sharedItems>
    </cacheField>
    <cacheField name="disp_Routine" numFmtId="0">
      <sharedItems containsSemiMixedTypes="0" containsString="0" containsNumber="1" containsInteger="1">
        <n v="1166.0"/>
        <n v="11358.0"/>
        <n v="7059.0"/>
        <n v="1384.0"/>
        <n v="11568.0"/>
        <n v="10.0"/>
        <n v="4267.0"/>
        <n v="2424.0"/>
        <n v="6596.0"/>
        <n v="304.0"/>
        <n v="5122.0"/>
        <n v="4978.0"/>
        <n v="1977.0"/>
        <n v="1024.0"/>
        <n v="431.0"/>
        <n v="5042.0"/>
        <n v="16734.0"/>
        <n v="11024.0"/>
        <n v="1259.0"/>
        <n v="249.0"/>
        <n v="8468.0"/>
        <n v="13103.0"/>
        <n v="257.0"/>
        <n v="318.0"/>
        <n v="355.0"/>
        <n v="7314.0"/>
        <n v="3434.0"/>
        <n v="11682.0"/>
        <n v="10256.0"/>
        <n v="4320.0"/>
        <n v="2222.0"/>
        <n v="2675.0"/>
        <n v="6858.0"/>
        <n v="1517.0"/>
        <n v="1576.0"/>
        <n v="3025.0"/>
        <n v="281.0"/>
        <n v="15031.0"/>
        <n v="509.0"/>
        <n v="27153.0"/>
        <n v="2647.0"/>
        <n v="17539.0"/>
        <n v="645.0"/>
        <n v="815.0"/>
        <n v="6573.0"/>
        <n v="190.0"/>
        <n v="422.0"/>
        <n v="208.0"/>
        <n v="1395.0"/>
        <n v="28.0"/>
        <n v="435.0"/>
        <n v="5022.0"/>
        <n v="214.0"/>
        <n v="3160.0"/>
        <n v="4993.0"/>
        <n v="800.0"/>
        <n v="6.0"/>
        <n v="2259.0"/>
        <n v="15155.0"/>
        <n v="9718.0"/>
        <n v="227.0"/>
        <n v="9910.0"/>
        <n v="1938.0"/>
        <n v="1667.0"/>
        <n v="11676.0"/>
        <n v="56.0"/>
        <n v="413.0"/>
        <n v="2726.0"/>
        <n v="1409.0"/>
        <n v="263.0"/>
        <n v="578.0"/>
        <n v="7460.0"/>
        <n v="784.0"/>
        <n v="1070.0"/>
        <n v="779.0"/>
        <n v="1690.0"/>
        <n v="4871.0"/>
        <n v="14021.0"/>
        <n v="11.0"/>
        <n v="17.0"/>
        <n v="7.0"/>
        <n v="7627.0"/>
        <n v="904.0"/>
        <n v="4671.0"/>
        <n v="7040.0"/>
        <n v="13476.0"/>
        <n v="1077.0"/>
        <n v="7885.0"/>
        <n v="695.0"/>
        <n v="700.0"/>
        <n v="6014.0"/>
        <n v="16660.0"/>
        <n v="4275.0"/>
        <n v="2808.0"/>
        <n v="14.0"/>
        <n v="1997.0"/>
        <n v="2966.0"/>
        <n v="4748.0"/>
        <n v="6701.0"/>
        <n v="3668.0"/>
        <n v="5258.0"/>
        <n v="1823.0"/>
        <n v="678.0"/>
        <n v="2108.0"/>
        <n v="5514.0"/>
        <n v="300.0"/>
        <n v="10644.0"/>
        <n v="749.0"/>
        <n v="1107.0"/>
        <n v="2928.0"/>
        <n v="12851.0"/>
        <n v="12100.0"/>
        <n v="8654.0"/>
        <n v="19746.0"/>
        <n v="4108.0"/>
        <n v="18044.0"/>
        <n v="18166.0"/>
        <n v="8701.0"/>
        <n v="7407.0"/>
        <n v="7056.0"/>
        <n v="48.0"/>
        <n v="2271.0"/>
        <n v="12782.0"/>
        <n v="2384.0"/>
        <n v="9894.0"/>
        <n v="3234.0"/>
        <n v="6877.0"/>
        <n v="3403.0"/>
        <n v="8711.0"/>
        <n v="6979.0"/>
        <n v="1914.0"/>
        <n v="39.0"/>
        <n v="30546.0"/>
        <n v="8067.0"/>
        <n v="945.0"/>
        <n v="5935.0"/>
        <n v="20.0"/>
        <n v="20429.0"/>
        <n v="12391.0"/>
        <n v="10843.0"/>
        <n v="2626.0"/>
        <n v="1978.0"/>
        <n v="3038.0"/>
        <n v="407.0"/>
        <n v="9349.0"/>
        <n v="3242.0"/>
        <n v="1489.0"/>
        <n v="13785.0"/>
        <n v="7966.0"/>
        <n v="10925.0"/>
        <n v="721.0"/>
        <n v="1912.0"/>
        <n v="14814.0"/>
        <n v="10931.0"/>
        <n v="3317.0"/>
        <n v="95.0"/>
        <n v="3232.0"/>
        <n v="16568.0"/>
        <n v="4447.0"/>
        <n v="1556.0"/>
        <n v="8633.0"/>
        <n v="909.0"/>
        <n v="333.0"/>
        <n v="14901.0"/>
        <n v="23448.0"/>
        <n v="5075.0"/>
        <n v="9725.0"/>
        <n v="1561.0"/>
        <n v="6636.0"/>
        <n v="440.0"/>
        <n v="6021.0"/>
        <n v="30.0"/>
        <n v="29.0"/>
        <n v="9931.0"/>
        <n v="17782.0"/>
        <n v="14258.0"/>
        <n v="42.0"/>
        <n v="6283.0"/>
        <n v="134.0"/>
        <n v="438.0"/>
        <n v="2634.0"/>
        <n v="10060.0"/>
        <n v="1873.0"/>
        <n v="67.0"/>
        <n v="7022.0"/>
        <n v="783.0"/>
        <n v="120.0"/>
        <n v="406.0"/>
        <n v="3028.0"/>
        <n v="1044.0"/>
        <n v="1842.0"/>
        <n v="9229.0"/>
        <n v="280.0"/>
        <n v="155.0"/>
        <n v="10092.0"/>
        <n v="289.0"/>
        <n v="8007.0"/>
        <n v="8950.0"/>
        <n v="3701.0"/>
        <n v="2393.0"/>
        <n v="2469.0"/>
        <n v="1582.0"/>
        <n v="12105.0"/>
        <n v="8543.0"/>
        <n v="216.0"/>
        <n v="4708.0"/>
        <n v="1091.0"/>
        <n v="2648.0"/>
        <n v="9760.0"/>
        <n v="2227.0"/>
        <n v="27237.0"/>
        <n v="1373.0"/>
        <n v="1548.0"/>
        <n v="3613.0"/>
        <n v="1817.0"/>
        <n v="9065.0"/>
        <n v="13717.0"/>
        <n v="1457.0"/>
        <n v="1751.0"/>
        <n v="7112.0"/>
        <n v="1391.0"/>
        <n v="16053.0"/>
        <n v="9167.0"/>
        <n v="2134.0"/>
        <n v="2603.0"/>
        <n v="7832.0"/>
        <n v="21.0"/>
        <n v="1406.0"/>
        <n v="41.0"/>
        <n v="22835.0"/>
        <n v="482.0"/>
        <n v="1604.0"/>
        <n v="43.0"/>
        <n v="853.0"/>
        <n v="1316.0"/>
        <n v="16814.0"/>
        <n v="22824.0"/>
        <n v="252.0"/>
        <n v="70.0"/>
        <n v="60.0"/>
        <n v="1288.0"/>
        <n v="7286.0"/>
        <n v="11808.0"/>
        <n v="13876.0"/>
        <n v="3870.0"/>
        <n v="5862.0"/>
        <n v="1640.0"/>
        <n v="242.0"/>
        <n v="4460.0"/>
        <n v="18586.0"/>
        <n v="990.0"/>
        <n v="2.0"/>
        <n v="1788.0"/>
        <n v="9642.0"/>
        <n v="4485.0"/>
        <n v="12587.0"/>
        <n v="259.0"/>
        <n v="16267.0"/>
        <n v="176.0"/>
        <n v="5170.0"/>
        <n v="8220.0"/>
        <n v="184.0"/>
        <n v="74.0"/>
        <n v="6279.0"/>
        <n v="9438.0"/>
        <n v="13247.0"/>
        <n v="6861.0"/>
        <n v="20424.0"/>
        <n v="24892.0"/>
        <n v="12263.0"/>
        <n v="4801.0"/>
        <n v="145.0"/>
        <n v="2147.0"/>
        <n v="2918.0"/>
        <n v="4799.0"/>
        <n v="8.0"/>
        <n v="884.0"/>
        <n v="250.0"/>
        <n v="224.0"/>
        <n v="718.0"/>
        <n v="2169.0"/>
        <n v="2486.0"/>
        <n v="1998.0"/>
        <n v="26902.0"/>
        <n v="14369.0"/>
        <n v="189.0"/>
        <n v="26.0"/>
        <n v="11122.0"/>
        <n v="9757.0"/>
        <n v="9363.0"/>
        <n v="9342.0"/>
        <n v="4743.0"/>
        <n v="206.0"/>
        <n v="1506.0"/>
        <n v="2890.0"/>
        <n v="5936.0"/>
        <n v="499.0"/>
        <n v="16512.0"/>
        <n v="1117.0"/>
        <n v="113.0"/>
        <n v="19161.0"/>
        <n v="668.0"/>
        <n v="2372.0"/>
        <n v="19386.0"/>
        <n v="1536.0"/>
        <n v="13189.0"/>
        <n v="15139.0"/>
        <n v="19979.0"/>
        <n v="37.0"/>
        <n v="18633.0"/>
        <n v="22601.0"/>
        <n v="3171.0"/>
        <n v="1867.0"/>
        <n v="3334.0"/>
        <n v="17181.0"/>
        <n v="5288.0"/>
        <n v="27552.0"/>
        <n v="13994.0"/>
        <n v="4161.0"/>
        <n v="4664.0"/>
        <n v="9547.0"/>
        <n v="2028.0"/>
        <n v="222.0"/>
        <n v="1420.0"/>
        <n v="15.0"/>
        <n v="13838.0"/>
        <n v="550.0"/>
        <n v="765.0"/>
        <n v="9626.0"/>
        <n v="46.0"/>
        <n v="475.0"/>
        <n v="1590.0"/>
        <n v="11117.0"/>
        <n v="2554.0"/>
        <n v="2106.0"/>
        <n v="24611.0"/>
        <n v="605.0"/>
        <n v="13167.0"/>
        <n v="1697.0"/>
        <n v="1227.0"/>
        <n v="4837.0"/>
        <n v="8146.0"/>
        <n v="13442.0"/>
        <n v="2216.0"/>
        <n v="1510.0"/>
        <n v="2507.0"/>
        <n v="107.0"/>
        <n v="13980.0"/>
        <n v="1295.0"/>
        <n v="3422.0"/>
        <n v="3838.0"/>
        <n v="2375.0"/>
        <n v="334.0"/>
        <n v="1499.0"/>
        <n v="2464.0"/>
        <n v="1870.0"/>
        <n v="16.0"/>
        <n v="8585.0"/>
        <n v="3987.0"/>
        <n v="6510.0"/>
        <n v="424.0"/>
        <n v="1363.0"/>
        <n v="12093.0"/>
        <n v="13283.0"/>
        <n v="78.0"/>
        <n v="89.0"/>
        <n v="18713.0"/>
        <n v="10652.0"/>
        <n v="6857.0"/>
        <n v="17222.0"/>
        <n v="18067.0"/>
        <n v="9501.0"/>
        <n v="2484.0"/>
        <n v="17423.0"/>
        <n v="1.0"/>
        <n v="2307.0"/>
        <n v="14069.0"/>
        <n v="463.0"/>
        <n v="197.0"/>
        <n v="5714.0"/>
        <n v="1595.0"/>
        <n v="3243.0"/>
        <n v="230.0"/>
        <n v="154.0"/>
        <n v="3497.0"/>
        <n v="9058.0"/>
        <n v="269.0"/>
        <n v="336.0"/>
        <n v="673.0"/>
        <n v="1142.0"/>
        <n v="5770.0"/>
        <n v="1828.0"/>
        <n v="1338.0"/>
        <n v="7834.0"/>
        <n v="4549.0"/>
        <n v="204.0"/>
        <n v="53.0"/>
        <n v="353.0"/>
        <n v="1505.0"/>
        <n v="6398.0"/>
        <n v="80.0"/>
        <n v="8663.0"/>
        <n v="2441.0"/>
        <n v="5908.0"/>
        <n v="20495.0"/>
        <n v="6892.0"/>
        <n v="11639.0"/>
        <n v="65.0"/>
        <n v="443.0"/>
        <n v="172.0"/>
        <n v="160.0"/>
        <n v="694.0"/>
        <n v="193.0"/>
        <n v="213.0"/>
        <n v="161.0"/>
        <n v="205.0"/>
        <n v="2197.0"/>
        <n v="404.0"/>
        <n v="19003.0"/>
        <n v="4956.0"/>
        <n v="1403.0"/>
        <n v="2875.0"/>
        <n v="1729.0"/>
        <n v="10177.0"/>
        <n v="9674.0"/>
        <n v="10082.0"/>
        <n v="72.0"/>
        <n v="1262.0"/>
        <n v="4147.0"/>
        <n v="6469.0"/>
        <n v="3707.0"/>
        <n v="3397.0"/>
        <n v="7809.0"/>
      </sharedItems>
    </cacheField>
    <cacheField name="disp_Acute_Care" numFmtId="0">
      <sharedItems containsString="0" containsBlank="1" containsNumber="1" containsInteger="1">
        <n v="204.0"/>
        <n v="274.0"/>
        <n v="79.0"/>
        <n v="38.0"/>
        <n v="822.0"/>
        <n v="117.0"/>
        <n v="297.0"/>
        <n v="171.0"/>
        <n v="153.0"/>
        <n v="6.0"/>
        <n v="14.0"/>
        <n v="173.0"/>
        <n v="285.0"/>
        <n v="16.0"/>
        <n v="1.0"/>
        <n v="413.0"/>
        <n v="449.0"/>
        <n v="295.0"/>
        <n v="135.0"/>
        <n v="31.0"/>
        <n v="222.0"/>
        <n v="360.0"/>
        <m/>
        <n v="59.0"/>
        <n v="64.0"/>
        <n v="428.0"/>
        <n v="537.0"/>
        <n v="325.0"/>
        <n v="243.0"/>
        <n v="54.0"/>
        <n v="48.0"/>
        <n v="358.0"/>
        <n v="108.0"/>
        <n v="57.0"/>
        <n v="174.0"/>
        <n v="5.0"/>
        <n v="480.0"/>
        <n v="34.0"/>
        <n v="637.0"/>
        <n v="290.0"/>
        <n v="177.0"/>
        <n v="7.0"/>
        <n v="160.0"/>
        <n v="4.0"/>
        <n v="36.0"/>
        <n v="40.0"/>
        <n v="15.0"/>
        <n v="53.0"/>
        <n v="242.0"/>
        <n v="10.0"/>
        <n v="176.0"/>
        <n v="170.0"/>
        <n v="87.0"/>
        <n v="211.0"/>
        <n v="189.0"/>
        <n v="17.0"/>
        <n v="251.0"/>
        <n v="95.0"/>
        <n v="298.0"/>
        <n v="166.0"/>
        <n v="8.0"/>
        <n v="42.0"/>
        <n v="81.0"/>
        <n v="266.0"/>
        <n v="70.0"/>
        <n v="154.0"/>
        <n v="29.0"/>
        <n v="206.0"/>
        <n v="3.0"/>
        <n v="44.0"/>
        <n v="134.0"/>
        <n v="280.0"/>
        <n v="195.0"/>
        <n v="324.0"/>
        <n v="184.0"/>
        <n v="126.0"/>
        <n v="530.0"/>
        <n v="408.0"/>
        <n v="25.0"/>
        <n v="35.0"/>
        <n v="168.0"/>
        <n v="24.0"/>
        <n v="133.0"/>
        <n v="123.0"/>
        <n v="363.0"/>
        <n v="73.0"/>
        <n v="241.0"/>
        <n v="382.0"/>
        <n v="97.0"/>
        <n v="121.0"/>
        <n v="391.0"/>
        <n v="58.0"/>
        <n v="567.0"/>
        <n v="46.0"/>
        <n v="259.0"/>
        <n v="304.0"/>
        <n v="321.0"/>
        <n v="438.0"/>
        <n v="237.0"/>
        <n v="427.0"/>
        <n v="318.0"/>
        <n v="353.0"/>
        <n v="464.0"/>
        <n v="378.0"/>
        <n v="142.0"/>
        <n v="331.0"/>
        <n v="151.0"/>
        <n v="23.0"/>
        <n v="604.0"/>
        <n v="308.0"/>
        <n v="233.0"/>
        <n v="332.0"/>
        <n v="103.0"/>
        <n v="396.0"/>
        <n v="465.0"/>
        <n v="90.0"/>
        <n v="45.0"/>
        <n v="496.0"/>
        <n v="150.0"/>
        <n v="261.0"/>
        <n v="33.0"/>
        <n v="400.0"/>
        <n v="682.0"/>
        <n v="214.0"/>
        <n v="124.0"/>
        <n v="520.0"/>
        <n v="312.0"/>
        <n v="55.0"/>
        <n v="148.0"/>
        <n v="495.0"/>
        <n v="186.0"/>
        <n v="65.0"/>
        <n v="794.0"/>
        <n v="49.0"/>
        <n v="221.0"/>
        <n v="268.0"/>
        <n v="311.0"/>
        <n v="446.0"/>
        <n v="68.0"/>
        <n v="11.0"/>
        <n v="512.0"/>
        <n v="740.0"/>
        <n v="326.0"/>
        <n v="288.0"/>
        <n v="350.0"/>
        <n v="299.0"/>
        <n v="501.0"/>
        <n v="2.0"/>
        <n v="216.0"/>
        <n v="492.0"/>
        <n v="98.0"/>
        <n v="9.0"/>
        <n v="125.0"/>
        <n v="106.0"/>
        <n v="199.0"/>
        <n v="244.0"/>
        <n v="107.0"/>
        <n v="41.0"/>
        <n v="143.0"/>
        <n v="78.0"/>
        <n v="67.0"/>
        <n v="27.0"/>
        <n v="30.0"/>
        <n v="198.0"/>
        <n v="144.0"/>
        <n v="239.0"/>
        <n v="128.0"/>
        <n v="178.0"/>
        <n v="50.0"/>
        <n v="192.0"/>
        <n v="92.0"/>
        <n v="86.0"/>
        <n v="600.0"/>
        <n v="113.0"/>
        <n v="276.0"/>
        <n v="347.0"/>
        <n v="581.0"/>
        <n v="203.0"/>
        <n v="129.0"/>
        <n v="485.0"/>
        <n v="127.0"/>
        <n v="281.0"/>
        <n v="82.0"/>
        <n v="277.0"/>
        <n v="37.0"/>
        <n v="26.0"/>
        <n v="414.0"/>
        <n v="119.0"/>
        <n v="164.0"/>
        <n v="689.0"/>
        <n v="487.0"/>
        <n v="18.0"/>
        <n v="309.0"/>
        <n v="320.0"/>
        <n v="342.0"/>
        <n v="476.0"/>
        <n v="21.0"/>
        <n v="162.0"/>
        <n v="381.0"/>
        <n v="635.0"/>
        <n v="518.0"/>
        <n v="94.0"/>
        <n v="230.0"/>
        <n v="115.0"/>
        <n v="307.0"/>
        <n v="415.0"/>
        <n v="425.0"/>
        <n v="387.0"/>
        <n v="372.0"/>
        <n v="472.0"/>
        <n v="71.0"/>
        <n v="356.0"/>
        <n v="101.0"/>
        <n v="13.0"/>
        <n v="132.0"/>
        <n v="12.0"/>
        <n v="114.0"/>
        <n v="477.0"/>
        <n v="545.0"/>
        <n v="213.0"/>
        <n v="248.0"/>
        <n v="252.0"/>
        <n v="375.0"/>
        <n v="20.0"/>
        <n v="208.0"/>
        <n v="32.0"/>
        <n v="219.0"/>
        <n v="76.0"/>
        <n v="182.0"/>
        <n v="388.0"/>
        <n v="578.0"/>
        <n v="576.0"/>
        <n v="585.0"/>
        <n v="383.0"/>
        <n v="586.0"/>
        <n v="330.0"/>
        <n v="51.0"/>
        <n v="264.0"/>
        <n v="354.0"/>
        <n v="337.0"/>
        <n v="112.0"/>
        <n v="805.0"/>
        <n v="619.0"/>
        <n v="158.0"/>
        <n v="294.0"/>
        <n v="227.0"/>
        <n v="130.0"/>
        <n v="88.0"/>
        <n v="100.0"/>
        <n v="152.0"/>
        <n v="246.0"/>
        <n v="228.0"/>
        <n v="429.0"/>
        <n v="146.0"/>
        <n v="156.0"/>
        <n v="335.0"/>
        <n v="263.0"/>
        <n v="122.0"/>
        <n v="502.0"/>
        <n v="138.0"/>
        <n v="22.0"/>
        <n v="140.0"/>
        <n v="348.0"/>
        <n v="313.0"/>
        <n v="137.0"/>
        <n v="334.0"/>
        <n v="69.0"/>
        <n v="393.0"/>
        <n v="293.0"/>
        <n v="444.0"/>
        <n v="257.0"/>
        <n v="341.0"/>
        <n v="220.0"/>
        <n v="136.0"/>
        <n v="473.0"/>
        <n v="161.0"/>
        <n v="19.0"/>
        <n v="187.0"/>
        <n v="367.0"/>
        <n v="273.0"/>
        <n v="109.0"/>
        <n v="175.0"/>
      </sharedItems>
    </cacheField>
    <cacheField name="disp_Rehab" numFmtId="0">
      <sharedItems containsString="0" containsBlank="1" containsNumber="1" containsInteger="1">
        <n v="60.0"/>
        <n v="118.0"/>
        <n v="72.0"/>
        <n v="5.0"/>
        <n v="333.0"/>
        <n v="19.0"/>
        <n v="253.0"/>
        <n v="11.0"/>
        <n v="69.0"/>
        <m/>
        <n v="40.0"/>
        <n v="29.0"/>
        <n v="162.0"/>
        <n v="117.0"/>
        <n v="24.0"/>
        <n v="8.0"/>
        <n v="2.0"/>
        <n v="460.0"/>
        <n v="10.0"/>
        <n v="4.0"/>
        <n v="266.0"/>
        <n v="56.0"/>
        <n v="50.0"/>
        <n v="6.0"/>
        <n v="30.0"/>
        <n v="57.0"/>
        <n v="12.0"/>
        <n v="401.0"/>
        <n v="945.0"/>
        <n v="1.0"/>
        <n v="226.0"/>
        <n v="46.0"/>
        <n v="28.0"/>
        <n v="238.0"/>
        <n v="15.0"/>
        <n v="13.0"/>
        <n v="327.0"/>
        <n v="385.0"/>
        <n v="158.0"/>
        <n v="7.0"/>
        <n v="290.0"/>
        <n v="16.0"/>
        <n v="54.0"/>
        <n v="3.0"/>
        <n v="96.0"/>
        <n v="294.0"/>
        <n v="76.0"/>
        <n v="213.0"/>
        <n v="27.0"/>
        <n v="249.0"/>
        <n v="62.0"/>
        <n v="124.0"/>
        <n v="244.0"/>
        <n v="133.0"/>
        <n v="77.0"/>
        <n v="82.0"/>
        <n v="41.0"/>
        <n v="21.0"/>
        <n v="83.0"/>
        <n v="212.0"/>
        <n v="501.0"/>
        <n v="51.0"/>
        <n v="264.0"/>
        <n v="116.0"/>
        <n v="467.0"/>
        <n v="375.0"/>
        <n v="64.0"/>
        <n v="20.0"/>
        <n v="22.0"/>
        <n v="17.0"/>
        <n v="140.0"/>
        <n v="211.0"/>
        <n v="74.0"/>
        <n v="319.0"/>
        <n v="557.0"/>
        <n v="2048.0"/>
        <n v="303.0"/>
        <n v="280.0"/>
        <n v="144.0"/>
        <n v="248.0"/>
        <n v="184.0"/>
        <n v="126.0"/>
        <n v="31.0"/>
        <n v="79.0"/>
        <n v="150.0"/>
        <n v="407.0"/>
        <n v="177.0"/>
        <n v="822.0"/>
        <n v="754.0"/>
        <n v="194.0"/>
        <n v="33.0"/>
        <n v="112.0"/>
        <n v="148.0"/>
        <n v="276.0"/>
        <n v="9.0"/>
        <n v="373.0"/>
        <n v="432.0"/>
        <n v="14.0"/>
        <n v="43.0"/>
        <n v="305.0"/>
        <n v="526.0"/>
        <n v="203.0"/>
        <n v="38.0"/>
        <n v="193.0"/>
        <n v="312.0"/>
        <n v="402.0"/>
        <n v="125.0"/>
        <n v="26.0"/>
        <n v="174.0"/>
        <n v="53.0"/>
        <n v="631.0"/>
        <n v="87.0"/>
        <n v="378.0"/>
        <n v="386.0"/>
        <n v="92.0"/>
        <n v="429.0"/>
        <n v="188.0"/>
        <n v="45.0"/>
        <n v="285.0"/>
        <n v="583.0"/>
        <n v="90.0"/>
        <n v="216.0"/>
        <n v="395.0"/>
        <n v="107.0"/>
        <n v="110.0"/>
        <n v="245.0"/>
        <n v="363.0"/>
        <n v="381.0"/>
        <n v="42.0"/>
        <n v="25.0"/>
        <n v="101.0"/>
        <n v="599.0"/>
        <n v="47.0"/>
        <n v="282.0"/>
        <n v="35.0"/>
        <n v="289.0"/>
        <n v="147.0"/>
        <n v="156.0"/>
        <n v="178.0"/>
        <n v="176.0"/>
        <n v="167.0"/>
        <n v="37.0"/>
        <n v="502.0"/>
        <n v="102.0"/>
        <n v="52.0"/>
        <n v="32.0"/>
        <n v="763.0"/>
        <n v="105.0"/>
        <n v="78.0"/>
        <n v="39.0"/>
        <n v="104.0"/>
        <n v="100.0"/>
        <n v="123.0"/>
        <n v="49.0"/>
        <n v="169.0"/>
        <n v="600.0"/>
        <n v="127.0"/>
        <n v="267.0"/>
        <n v="274.0"/>
        <n v="252.0"/>
        <n v="18.0"/>
        <n v="364.0"/>
        <n v="103.0"/>
        <n v="34.0"/>
        <n v="66.0"/>
        <n v="180.0"/>
        <n v="263.0"/>
        <n v="187.0"/>
        <n v="561.0"/>
        <n v="65.0"/>
        <n v="806.0"/>
        <n v="84.0"/>
      </sharedItems>
    </cacheField>
    <cacheField name="disp_SN_IC_Care" numFmtId="0">
      <sharedItems containsString="0" containsBlank="1" containsNumber="1" containsInteger="1">
        <n v="574.0"/>
        <n v="922.0"/>
        <n v="1.0"/>
        <n v="25.0"/>
        <n v="1586.0"/>
        <n v="103.0"/>
        <n v="1517.0"/>
        <n v="640.0"/>
        <n v="1460.0"/>
        <n v="2.0"/>
        <m/>
        <n v="986.0"/>
        <n v="524.0"/>
        <n v="1522.0"/>
        <n v="1817.0"/>
        <n v="1036.0"/>
        <n v="284.0"/>
        <n v="125.0"/>
        <n v="1140.0"/>
        <n v="1867.0"/>
        <n v="158.0"/>
        <n v="275.0"/>
        <n v="3.0"/>
        <n v="657.0"/>
        <n v="2586.0"/>
        <n v="1373.0"/>
        <n v="1572.0"/>
        <n v="476.0"/>
        <n v="648.0"/>
        <n v="145.0"/>
        <n v="102.0"/>
        <n v="1548.0"/>
        <n v="43.0"/>
        <n v="3258.0"/>
        <n v="71.0"/>
        <n v="1759.0"/>
        <n v="96.0"/>
        <n v="21.0"/>
        <n v="634.0"/>
        <n v="133.0"/>
        <n v="68.0"/>
        <n v="24.0"/>
        <n v="120.0"/>
        <n v="463.0"/>
        <n v="422.0"/>
        <n v="226.0"/>
        <n v="83.0"/>
        <n v="154.0"/>
        <n v="1230.0"/>
        <n v="452.0"/>
        <n v="51.0"/>
        <n v="729.0"/>
        <n v="172.0"/>
        <n v="1420.0"/>
        <n v="42.0"/>
        <n v="175.0"/>
        <n v="69.0"/>
        <n v="939.0"/>
        <n v="190.0"/>
        <n v="241.0"/>
        <n v="763.0"/>
        <n v="1558.0"/>
        <n v="320.0"/>
        <n v="298.0"/>
        <n v="769.0"/>
        <n v="155.0"/>
        <n v="1176.0"/>
        <n v="2177.0"/>
        <n v="664.0"/>
        <n v="192.0"/>
        <n v="1419.0"/>
        <n v="121.0"/>
        <n v="11.0"/>
        <n v="181.0"/>
        <n v="110.0"/>
        <n v="185.0"/>
        <n v="331.0"/>
        <n v="1576.0"/>
        <n v="1479.0"/>
        <n v="91.0"/>
        <n v="1328.0"/>
        <n v="1021.0"/>
        <n v="283.0"/>
        <n v="555.0"/>
        <n v="774.0"/>
        <n v="209.0"/>
        <n v="760.0"/>
        <n v="10.0"/>
        <n v="2701.0"/>
        <n v="193.0"/>
        <n v="303.0"/>
        <n v="1853.0"/>
        <n v="1605.0"/>
        <n v="1710.0"/>
        <n v="1714.0"/>
        <n v="2402.0"/>
        <n v="907.0"/>
        <n v="2443.0"/>
        <n v="1244.0"/>
        <n v="831.0"/>
        <n v="731.0"/>
        <n v="641.0"/>
        <n v="529.0"/>
        <n v="41.0"/>
        <n v="630.0"/>
        <n v="1341.0"/>
        <n v="878.0"/>
        <n v="920.0"/>
        <n v="1466.0"/>
        <n v="1839.0"/>
        <n v="1390.0"/>
        <n v="140.0"/>
        <n v="329.0"/>
        <n v="3708.0"/>
        <n v="1706.0"/>
        <n v="1246.0"/>
        <n v="658.0"/>
        <n v="335.0"/>
        <n v="1848.0"/>
        <n v="2105.0"/>
        <n v="1120.0"/>
        <n v="2840.0"/>
        <n v="437.0"/>
        <n v="1353.0"/>
        <n v="1313.0"/>
        <n v="1106.0"/>
        <n v="1530.0"/>
        <n v="2159.0"/>
        <n v="543.0"/>
        <n v="1007.0"/>
        <n v="766.0"/>
        <n v="152.0"/>
        <n v="1293.0"/>
        <n v="996.0"/>
        <n v="695.0"/>
        <n v="26.0"/>
        <n v="825.0"/>
        <n v="33.0"/>
        <n v="906.0"/>
        <n v="1126.0"/>
        <n v="590.0"/>
        <n v="505.0"/>
        <n v="162.0"/>
        <n v="666.0"/>
        <n v="584.0"/>
        <n v="547.0"/>
        <n v="852.0"/>
        <n v="19.0"/>
        <n v="536.0"/>
        <n v="324.0"/>
        <n v="305.0"/>
        <n v="147.0"/>
        <n v="1300.0"/>
        <n v="294.0"/>
        <n v="46.0"/>
        <n v="179.0"/>
        <n v="290.0"/>
        <n v="1105.0"/>
        <n v="7.0"/>
        <n v="50.0"/>
        <n v="22.0"/>
        <n v="1540.0"/>
        <n v="1147.0"/>
        <n v="237.0"/>
        <n v="747.0"/>
        <n v="682.0"/>
        <n v="40.0"/>
        <n v="1100.0"/>
        <n v="866.0"/>
        <n v="1231.0"/>
        <n v="280.0"/>
        <n v="2898.0"/>
        <n v="621.0"/>
        <n v="596.0"/>
        <n v="1566.0"/>
        <n v="1499.0"/>
        <n v="1376.0"/>
        <n v="723.0"/>
        <n v="412.0"/>
        <n v="1447.0"/>
        <n v="202.0"/>
        <n v="1631.0"/>
        <n v="2223.0"/>
        <n v="988.0"/>
        <n v="1532.0"/>
        <n v="247.0"/>
        <n v="1050.0"/>
        <n v="1392.0"/>
        <n v="245.0"/>
        <n v="72.0"/>
        <n v="469.0"/>
        <n v="2154.0"/>
        <n v="1691.0"/>
        <n v="30.0"/>
        <n v="6.0"/>
        <n v="9.0"/>
        <n v="983.0"/>
        <n v="2024.0"/>
        <n v="2174.0"/>
        <n v="1372.0"/>
        <n v="473.0"/>
        <n v="37.0"/>
        <n v="886.0"/>
        <n v="3098.0"/>
        <n v="404.0"/>
        <n v="114.0"/>
        <n v="460.0"/>
        <n v="206.0"/>
        <n v="1564.0"/>
        <n v="1747.0"/>
        <n v="81.0"/>
        <n v="1071.0"/>
        <n v="1129.0"/>
        <n v="87.0"/>
        <n v="1814.0"/>
        <n v="1196.0"/>
        <n v="2597.0"/>
        <n v="943.0"/>
        <n v="2419.0"/>
        <n v="1772.0"/>
        <n v="1528.0"/>
        <n v="684.0"/>
        <n v="225.0"/>
        <n v="20.0"/>
        <n v="397.0"/>
        <n v="466.0"/>
        <n v="1593.0"/>
        <n v="2423.0"/>
        <n v="15.0"/>
        <n v="126.0"/>
        <n v="1334.0"/>
        <n v="1777.0"/>
        <n v="261.0"/>
        <n v="1440.0"/>
        <n v="1020.0"/>
        <n v="327.0"/>
        <n v="276.0"/>
        <n v="82.0"/>
        <n v="117.0"/>
        <n v="599.0"/>
        <n v="146.0"/>
        <n v="1284.0"/>
        <n v="132.0"/>
        <n v="1181.0"/>
        <n v="47.0"/>
        <n v="333.0"/>
        <n v="3078.0"/>
        <n v="4048.0"/>
        <n v="141.0"/>
        <n v="2182.0"/>
        <n v="3784.0"/>
        <n v="443.0"/>
        <n v="2344.0"/>
        <n v="1209.0"/>
        <n v="2688.0"/>
        <n v="1949.0"/>
        <n v="803.0"/>
        <n v="649.0"/>
        <n v="8.0"/>
        <n v="297.0"/>
        <n v="2528.0"/>
        <n v="17.0"/>
        <n v="614.0"/>
        <n v="90.0"/>
        <n v="427.0"/>
        <n v="1148.0"/>
        <n v="363.0"/>
        <n v="680.0"/>
        <n v="2143.0"/>
        <n v="794.0"/>
        <n v="725.0"/>
        <n v="1032.0"/>
        <n v="877.0"/>
        <n v="2482.0"/>
        <n v="343.0"/>
        <n v="352.0"/>
        <n v="1154.0"/>
        <n v="354.0"/>
        <n v="435.0"/>
        <n v="286.0"/>
        <n v="620.0"/>
        <n v="1320.0"/>
        <n v="508.0"/>
        <n v="458.0"/>
        <n v="165.0"/>
        <n v="375.0"/>
        <n v="1128.0"/>
        <n v="18.0"/>
        <n v="1843.0"/>
        <n v="2588.0"/>
        <n v="1811.0"/>
        <n v="1526.0"/>
        <n v="1757.0"/>
        <n v="3316.0"/>
        <n v="764.0"/>
        <n v="408.0"/>
        <n v="1265.0"/>
        <n v="1135.0"/>
        <n v="447.0"/>
        <n v="77.0"/>
        <n v="622.0"/>
        <n v="1502.0"/>
        <n v="107.0"/>
        <n v="576.0"/>
        <n v="498.0"/>
        <n v="871.0"/>
        <n v="134.0"/>
        <n v="415.0"/>
        <n v="1659.0"/>
        <n v="194.0"/>
        <n v="164.0"/>
        <n v="653.0"/>
        <n v="2194.0"/>
        <n v="453.0"/>
        <n v="2068.0"/>
        <n v="263.0"/>
        <n v="53.0"/>
        <n v="45.0"/>
        <n v="325.0"/>
        <n v="78.0"/>
        <n v="2118.0"/>
        <n v="650.0"/>
        <n v="271.0"/>
        <n v="480.0"/>
        <n v="899.0"/>
        <n v="1307.0"/>
        <n v="549.0"/>
        <n v="732.0"/>
        <n v="954.0"/>
        <n v="281.0"/>
        <n v="259.0"/>
        <n v="1370.0"/>
      </sharedItems>
    </cacheField>
    <cacheField name="disp_Residential_Care" numFmtId="0">
      <sharedItems containsString="0" containsBlank="1" containsNumber="1" containsInteger="1">
        <m/>
        <n v="40.0"/>
        <n v="2.0"/>
        <n v="100.0"/>
        <n v="1.0"/>
        <n v="73.0"/>
        <n v="75.0"/>
        <n v="6.0"/>
        <n v="64.0"/>
        <n v="57.0"/>
        <n v="69.0"/>
        <n v="4.0"/>
        <n v="77.0"/>
        <n v="105.0"/>
        <n v="8.0"/>
        <n v="313.0"/>
        <n v="11.0"/>
        <n v="5.0"/>
        <n v="3.0"/>
        <n v="18.0"/>
        <n v="10.0"/>
        <n v="102.0"/>
        <n v="25.0"/>
        <n v="152.0"/>
        <n v="168.0"/>
        <n v="9.0"/>
        <n v="14.0"/>
        <n v="24.0"/>
        <n v="42.0"/>
        <n v="15.0"/>
        <n v="118.0"/>
        <n v="55.0"/>
        <n v="28.0"/>
        <n v="7.0"/>
        <n v="38.0"/>
        <n v="127.0"/>
        <n v="166.0"/>
        <n v="70.0"/>
        <n v="93.0"/>
        <n v="54.0"/>
        <n v="12.0"/>
        <n v="26.0"/>
        <n v="285.0"/>
        <n v="23.0"/>
        <n v="260.0"/>
        <n v="66.0"/>
        <n v="44.0"/>
        <n v="37.0"/>
        <n v="83.0"/>
        <n v="13.0"/>
        <n v="99.0"/>
        <n v="115.0"/>
        <n v="852.0"/>
        <n v="36.0"/>
        <n v="39.0"/>
        <n v="33.0"/>
        <n v="332.0"/>
        <n v="29.0"/>
        <n v="80.0"/>
        <n v="59.0"/>
        <n v="27.0"/>
        <n v="137.0"/>
        <n v="94.0"/>
        <n v="122.0"/>
        <n v="210.0"/>
        <n v="43.0"/>
        <n v="41.0"/>
        <n v="89.0"/>
        <n v="96.0"/>
        <n v="159.0"/>
        <n v="138.0"/>
        <n v="32.0"/>
        <n v="88.0"/>
        <n v="90.0"/>
        <n v="110.0"/>
        <n v="129.0"/>
        <n v="85.0"/>
        <n v="128.0"/>
        <n v="71.0"/>
        <n v="49.0"/>
        <n v="19.0"/>
        <n v="30.0"/>
        <n v="22.0"/>
        <n v="92.0"/>
        <n v="65.0"/>
        <n v="76.0"/>
        <n v="107.0"/>
        <n v="31.0"/>
        <n v="67.0"/>
        <n v="51.0"/>
        <n v="35.0"/>
        <n v="170.0"/>
        <n v="20.0"/>
        <n v="153.0"/>
        <n v="52.0"/>
        <n v="60.0"/>
        <n v="68.0"/>
        <n v="206.0"/>
        <n v="112.0"/>
        <n v="117.0"/>
        <n v="34.0"/>
        <n v="134.0"/>
        <n v="125.0"/>
        <n v="283.0"/>
        <n v="47.0"/>
        <n v="208.0"/>
        <n v="78.0"/>
        <n v="140.0"/>
        <n v="17.0"/>
        <n v="220.0"/>
        <n v="63.0"/>
        <n v="131.0"/>
        <n v="108.0"/>
        <n v="86.0"/>
        <n v="213.0"/>
        <n v="46.0"/>
        <n v="101.0"/>
        <n v="50.0"/>
        <n v="493.0"/>
        <n v="111.0"/>
        <n v="95.0"/>
        <n v="21.0"/>
        <n v="119.0"/>
        <n v="145.0"/>
        <n v="434.0"/>
        <n v="154.0"/>
        <n v="233.0"/>
      </sharedItems>
    </cacheField>
    <cacheField name="disp_Prison_Jail" numFmtId="0">
      <sharedItems containsString="0" containsBlank="1" containsNumber="1" containsInteger="1">
        <m/>
        <n v="2.0"/>
        <n v="1.0"/>
        <n v="6.0"/>
        <n v="325.0"/>
        <n v="36.0"/>
        <n v="16.0"/>
        <n v="49.0"/>
        <n v="65.0"/>
        <n v="3.0"/>
        <n v="5.0"/>
        <n v="55.0"/>
        <n v="14.0"/>
        <n v="7.0"/>
        <n v="24.0"/>
        <n v="439.0"/>
        <n v="10.0"/>
        <n v="18.0"/>
        <n v="40.0"/>
        <n v="41.0"/>
        <n v="205.0"/>
        <n v="850.0"/>
        <n v="82.0"/>
        <n v="30.0"/>
        <n v="99.0"/>
        <n v="15.0"/>
        <n v="38.0"/>
        <n v="12.0"/>
        <n v="8.0"/>
        <n v="9.0"/>
        <n v="4.0"/>
        <n v="17.0"/>
        <n v="23.0"/>
        <n v="64.0"/>
        <n v="110.0"/>
        <n v="60.0"/>
        <n v="13.0"/>
        <n v="1621.0"/>
        <n v="11.0"/>
        <n v="19.0"/>
        <n v="92.0"/>
        <n v="54.0"/>
        <n v="95.0"/>
        <n v="37.0"/>
        <n v="132.0"/>
        <n v="21.0"/>
        <n v="91.0"/>
        <n v="242.0"/>
        <n v="139.0"/>
        <n v="31.0"/>
        <n v="20.0"/>
        <n v="108.0"/>
        <n v="69.0"/>
        <n v="26.0"/>
        <n v="47.0"/>
        <n v="1087.0"/>
        <n v="109.0"/>
        <n v="136.0"/>
        <n v="45.0"/>
        <n v="80.0"/>
        <n v="27.0"/>
        <n v="75.0"/>
        <n v="635.0"/>
        <n v="266.0"/>
        <n v="123.0"/>
        <n v="495.0"/>
        <n v="432.0"/>
        <n v="279.0"/>
        <n v="118.0"/>
        <n v="29.0"/>
        <n v="34.0"/>
        <n v="263.0"/>
        <n v="749.0"/>
        <n v="43.0"/>
        <n v="172.0"/>
        <n v="56.0"/>
        <n v="79.0"/>
        <n v="33.0"/>
        <n v="25.0"/>
        <n v="103.0"/>
        <n v="74.0"/>
        <n v="71.0"/>
      </sharedItems>
    </cacheField>
    <cacheField name="disp_Against_Medical_Advice" numFmtId="0">
      <sharedItems containsString="0" containsBlank="1" containsNumber="1" containsInteger="1">
        <n v="119.0"/>
        <n v="260.0"/>
        <n v="15.0"/>
        <n v="29.0"/>
        <n v="725.0"/>
        <n v="5.0"/>
        <n v="266.0"/>
        <n v="123.0"/>
        <m/>
        <n v="20.0"/>
        <n v="205.0"/>
        <n v="48.0"/>
        <n v="6.0"/>
        <n v="188.0"/>
        <n v="76.0"/>
        <n v="52.0"/>
        <n v="1062.0"/>
        <n v="2.0"/>
        <n v="34.0"/>
        <n v="3.0"/>
        <n v="245.0"/>
        <n v="88.0"/>
        <n v="313.0"/>
        <n v="61.0"/>
        <n v="335.0"/>
        <n v="98.0"/>
        <n v="77.0"/>
        <n v="19.0"/>
        <n v="9.0"/>
        <n v="370.0"/>
        <n v="51.0"/>
        <n v="2113.0"/>
        <n v="27.0"/>
        <n v="838.0"/>
        <n v="53.0"/>
        <n v="28.0"/>
        <n v="38.0"/>
        <n v="270.0"/>
        <n v="23.0"/>
        <n v="148.0"/>
        <n v="134.0"/>
        <n v="360.0"/>
        <n v="606.0"/>
        <n v="358.0"/>
        <n v="195.0"/>
        <n v="56.0"/>
        <n v="398.0"/>
        <n v="11.0"/>
        <n v="68.0"/>
        <n v="130.0"/>
        <n v="33.0"/>
        <n v="253.0"/>
        <n v="65.0"/>
        <n v="42.0"/>
        <n v="117.0"/>
        <n v="151.0"/>
        <n v="109.0"/>
        <n v="535.0"/>
        <n v="1.0"/>
        <n v="14.0"/>
        <n v="528.0"/>
        <n v="863.0"/>
        <n v="969.0"/>
        <n v="24.0"/>
        <n v="938.0"/>
        <n v="25.0"/>
        <n v="141.0"/>
        <n v="367.0"/>
        <n v="284.0"/>
        <n v="178.0"/>
        <n v="126.0"/>
        <n v="355.0"/>
        <n v="276.0"/>
        <n v="103.0"/>
        <n v="193.0"/>
        <n v="224.0"/>
        <n v="473.0"/>
        <n v="165.0"/>
        <n v="249.0"/>
        <n v="591.0"/>
        <n v="268.0"/>
        <n v="492.0"/>
        <n v="440.0"/>
        <n v="216.0"/>
        <n v="287.0"/>
        <n v="248.0"/>
        <n v="127.0"/>
        <n v="44.0"/>
        <n v="69.0"/>
        <n v="21.0"/>
        <n v="291.0"/>
        <n v="214.0"/>
        <n v="258.0"/>
        <n v="608.0"/>
        <n v="257.0"/>
        <n v="289.0"/>
        <n v="192.0"/>
        <n v="221.0"/>
        <n v="675.0"/>
        <n v="323.0"/>
        <n v="105.0"/>
        <n v="357.0"/>
        <n v="403.0"/>
        <n v="419.0"/>
        <n v="353.0"/>
        <n v="215.0"/>
        <n v="223.0"/>
        <n v="332.0"/>
        <n v="747.0"/>
        <n v="146.0"/>
        <n v="231.0"/>
        <n v="722.0"/>
        <n v="285.0"/>
        <n v="514.0"/>
        <n v="94.0"/>
        <n v="304.0"/>
        <n v="426.0"/>
        <n v="10.0"/>
        <n v="8.0"/>
        <n v="327.0"/>
        <n v="665.0"/>
        <n v="1085.0"/>
        <n v="724.0"/>
        <n v="435.0"/>
        <n v="40.0"/>
        <n v="79.0"/>
        <n v="308.0"/>
        <n v="50.0"/>
        <n v="36.0"/>
        <n v="108.0"/>
        <n v="251.0"/>
        <n v="87.0"/>
        <n v="13.0"/>
        <n v="131.0"/>
        <n v="16.0"/>
        <n v="45.0"/>
        <n v="359.0"/>
        <n v="4.0"/>
        <n v="207.0"/>
        <n v="167.0"/>
        <n v="189.0"/>
        <n v="101.0"/>
        <n v="58.0"/>
        <n v="144.0"/>
        <n v="22.0"/>
        <n v="277.0"/>
        <n v="70.0"/>
        <n v="1032.0"/>
        <n v="628.0"/>
        <n v="503.0"/>
        <n v="209.0"/>
        <n v="242.0"/>
        <n v="294.0"/>
        <n v="102.0"/>
        <n v="504.0"/>
        <n v="115.0"/>
        <n v="236.0"/>
        <n v="181.0"/>
        <n v="385.0"/>
        <n v="336.0"/>
        <n v="168.0"/>
        <n v="349.0"/>
        <n v="116.0"/>
        <n v="487.0"/>
        <n v="243.0"/>
        <n v="208.0"/>
        <n v="379.0"/>
        <n v="781.0"/>
        <n v="173.0"/>
        <n v="230.0"/>
        <n v="1109.0"/>
        <n v="381.0"/>
        <n v="55.0"/>
        <n v="383.0"/>
        <n v="673.0"/>
        <n v="356.0"/>
        <n v="399.0"/>
        <n v="281.0"/>
        <n v="269.0"/>
        <n v="627.0"/>
        <n v="232.0"/>
        <n v="645.0"/>
        <n v="437.0"/>
        <n v="274.0"/>
        <n v="213.0"/>
        <n v="95.0"/>
        <n v="217.0"/>
        <n v="185.0"/>
        <n v="75.0"/>
        <n v="194.0"/>
        <n v="588.0"/>
        <n v="7.0"/>
        <n v="325.0"/>
        <n v="315.0"/>
        <n v="569.0"/>
        <n v="744.0"/>
        <n v="464.0"/>
        <n v="716.0"/>
        <n v="702.0"/>
        <n v="240.0"/>
        <n v="525.0"/>
        <n v="147.0"/>
        <n v="418.0"/>
        <n v="41.0"/>
        <n v="881.0"/>
        <n v="124.0"/>
        <n v="177.0"/>
        <n v="436.0"/>
        <n v="950.0"/>
        <n v="534.0"/>
        <n v="138.0"/>
        <n v="82.0"/>
        <n v="54.0"/>
        <n v="329.0"/>
        <n v="12.0"/>
        <n v="122.0"/>
        <n v="700.0"/>
        <n v="430.0"/>
        <n v="143.0"/>
        <n v="283.0"/>
        <n v="587.0"/>
        <n v="203.0"/>
        <n v="520.0"/>
        <n v="726.0"/>
        <n v="46.0"/>
        <n v="84.0"/>
        <n v="171.0"/>
        <n v="63.0"/>
        <n v="89.0"/>
        <n v="110.0"/>
        <n v="100.0"/>
        <n v="152.0"/>
        <n v="17.0"/>
        <n v="57.0"/>
        <n v="202.0"/>
        <n v="26.0"/>
        <n v="444.0"/>
        <n v="365.0"/>
        <n v="486.0"/>
        <n v="634.0"/>
        <n v="282.0"/>
        <n v="125.0"/>
        <n v="47.0"/>
        <n v="375.0"/>
        <n v="300.0"/>
        <n v="66.0"/>
        <n v="149.0"/>
        <n v="295.0"/>
        <n v="352.0"/>
        <n v="643.0"/>
        <n v="288.0"/>
        <n v="420.0"/>
        <n v="39.0"/>
        <n v="99.0"/>
        <n v="561.0"/>
        <n v="1494.0"/>
        <n v="252.0"/>
        <n v="64.0"/>
        <n v="180.0"/>
        <n v="212.0"/>
      </sharedItems>
    </cacheField>
    <cacheField name="disp_Died" numFmtId="0">
      <sharedItems containsString="0" containsBlank="1" containsNumber="1" containsInteger="1">
        <n v="102.0"/>
        <n v="189.0"/>
        <n v="47.0"/>
        <m/>
        <n v="399.0"/>
        <n v="34.0"/>
        <n v="382.0"/>
        <n v="163.0"/>
        <n v="408.0"/>
        <n v="1.0"/>
        <n v="244.0"/>
        <n v="216.0"/>
        <n v="339.0"/>
        <n v="689.0"/>
        <n v="361.0"/>
        <n v="57.0"/>
        <n v="23.0"/>
        <n v="270.0"/>
        <n v="558.0"/>
        <n v="26.0"/>
        <n v="29.0"/>
        <n v="58.0"/>
        <n v="181.0"/>
        <n v="697.0"/>
        <n v="424.0"/>
        <n v="86.0"/>
        <n v="239.0"/>
        <n v="83.0"/>
        <n v="43.0"/>
        <n v="131.0"/>
        <n v="584.0"/>
        <n v="2.0"/>
        <n v="1280.0"/>
        <n v="8.0"/>
        <n v="747.0"/>
        <n v="4.0"/>
        <n v="295.0"/>
        <n v="45.0"/>
        <n v="3.0"/>
        <n v="35.0"/>
        <n v="238.0"/>
        <n v="277.0"/>
        <n v="120.0"/>
        <n v="27.0"/>
        <n v="68.0"/>
        <n v="541.0"/>
        <n v="213.0"/>
        <n v="304.0"/>
        <n v="6.0"/>
        <n v="583.0"/>
        <n v="5.0"/>
        <n v="70.0"/>
        <n v="37.0"/>
        <n v="313.0"/>
        <n v="51.0"/>
        <n v="193.0"/>
        <n v="744.0"/>
        <n v="201.0"/>
        <n v="76.0"/>
        <n v="336.0"/>
        <n v="242.0"/>
        <n v="211.0"/>
        <n v="276.0"/>
        <n v="19.0"/>
        <n v="518.0"/>
        <n v="116.0"/>
        <n v="309.0"/>
        <n v="132.0"/>
        <n v="96.0"/>
        <n v="279.0"/>
        <n v="388.0"/>
        <n v="281.0"/>
        <n v="108.0"/>
        <n v="44.0"/>
        <n v="224.0"/>
        <n v="129.0"/>
        <n v="359.0"/>
        <n v="543.0"/>
        <n v="155.0"/>
        <n v="60.0"/>
        <n v="446.0"/>
        <n v="465.0"/>
        <n v="547.0"/>
        <n v="648.0"/>
        <n v="272.0"/>
        <n v="691.0"/>
        <n v="669.0"/>
        <n v="397.0"/>
        <n v="323.0"/>
        <n v="384.0"/>
        <n v="337.0"/>
        <n v="573.0"/>
        <n v="124.0"/>
        <n v="271.0"/>
        <n v="278.0"/>
        <n v="183.0"/>
        <n v="621.0"/>
        <n v="472.0"/>
        <n v="38.0"/>
        <n v="50.0"/>
        <n v="1477.0"/>
        <n v="341.0"/>
        <n v="80.0"/>
        <n v="114.0"/>
        <n v="176.0"/>
        <n v="872.0"/>
        <n v="678.0"/>
        <n v="372.0"/>
        <n v="28.0"/>
        <n v="177.0"/>
        <n v="308.0"/>
        <n v="199.0"/>
        <n v="588.0"/>
        <n v="431.0"/>
        <n v="624.0"/>
        <n v="324.0"/>
        <n v="147.0"/>
        <n v="10.0"/>
        <n v="357.0"/>
        <n v="287.0"/>
        <n v="160.0"/>
        <n v="326.0"/>
        <n v="63.0"/>
        <n v="489.0"/>
        <n v="822.0"/>
        <n v="200.0"/>
        <n v="288.0"/>
        <n v="40.0"/>
        <n v="449.0"/>
        <n v="61.0"/>
        <n v="342.0"/>
        <n v="67.0"/>
        <n v="135.0"/>
        <n v="240.0"/>
        <n v="62.0"/>
        <n v="95.0"/>
        <n v="284.0"/>
        <n v="302.0"/>
        <n v="16.0"/>
        <n v="300.0"/>
        <n v="137.0"/>
        <n v="227.0"/>
        <n v="126.0"/>
        <n v="158.0"/>
        <n v="69.0"/>
        <n v="165.0"/>
        <n v="413.0"/>
        <n v="54.0"/>
        <n v="894.0"/>
        <n v="85.0"/>
        <n v="428.0"/>
        <n v="66.0"/>
        <n v="450.0"/>
        <n v="338.0"/>
        <n v="164.0"/>
        <n v="123.0"/>
        <n v="246.0"/>
        <n v="22.0"/>
        <n v="535.0"/>
        <n v="592.0"/>
        <n v="41.0"/>
        <n v="222.0"/>
        <n v="273.0"/>
        <n v="579.0"/>
        <n v="97.0"/>
        <n v="653.0"/>
        <n v="14.0"/>
        <n v="9.0"/>
        <n v="318.0"/>
        <n v="704.0"/>
        <n v="456.0"/>
        <n v="190.0"/>
        <n v="257.0"/>
        <n v="938.0"/>
        <n v="107.0"/>
        <n v="74.0"/>
        <n v="398.0"/>
        <n v="503.0"/>
        <n v="332.0"/>
        <n v="516.0"/>
        <n v="404.0"/>
        <n v="853.0"/>
        <n v="297.0"/>
        <n v="488.0"/>
        <n v="651.0"/>
        <n v="92.0"/>
        <n v="150.0"/>
        <n v="91.0"/>
        <n v="1005.0"/>
        <n v="1014.0"/>
        <n v="703.0"/>
        <n v="436.0"/>
        <n v="433.0"/>
        <n v="121.0"/>
        <n v="71.0"/>
        <n v="299.0"/>
        <n v="82.0"/>
        <n v="480.0"/>
        <n v="93.0"/>
        <n v="84.0"/>
        <n v="762.0"/>
        <n v="947.0"/>
        <n v="48.0"/>
        <n v="544.0"/>
        <n v="800.0"/>
        <n v="415.0"/>
        <n v="660.0"/>
        <n v="258.0"/>
        <n v="261.0"/>
        <n v="18.0"/>
        <n v="106.0"/>
        <n v="780.0"/>
        <n v="87.0"/>
        <n v="307.0"/>
        <n v="79.0"/>
        <n v="103.0"/>
        <n v="395.0"/>
        <n v="94.0"/>
        <n v="844.0"/>
        <n v="42.0"/>
        <n v="422.0"/>
        <n v="100.0"/>
        <n v="153.0"/>
        <n v="283.0"/>
        <n v="890.0"/>
        <n v="354.0"/>
        <n v="156.0"/>
        <n v="256.0"/>
        <n v="25.0"/>
        <n v="348.0"/>
        <n v="252.0"/>
        <n v="464.0"/>
        <n v="447.0"/>
        <n v="613.0"/>
        <n v="477.0"/>
        <n v="605.0"/>
        <n v="409.0"/>
        <n v="840.0"/>
        <n v="117.0"/>
        <n v="99.0"/>
        <n v="617.0"/>
        <n v="245.0"/>
        <n v="639.0"/>
        <n v="49.0"/>
        <n v="316.0"/>
        <n v="378.0"/>
        <n v="253.0"/>
        <n v="12.0"/>
        <n v="521.0"/>
        <n v="46.0"/>
        <n v="139.0"/>
        <n v="845.0"/>
        <n v="475.0"/>
        <n v="115.0"/>
        <n v="21.0"/>
        <n v="768.0"/>
        <n v="204.0"/>
        <n v="192.0"/>
        <n v="497.0"/>
        <n v="185.0"/>
        <n v="381.0"/>
        <n v="134.0"/>
        <n v="443.0"/>
      </sharedItems>
    </cacheField>
    <cacheField name="disp_Home_Health_Service" numFmtId="0">
      <sharedItems containsString="0" containsBlank="1" containsNumber="1" containsInteger="1">
        <n v="500.0"/>
        <n v="1590.0"/>
        <n v="6.0"/>
        <n v="1.0"/>
        <n v="1338.0"/>
        <n v="41.0"/>
        <n v="3053.0"/>
        <n v="530.0"/>
        <n v="2622.0"/>
        <m/>
        <n v="1430.0"/>
        <n v="1346.0"/>
        <n v="1544.0"/>
        <n v="2979.0"/>
        <n v="2482.0"/>
        <n v="494.0"/>
        <n v="42.0"/>
        <n v="802.0"/>
        <n v="2825.0"/>
        <n v="146.0"/>
        <n v="30.0"/>
        <n v="15.0"/>
        <n v="1410.0"/>
        <n v="5451.0"/>
        <n v="2136.0"/>
        <n v="3575.0"/>
        <n v="810.0"/>
        <n v="2094.0"/>
        <n v="304.0"/>
        <n v="70.0"/>
        <n v="507.0"/>
        <n v="3544.0"/>
        <n v="8.0"/>
        <n v="7303.0"/>
        <n v="182.0"/>
        <n v="4020.0"/>
        <n v="466.0"/>
        <n v="32.0"/>
        <n v="1973.0"/>
        <n v="3.0"/>
        <n v="21.0"/>
        <n v="452.0"/>
        <n v="771.0"/>
        <n v="204.0"/>
        <n v="26.0"/>
        <n v="16.0"/>
        <n v="1261.0"/>
        <n v="412.0"/>
        <n v="2.0"/>
        <n v="1022.0"/>
        <n v="80.0"/>
        <n v="1727.0"/>
        <n v="150.0"/>
        <n v="959.0"/>
        <n v="5.0"/>
        <n v="188.0"/>
        <n v="113.0"/>
        <n v="1946.0"/>
        <n v="173.0"/>
        <n v="248.0"/>
        <n v="743.0"/>
        <n v="2642.0"/>
        <n v="76.0"/>
        <n v="59.0"/>
        <n v="819.0"/>
        <n v="1174.0"/>
        <n v="730.0"/>
        <n v="1163.0"/>
        <n v="508.0"/>
        <n v="1624.0"/>
        <n v="1887.0"/>
        <n v="10.0"/>
        <n v="2223.0"/>
        <n v="45.0"/>
        <n v="288.0"/>
        <n v="323.0"/>
        <n v="838.0"/>
        <n v="1085.0"/>
        <n v="2124.0"/>
        <n v="168.0"/>
        <n v="267.0"/>
        <n v="833.0"/>
        <n v="54.0"/>
        <n v="1672.0"/>
        <n v="3282.0"/>
        <n v="83.0"/>
        <n v="14.0"/>
        <n v="1067.0"/>
        <n v="3722.0"/>
        <n v="1780.0"/>
        <n v="2236.0"/>
        <n v="1384.0"/>
        <n v="4748.0"/>
        <n v="6182.0"/>
        <n v="3516.0"/>
        <n v="1894.0"/>
        <n v="2496.0"/>
        <n v="170.0"/>
        <n v="2795.0"/>
        <n v="778.0"/>
        <n v="1879.0"/>
        <n v="243.0"/>
        <n v="1665.0"/>
        <n v="678.0"/>
        <n v="2983.0"/>
        <n v="2408.0"/>
        <n v="18.0"/>
        <n v="370.0"/>
        <n v="10128.0"/>
        <n v="2411.0"/>
        <n v="65.0"/>
        <n v="160.0"/>
        <n v="81.0"/>
        <n v="209.0"/>
        <n v="6675.0"/>
        <n v="1939.0"/>
        <n v="784.0"/>
        <n v="84.0"/>
        <n v="3257.0"/>
        <n v="24.0"/>
        <n v="340.0"/>
        <n v="1440.0"/>
        <n v="3150.0"/>
        <n v="2371.0"/>
        <n v="206.0"/>
        <n v="4315.0"/>
        <n v="1736.0"/>
        <n v="1080.0"/>
        <n v="1593.0"/>
        <n v="2100.0"/>
        <n v="460.0"/>
        <n v="11.0"/>
        <n v="1584.0"/>
        <n v="312.0"/>
        <n v="1183.0"/>
        <n v="420.0"/>
        <n v="2717.0"/>
        <n v="454.0"/>
        <n v="53.0"/>
        <n v="2750.0"/>
        <n v="3005.0"/>
        <n v="2363.0"/>
        <n v="64.0"/>
        <n v="3938.0"/>
        <n v="1619.0"/>
        <n v="314.0"/>
        <n v="7.0"/>
        <n v="787.0"/>
        <n v="56.0"/>
        <n v="1198.0"/>
        <n v="573.0"/>
        <n v="38.0"/>
        <n v="63.0"/>
        <n v="305.0"/>
        <n v="199.0"/>
        <n v="216.0"/>
        <n v="1328.0"/>
        <n v="2161.0"/>
        <n v="2658.0"/>
        <n v="592.0"/>
        <n v="1076.0"/>
        <n v="445.0"/>
        <n v="616.0"/>
        <n v="109.0"/>
        <n v="47.0"/>
        <n v="2625.0"/>
        <n v="1121.0"/>
        <n v="43.0"/>
        <n v="93.0"/>
        <n v="2431.0"/>
        <n v="6943.0"/>
        <n v="197.0"/>
        <n v="231.0"/>
        <n v="1687.0"/>
        <n v="3445.0"/>
        <n v="3703.0"/>
        <n v="329.0"/>
        <n v="469.0"/>
        <n v="2605.0"/>
        <n v="358.0"/>
        <n v="4526.0"/>
        <n v="4013.0"/>
        <n v="308.0"/>
        <n v="590.0"/>
        <n v="104.0"/>
        <n v="511.0"/>
        <n v="271.0"/>
        <n v="5302.0"/>
        <n v="1083.0"/>
        <n v="736.0"/>
        <n v="780.0"/>
        <n v="4637.0"/>
        <n v="3595.0"/>
        <n v="1268.0"/>
        <n v="1989.0"/>
        <n v="4934.0"/>
        <n v="1007.0"/>
        <n v="591.0"/>
        <n v="651.0"/>
        <n v="4032.0"/>
        <n v="650.0"/>
        <n v="222.0"/>
        <n v="1995.0"/>
        <n v="1079.0"/>
        <n v="2263.0"/>
        <n v="1333.0"/>
        <n v="373.0"/>
        <n v="1674.0"/>
        <n v="2218.0"/>
        <n v="551.0"/>
        <n v="2519.0"/>
        <n v="2356.0"/>
        <n v="2439.0"/>
        <n v="1361.0"/>
        <n v="4136.0"/>
        <n v="3999.0"/>
        <n v="2824.0"/>
        <n v="1058.0"/>
        <n v="85.0"/>
        <n v="285.0"/>
        <n v="401.0"/>
        <n v="114.0"/>
        <n v="6073.0"/>
        <n v="4751.0"/>
        <n v="2012.0"/>
        <n v="2126.0"/>
        <n v="558.0"/>
        <n v="1936.0"/>
        <n v="2992.0"/>
        <n v="107.0"/>
        <n v="1325.0"/>
        <n v="218.0"/>
        <n v="409.0"/>
        <n v="475.0"/>
        <n v="163.0"/>
        <n v="515.0"/>
        <n v="3779.0"/>
        <n v="39.0"/>
        <n v="3039.0"/>
        <n v="49.0"/>
        <n v="6497.0"/>
        <n v="3353.0"/>
        <n v="4.0"/>
        <n v="278.0"/>
        <n v="3168.0"/>
        <n v="1319.0"/>
        <n v="5727.0"/>
        <n v="2257.0"/>
        <n v="721.0"/>
        <n v="1397.0"/>
        <n v="2071.0"/>
        <n v="3230.0"/>
        <n v="3210.0"/>
        <n v="1407.0"/>
        <n v="525.0"/>
        <n v="473.0"/>
        <n v="854.0"/>
        <n v="6584.0"/>
        <n v="232.0"/>
        <n v="2465.0"/>
        <n v="890.0"/>
        <n v="1019.0"/>
        <n v="451.0"/>
        <n v="3020.0"/>
        <n v="647.0"/>
        <n v="468.0"/>
        <n v="1982.0"/>
        <n v="980.0"/>
        <n v="1050.0"/>
        <n v="826.0"/>
        <n v="1127.0"/>
        <n v="149.0"/>
        <n v="1652.0"/>
        <n v="426.0"/>
        <n v="2430.0"/>
        <n v="656.0"/>
        <n v="300.0"/>
        <n v="603.0"/>
        <n v="2393.0"/>
        <n v="2150.0"/>
        <n v="1685.0"/>
        <n v="2220.0"/>
        <n v="1286.0"/>
        <n v="1230.0"/>
        <n v="7650.0"/>
        <n v="2205.0"/>
        <n v="4609.0"/>
        <n v="2153.0"/>
        <n v="74.0"/>
        <n v="577.0"/>
        <n v="934.0"/>
        <n v="2233.0"/>
        <n v="139.0"/>
        <n v="2240.0"/>
        <n v="1068.0"/>
        <n v="1514.0"/>
        <n v="1117.0"/>
        <n v="36.0"/>
        <n v="394.0"/>
        <n v="1931.0"/>
        <n v="180.0"/>
        <n v="9.0"/>
        <n v="1307.0"/>
        <n v="1620.0"/>
        <n v="1140.0"/>
        <n v="1032.0"/>
        <n v="4267.0"/>
        <n v="88.0"/>
        <n v="60.0"/>
        <n v="613.0"/>
        <n v="31.0"/>
        <n v="581.0"/>
        <n v="3484.0"/>
        <n v="569.0"/>
        <n v="326.0"/>
        <n v="446.0"/>
        <n v="3084.0"/>
        <n v="3162.0"/>
        <n v="315.0"/>
        <n v="902.0"/>
        <n v="1625.0"/>
        <n v="1965.0"/>
        <n v="258.0"/>
        <n v="620.0"/>
        <n v="1573.0"/>
      </sharedItems>
    </cacheField>
    <cacheField name="disp_Disaster_Care_Site" numFmtId="0">
      <sharedItems containsString="0" containsBlank="1" containsNumber="1" containsInteger="1">
        <m/>
        <n v="1.0"/>
        <n v="3.0"/>
        <n v="12.0"/>
        <n v="5.0"/>
        <n v="4.0"/>
        <n v="2.0"/>
        <n v="49.0"/>
        <n v="11.0"/>
      </sharedItems>
    </cacheField>
    <cacheField name="disp_Childrens_or_Cancer" numFmtId="0">
      <sharedItems containsString="0" containsBlank="1" containsNumber="1" containsInteger="1">
        <m/>
        <n v="22.0"/>
        <n v="5.0"/>
        <n v="1.0"/>
        <n v="28.0"/>
        <n v="6.0"/>
        <n v="2.0"/>
        <n v="8.0"/>
        <n v="39.0"/>
        <n v="3.0"/>
        <n v="10.0"/>
        <n v="4.0"/>
        <n v="353.0"/>
        <n v="11.0"/>
        <n v="15.0"/>
        <n v="29.0"/>
        <n v="41.0"/>
        <n v="52.0"/>
        <n v="90.0"/>
        <n v="40.0"/>
        <n v="30.0"/>
        <n v="9.0"/>
        <n v="7.0"/>
        <n v="14.0"/>
        <n v="18.0"/>
        <n v="46.0"/>
        <n v="19.0"/>
        <n v="21.0"/>
        <n v="36.0"/>
        <n v="38.0"/>
        <n v="34.0"/>
        <n v="26.0"/>
        <n v="13.0"/>
        <n v="17.0"/>
        <n v="16.0"/>
        <n v="58.0"/>
        <n v="55.0"/>
        <n v="23.0"/>
        <n v="78.0"/>
        <n v="98.0"/>
        <n v="166.0"/>
        <n v="24.0"/>
        <n v="342.0"/>
        <n v="27.0"/>
        <n v="152.0"/>
        <n v="20.0"/>
        <n v="37.0"/>
        <n v="111.0"/>
        <n v="31.0"/>
        <n v="324.0"/>
        <n v="435.0"/>
        <n v="135.0"/>
        <n v="165.0"/>
        <n v="74.0"/>
        <n v="25.0"/>
        <n v="67.0"/>
      </sharedItems>
    </cacheField>
    <cacheField name="disp_Hospice_Care" numFmtId="0">
      <sharedItems containsString="0" containsBlank="1" containsNumber="1" containsInteger="1">
        <n v="46.0"/>
        <n v="122.0"/>
        <n v="5.0"/>
        <m/>
        <n v="121.0"/>
        <n v="1.0"/>
        <n v="261.0"/>
        <n v="50.0"/>
        <n v="160.0"/>
        <n v="149.0"/>
        <n v="172.0"/>
        <n v="6.0"/>
        <n v="258.0"/>
        <n v="296.0"/>
        <n v="205.0"/>
        <n v="66.0"/>
        <n v="9.0"/>
        <n v="51.0"/>
        <n v="344.0"/>
        <n v="15.0"/>
        <n v="113.0"/>
        <n v="366.0"/>
        <n v="318.0"/>
        <n v="209.0"/>
        <n v="102.0"/>
        <n v="173.0"/>
        <n v="4.0"/>
        <n v="8.0"/>
        <n v="162.0"/>
        <n v="420.0"/>
        <n v="2.0"/>
        <n v="571.0"/>
        <n v="425.0"/>
        <n v="3.0"/>
        <n v="265.0"/>
        <n v="10.0"/>
        <n v="17.0"/>
        <n v="184.0"/>
        <n v="76.0"/>
        <n v="43.0"/>
        <n v="7.0"/>
        <n v="20.0"/>
        <n v="270.0"/>
        <n v="119.0"/>
        <n v="11.0"/>
        <n v="482.0"/>
        <n v="18.0"/>
        <n v="56.0"/>
        <n v="34.0"/>
        <n v="216.0"/>
        <n v="13.0"/>
        <n v="37.0"/>
        <n v="379.0"/>
        <n v="19.0"/>
        <n v="105.0"/>
        <n v="71.0"/>
        <n v="180.0"/>
        <n v="104.0"/>
        <n v="280.0"/>
        <n v="16.0"/>
        <n v="21.0"/>
        <n v="26.0"/>
        <n v="53.0"/>
        <n v="147.0"/>
        <n v="165.0"/>
        <n v="14.0"/>
        <n v="23.0"/>
        <n v="175.0"/>
        <n v="114.0"/>
        <n v="262.0"/>
        <n v="112.0"/>
        <n v="93.0"/>
        <n v="474.0"/>
        <n v="324.0"/>
        <n v="317.0"/>
        <n v="204.0"/>
        <n v="196.0"/>
        <n v="36.0"/>
        <n v="452.0"/>
        <n v="81.0"/>
        <n v="28.0"/>
        <n v="139.0"/>
        <n v="198.0"/>
        <n v="278.0"/>
        <n v="61.0"/>
        <n v="423.0"/>
        <n v="333.0"/>
        <n v="372.0"/>
        <n v="498.0"/>
        <n v="226.0"/>
        <n v="67.0"/>
        <n v="80.0"/>
        <n v="241.0"/>
        <n v="240.0"/>
        <n v="31.0"/>
        <n v="231.0"/>
        <n v="134.0"/>
        <n v="101.0"/>
        <n v="304.0"/>
        <n v="115.0"/>
        <n v="103.0"/>
        <n v="62.0"/>
        <n v="95.0"/>
        <n v="255.0"/>
        <n v="94.0"/>
        <n v="294.0"/>
        <n v="266.0"/>
        <n v="156.0"/>
        <n v="174.0"/>
        <n v="40.0"/>
        <n v="195.0"/>
        <n v="376.0"/>
        <n v="109.0"/>
        <n v="39.0"/>
        <n v="25.0"/>
        <n v="297.0"/>
        <n v="29.0"/>
        <n v="879.0"/>
        <n v="33.0"/>
        <n v="44.0"/>
        <n v="282.0"/>
        <n v="568.0"/>
        <n v="77.0"/>
        <n v="98.0"/>
        <n v="462.0"/>
        <n v="526.0"/>
        <n v="106.0"/>
        <n v="181.0"/>
        <n v="525.0"/>
        <n v="125.0"/>
        <n v="820.0"/>
        <n v="470.0"/>
        <n v="182.0"/>
        <n v="291.0"/>
        <n v="776.0"/>
        <n v="227.0"/>
        <n v="69.0"/>
        <n v="197.0"/>
        <n v="787.0"/>
        <n v="75.0"/>
        <n v="169.0"/>
        <n v="335.0"/>
        <n v="311.0"/>
        <n v="410.0"/>
        <n v="140.0"/>
        <n v="647.0"/>
        <n v="471.0"/>
        <n v="128.0"/>
        <n v="58.0"/>
        <n v="510.0"/>
        <n v="411.0"/>
        <n v="225.0"/>
        <n v="373.0"/>
        <n v="292.0"/>
        <n v="367.0"/>
        <n v="38.0"/>
        <n v="309.0"/>
        <n v="88.0"/>
        <n v="97.0"/>
        <n v="434.0"/>
        <n v="486.0"/>
        <n v="757.0"/>
        <n v="638.0"/>
        <n v="48.0"/>
        <n v="371.0"/>
        <n v="194.0"/>
        <n v="737.0"/>
        <n v="390.0"/>
        <n v="129.0"/>
        <n v="468.0"/>
        <n v="389.0"/>
        <n v="206.0"/>
        <n v="354.0"/>
        <n v="41.0"/>
        <n v="52.0"/>
        <n v="218.0"/>
        <n v="459.0"/>
        <n v="65.0"/>
        <n v="59.0"/>
        <n v="249.0"/>
        <n v="73.0"/>
        <n v="360.0"/>
        <n v="325.0"/>
        <n v="396.0"/>
        <n v="170.0"/>
        <n v="626.0"/>
        <n v="253.0"/>
        <n v="355.0"/>
        <n v="232.0"/>
        <n v="55.0"/>
        <n v="220.0"/>
        <n v="83.0"/>
        <n v="141.0"/>
        <n v="215.0"/>
        <n v="340.0"/>
        <n v="133.0"/>
        <n v="435.0"/>
        <n v="183.0"/>
        <n v="403.0"/>
        <n v="353.0"/>
        <n v="79.0"/>
        <n v="346.0"/>
        <n v="208.0"/>
        <n v="247.0"/>
        <n v="54.0"/>
        <n v="152.0"/>
      </sharedItems>
    </cacheField>
    <cacheField name="disp_Psychiatric_Care" numFmtId="0">
      <sharedItems containsString="0" containsBlank="1" containsNumber="1" containsInteger="1">
        <n v="6.0"/>
        <n v="101.0"/>
        <n v="40.0"/>
        <n v="8.0"/>
        <n v="221.0"/>
        <m/>
        <n v="17.0"/>
        <n v="22.0"/>
        <n v="3.0"/>
        <n v="9.0"/>
        <n v="29.0"/>
        <n v="43.0"/>
        <n v="49.0"/>
        <n v="21.0"/>
        <n v="14.0"/>
        <n v="19.0"/>
        <n v="5.0"/>
        <n v="1.0"/>
        <n v="81.0"/>
        <n v="13.0"/>
        <n v="107.0"/>
        <n v="11.0"/>
        <n v="55.0"/>
        <n v="10.0"/>
        <n v="4.0"/>
        <n v="39.0"/>
        <n v="246.0"/>
        <n v="30.0"/>
        <n v="2.0"/>
        <n v="7.0"/>
        <n v="169.0"/>
        <n v="16.0"/>
        <n v="23.0"/>
        <n v="112.0"/>
        <n v="27.0"/>
        <n v="31.0"/>
        <n v="34.0"/>
        <n v="109.0"/>
        <n v="96.0"/>
        <n v="98.0"/>
        <n v="45.0"/>
        <n v="47.0"/>
        <n v="67.0"/>
        <n v="15.0"/>
        <n v="78.0"/>
        <n v="44.0"/>
        <n v="206.0"/>
        <n v="33.0"/>
        <n v="317.0"/>
        <n v="103.0"/>
        <n v="61.0"/>
        <n v="77.0"/>
        <n v="48.0"/>
        <n v="186.0"/>
        <n v="28.0"/>
        <n v="71.0"/>
        <n v="90.0"/>
        <n v="56.0"/>
        <n v="99.0"/>
        <n v="196.0"/>
        <n v="53.0"/>
        <n v="68.0"/>
        <n v="20.0"/>
        <n v="38.0"/>
        <n v="102.0"/>
        <n v="131.0"/>
        <n v="121.0"/>
        <n v="46.0"/>
        <n v="82.0"/>
        <n v="35.0"/>
        <n v="37.0"/>
        <n v="69.0"/>
        <n v="36.0"/>
        <n v="57.0"/>
        <n v="116.0"/>
        <n v="97.0"/>
        <n v="106.0"/>
        <n v="18.0"/>
        <n v="70.0"/>
        <n v="89.0"/>
        <n v="25.0"/>
        <n v="87.0"/>
        <n v="142.0"/>
        <n v="100.0"/>
        <n v="175.0"/>
        <n v="136.0"/>
        <n v="12.0"/>
        <n v="108.0"/>
        <n v="137.0"/>
        <n v="51.0"/>
        <n v="168.0"/>
        <n v="80.0"/>
        <n v="41.0"/>
        <n v="88.0"/>
        <n v="125.0"/>
        <n v="54.0"/>
        <n v="50.0"/>
        <n v="24.0"/>
        <n v="72.0"/>
        <n v="114.0"/>
        <n v="64.0"/>
        <n v="115.0"/>
        <n v="120.0"/>
        <n v="183.0"/>
        <n v="42.0"/>
        <n v="65.0"/>
      </sharedItems>
    </cacheField>
    <cacheField name="disp_CAH" numFmtId="0">
      <sharedItems containsString="0" containsBlank="1" containsNumber="1" containsInteger="1">
        <m/>
        <n v="3.0"/>
        <n v="2.0"/>
        <n v="1.0"/>
        <n v="11.0"/>
        <n v="8.0"/>
        <n v="10.0"/>
        <n v="4.0"/>
        <n v="5.0"/>
        <n v="7.0"/>
        <n v="6.0"/>
        <n v="9.0"/>
        <n v="76.0"/>
        <n v="15.0"/>
        <n v="14.0"/>
        <n v="22.0"/>
      </sharedItems>
    </cacheField>
    <cacheField name="disp_Not_Defined_Elsewhere" numFmtId="0">
      <sharedItems containsString="0" containsBlank="1" containsNumber="1" containsInteger="1">
        <n v="1.0"/>
        <n v="9.0"/>
        <m/>
        <n v="12.0"/>
        <n v="358.0"/>
        <n v="5.0"/>
        <n v="3.0"/>
        <n v="38.0"/>
        <n v="6.0"/>
        <n v="4.0"/>
        <n v="11.0"/>
        <n v="7.0"/>
        <n v="19.0"/>
        <n v="39.0"/>
        <n v="10.0"/>
        <n v="21.0"/>
        <n v="51.0"/>
        <n v="2.0"/>
        <n v="42.0"/>
        <n v="147.0"/>
        <n v="413.0"/>
        <n v="20.0"/>
        <n v="50.0"/>
        <n v="8.0"/>
        <n v="416.0"/>
        <n v="165.0"/>
        <n v="97.0"/>
        <n v="149.0"/>
        <n v="106.0"/>
        <n v="35.0"/>
        <n v="71.0"/>
        <n v="15.0"/>
        <n v="13.0"/>
        <n v="23.0"/>
        <n v="65.0"/>
        <n v="84.0"/>
        <n v="365.0"/>
        <n v="69.0"/>
        <n v="144.0"/>
        <n v="270.0"/>
        <n v="28.0"/>
        <n v="34.0"/>
        <n v="27.0"/>
        <n v="17.0"/>
        <n v="30.0"/>
        <n v="81.0"/>
        <n v="29.0"/>
        <n v="31.0"/>
        <n v="14.0"/>
        <n v="238.0"/>
        <n v="18.0"/>
        <n v="37.0"/>
        <n v="26.0"/>
        <n v="63.0"/>
        <n v="43.0"/>
        <n v="53.0"/>
        <n v="25.0"/>
        <n v="24.0"/>
        <n v="16.0"/>
        <n v="96.0"/>
        <n v="45.0"/>
        <n v="44.0"/>
        <n v="372.0"/>
      </sharedItems>
    </cacheField>
    <cacheField name="disp_Other" numFmtId="0">
      <sharedItems containsString="0" containsBlank="1" containsNumber="1" containsInteger="1">
        <m/>
        <n v="2.0"/>
        <n v="6.0"/>
        <n v="4.0"/>
        <n v="23.0"/>
        <n v="3.0"/>
        <n v="9.0"/>
        <n v="8.0"/>
        <n v="37.0"/>
        <n v="25.0"/>
        <n v="30.0"/>
        <n v="7.0"/>
        <n v="1.0"/>
        <n v="10.0"/>
        <n v="13.0"/>
        <n v="16.0"/>
        <n v="66.0"/>
        <n v="15.0"/>
        <n v="14.0"/>
        <n v="5.0"/>
        <n v="11.0"/>
        <n v="20.0"/>
        <n v="12.0"/>
        <n v="105.0"/>
        <n v="18.0"/>
        <n v="17.0"/>
        <n v="19.0"/>
      </sharedItems>
    </cacheField>
    <cacheField name="disp_Invalid_Blank" numFmtId="0">
      <sharedItems containsString="0" containsBlank="1" containsNumber="1" containsInteger="1">
        <m/>
        <n v="1.0"/>
        <n v="3.0"/>
        <n v="5.0"/>
        <n v="2.0"/>
        <n v="11.0"/>
        <n v="8.0"/>
        <n v="24.0"/>
        <n v="4.0"/>
        <n v="9.0"/>
        <n v="6.0"/>
        <n v="37.0"/>
        <n v="27.0"/>
        <n v="13.0"/>
      </sharedItems>
    </cacheField>
    <cacheField name="DNR_Yes" numFmtId="0">
      <sharedItems containsString="0" containsBlank="1" containsNumber="1" containsInteger="1">
        <n v="109.0"/>
        <n v="645.0"/>
        <n v="24.0"/>
        <n v="1.0"/>
        <n v="668.0"/>
        <n v="16.0"/>
        <n v="1059.0"/>
        <n v="277.0"/>
        <n v="1173.0"/>
        <n v="2.0"/>
        <m/>
        <n v="491.0"/>
        <n v="869.0"/>
        <n v="725.0"/>
        <n v="2257.0"/>
        <n v="1222.0"/>
        <n v="230.0"/>
        <n v="431.0"/>
        <n v="465.0"/>
        <n v="2174.0"/>
        <n v="12.0"/>
        <n v="282.0"/>
        <n v="241.0"/>
        <n v="236.0"/>
        <n v="1253.0"/>
        <n v="1934.0"/>
        <n v="695.0"/>
        <n v="466.0"/>
        <n v="912.0"/>
        <n v="194.0"/>
        <n v="136.0"/>
        <n v="435.0"/>
        <n v="653.0"/>
        <n v="133.0"/>
        <n v="1218.0"/>
        <n v="72.0"/>
        <n v="2402.0"/>
        <n v="13.0"/>
        <n v="57.0"/>
        <n v="918.0"/>
        <n v="132.0"/>
        <n v="26.0"/>
        <n v="225.0"/>
        <n v="900.0"/>
        <n v="217.0"/>
        <n v="91.0"/>
        <n v="135.0"/>
        <n v="6.0"/>
        <n v="1407.0"/>
        <n v="339.0"/>
        <n v="10386.0"/>
        <n v="122.0"/>
        <n v="280.0"/>
        <n v="58.0"/>
        <n v="336.0"/>
        <n v="1853.0"/>
        <n v="70.0"/>
        <n v="121.0"/>
        <n v="967.0"/>
        <n v="147.0"/>
        <n v="195.0"/>
        <n v="161.0"/>
        <n v="254.0"/>
        <n v="285.0"/>
        <n v="14.0"/>
        <n v="3.0"/>
        <n v="229.0"/>
        <n v="105.0"/>
        <n v="181.0"/>
        <n v="7.0"/>
        <n v="107.0"/>
        <n v="286.0"/>
        <n v="33.0"/>
        <n v="456.0"/>
        <n v="108.0"/>
        <n v="201.0"/>
        <n v="182.0"/>
        <n v="415.0"/>
        <n v="50.0"/>
        <n v="214.0"/>
        <n v="179.0"/>
        <n v="1466.0"/>
        <n v="153.0"/>
        <n v="11.0"/>
        <n v="381.0"/>
        <n v="525.0"/>
        <n v="177.0"/>
        <n v="221.0"/>
        <n v="1249.0"/>
        <n v="1600.0"/>
        <n v="984.0"/>
        <n v="952.0"/>
        <n v="801.0"/>
        <n v="20.0"/>
        <n v="778.0"/>
        <n v="174.0"/>
        <n v="43.0"/>
        <n v="157.0"/>
        <n v="667.0"/>
        <n v="23.0"/>
        <n v="74.0"/>
        <n v="51.0"/>
        <n v="1883.0"/>
        <n v="792.0"/>
        <n v="10.0"/>
        <n v="115.0"/>
        <n v="44.0"/>
        <n v="1442.0"/>
        <n v="1529.0"/>
        <n v="357.0"/>
        <n v="1972.0"/>
        <n v="62.0"/>
        <n v="151.0"/>
        <n v="1132.0"/>
        <n v="224.0"/>
        <n v="296.0"/>
        <n v="414.0"/>
        <n v="510.0"/>
        <n v="95.0"/>
        <n v="745.0"/>
        <n v="186.0"/>
        <n v="106.0"/>
        <n v="688.0"/>
        <n v="934.0"/>
        <n v="127.0"/>
        <n v="15.0"/>
        <n v="437.0"/>
        <n v="942.0"/>
        <n v="1865.0"/>
        <n v="557.0"/>
        <n v="1306.0"/>
        <n v="348.0"/>
        <n v="1131.0"/>
        <n v="1120.0"/>
        <n v="124.0"/>
        <n v="138.0"/>
        <n v="116.0"/>
        <n v="1012.0"/>
        <n v="32.0"/>
        <n v="771.0"/>
        <n v="250.0"/>
        <n v="64.0"/>
        <n v="173.0"/>
        <n v="393.0"/>
        <n v="75.0"/>
        <n v="327.0"/>
        <n v="28.0"/>
        <n v="1897.0"/>
        <n v="3057.0"/>
        <n v="426.0"/>
        <n v="1017.0"/>
        <n v="387.0"/>
        <n v="392.0"/>
        <n v="37.0"/>
        <n v="529.0"/>
        <n v="199.0"/>
        <n v="47.0"/>
        <n v="2152.0"/>
        <n v="99.0"/>
        <n v="168.0"/>
        <n v="772.0"/>
        <n v="27.0"/>
        <n v="1245.0"/>
        <n v="1003.0"/>
        <n v="228.0"/>
        <n v="1165.0"/>
        <n v="163.0"/>
        <n v="1247.0"/>
        <n v="1393.0"/>
        <n v="31.0"/>
        <n v="472.0"/>
        <n v="167.0"/>
        <n v="4.0"/>
        <n v="2225.0"/>
        <n v="5.0"/>
        <n v="692.0"/>
        <n v="2531.0"/>
        <n v="2159.0"/>
        <n v="46.0"/>
        <n v="1968.0"/>
        <n v="21414.0"/>
        <n v="388.0"/>
        <n v="227.0"/>
        <n v="59.0"/>
        <n v="367.0"/>
        <n v="35.0"/>
        <n v="103.0"/>
        <n v="777.0"/>
        <n v="481.0"/>
        <n v="619.0"/>
        <n v="1248.0"/>
        <n v="34.0"/>
        <n v="429.0"/>
        <n v="438.0"/>
        <n v="1454.0"/>
        <n v="1115.0"/>
        <n v="2558.0"/>
        <n v="916.0"/>
        <n v="504.0"/>
        <n v="1322.0"/>
        <n v="1763.0"/>
        <n v="702.0"/>
        <n v="305.0"/>
        <n v="61.0"/>
        <n v="65.0"/>
        <n v="42.0"/>
        <n v="2150.0"/>
        <n v="1338.0"/>
        <n v="22.0"/>
        <n v="494.0"/>
        <n v="223.0"/>
        <n v="45.0"/>
        <n v="290.0"/>
        <n v="445.0"/>
        <n v="101.0"/>
        <n v="192.0"/>
        <n v="337.0"/>
        <n v="375.0"/>
        <n v="92.0"/>
        <n v="131.0"/>
        <n v="258.0"/>
        <n v="80.0"/>
        <n v="360.0"/>
        <n v="2295.0"/>
        <n v="2019.0"/>
        <n v="3476.0"/>
        <n v="2663.0"/>
        <n v="185.0"/>
        <n v="2114.0"/>
        <n v="1008.0"/>
        <n v="1931.0"/>
        <n v="1541.0"/>
        <n v="565.0"/>
        <n v="751.0"/>
        <n v="2315.0"/>
        <n v="19.0"/>
        <n v="55.0"/>
        <n v="2082.0"/>
        <n v="975.0"/>
        <n v="1164.0"/>
        <n v="247.0"/>
        <n v="453.0"/>
        <n v="1029.0"/>
        <n v="125.0"/>
        <n v="1296.0"/>
        <n v="1002.0"/>
        <n v="303.0"/>
        <n v="1090.0"/>
        <n v="598.0"/>
        <n v="871.0"/>
        <n v="154.0"/>
        <n v="306.0"/>
        <n v="476.0"/>
        <n v="614.0"/>
        <n v="416.0"/>
        <n v="119.0"/>
        <n v="1255.0"/>
        <n v="554.0"/>
        <n v="36.0"/>
        <n v="1235.0"/>
        <n v="160.0"/>
        <n v="1013.0"/>
        <n v="60.0"/>
        <n v="386.0"/>
        <n v="1316.0"/>
        <n v="1080.0"/>
        <n v="1994.0"/>
        <n v="1470.0"/>
        <n v="951.0"/>
        <n v="315.0"/>
        <n v="1927.0"/>
        <n v="1396.0"/>
        <n v="18.0"/>
        <n v="2501.0"/>
        <n v="866.0"/>
        <n v="130.0"/>
        <n v="39.0"/>
        <n v="765.0"/>
        <n v="1715.0"/>
        <n v="143.0"/>
        <n v="966.0"/>
        <n v="193.0"/>
        <n v="636.0"/>
        <n v="112.0"/>
        <n v="1667.0"/>
        <n v="260.0"/>
        <n v="1762.0"/>
        <n v="485.0"/>
        <n v="1135.0"/>
        <n v="550.0"/>
        <n v="965.0"/>
        <n v="120.0"/>
        <n v="463.0"/>
        <n v="78.0"/>
        <n v="1811.0"/>
        <n v="596.0"/>
        <n v="612.0"/>
        <n v="1554.0"/>
        <n v="768.0"/>
        <n v="1276.0"/>
        <n v="238.0"/>
        <n v="721.0"/>
        <n v="842.0"/>
        <n v="1147.0"/>
        <n v="371.0"/>
        <n v="1186.0"/>
      </sharedItems>
    </cacheField>
    <cacheField name="DNR_No" numFmtId="0">
      <sharedItems containsSemiMixedTypes="0" containsString="0" containsNumber="1" containsInteger="1">
        <n v="2669.0"/>
        <n v="14362.0"/>
        <n v="7308.0"/>
        <n v="1608.0"/>
        <n v="17155.0"/>
        <n v="315.0"/>
        <n v="9321.0"/>
        <n v="3932.0"/>
        <n v="10334.0"/>
        <n v="341.0"/>
        <n v="5412.0"/>
        <n v="7559.0"/>
        <n v="3767.0"/>
        <n v="1149.0"/>
        <n v="447.0"/>
        <n v="8875.0"/>
        <n v="21204.0"/>
        <n v="14311.0"/>
        <n v="2186.0"/>
        <n v="82.0"/>
        <n v="11717.0"/>
        <n v="17470.0"/>
        <n v="273.0"/>
        <n v="755.0"/>
        <n v="511.0"/>
        <n v="8052.0"/>
        <n v="6169.0"/>
        <n v="20705.0"/>
        <n v="13043.0"/>
        <n v="10082.0"/>
        <n v="3373.0"/>
        <n v="3101.0"/>
        <n v="9620.0"/>
        <n v="2133.0"/>
        <n v="1784.0"/>
        <n v="4256.0"/>
        <n v="299.0"/>
        <n v="21880.0"/>
        <n v="595.0"/>
        <n v="42958.0"/>
        <n v="2974.0"/>
        <n v="24000.0"/>
        <n v="1380.0"/>
        <n v="864.0"/>
        <n v="9107.0"/>
        <n v="210.0"/>
        <n v="426.0"/>
        <n v="409.0"/>
        <n v="1515.0"/>
        <n v="47.0"/>
        <n v="510.0"/>
        <n v="6308.0"/>
        <n v="4904.0"/>
        <n v="5874.0"/>
        <n v="874.0"/>
        <n v="4.0"/>
        <n v="1317.0"/>
        <n v="19206.0"/>
        <n v="2145.0"/>
        <n v="242.0"/>
        <n v="12695.0"/>
        <n v="2367.0"/>
        <n v="1781.0"/>
        <n v="15949.0"/>
        <n v="298.0"/>
        <n v="1711.0"/>
        <n v="2823.0"/>
        <n v="2025.0"/>
        <n v="308.0"/>
        <n v="862.0"/>
        <n v="10676.0"/>
        <n v="1191.0"/>
        <n v="1661.0"/>
        <n v="859.0"/>
        <n v="3748.0"/>
        <n v="5224.0"/>
        <n v="20408.0"/>
        <n v="6.0"/>
        <n v="700.0"/>
        <n v="614.0"/>
        <n v="10589.0"/>
        <n v="1358.0"/>
        <n v="7768.0"/>
        <n v="12120.0"/>
        <n v="17060.0"/>
        <n v="2002.0"/>
        <n v="13011.0"/>
        <n v="840.0"/>
        <n v="3362.0"/>
        <n v="6514.0"/>
        <n v="16996.0"/>
        <n v="6931.0"/>
        <n v="3560.0"/>
        <n v="350.0"/>
        <n v="3282.0"/>
        <n v="5587.0"/>
        <n v="7934.0"/>
        <n v="7022.0"/>
        <n v="7128.0"/>
        <n v="9164.0"/>
        <n v="2653.0"/>
        <n v="1901.0"/>
        <n v="4514.0"/>
        <n v="484.0"/>
        <n v="8898.0"/>
        <n v="336.0"/>
        <n v="17791.0"/>
        <n v="1168.0"/>
        <n v="1935.0"/>
        <n v="6832.0"/>
        <n v="17388.0"/>
        <n v="18786.0"/>
        <n v="13627.0"/>
        <n v="26649.0"/>
        <n v="7278.0"/>
        <n v="26100.0"/>
        <n v="25996.0"/>
        <n v="13333.0"/>
        <n v="9812.0"/>
        <n v="10417.0"/>
        <n v="1291.0"/>
        <n v="2970.0"/>
        <n v="18741.0"/>
        <n v="4494.0"/>
        <n v="14131.0"/>
        <n v="5628.0"/>
        <n v="10608.0"/>
        <n v="6050.0"/>
        <n v="14498.0"/>
        <n v="11874.0"/>
        <n v="214.0"/>
        <n v="2985.0"/>
        <n v="110.0"/>
        <n v="47775.0"/>
        <n v="13393.0"/>
        <n v="2726.0"/>
        <n v="8051.0"/>
        <n v="633.0"/>
        <n v="23556.0"/>
        <n v="22260.0"/>
        <n v="15325.0"/>
        <n v="4271.0"/>
        <n v="3626.0"/>
        <n v="5311.0"/>
        <n v="498.0"/>
        <n v="14317.0"/>
        <n v="4088.0"/>
        <n v="3901.0"/>
        <n v="18458.0"/>
        <n v="13698.0"/>
        <n v="16773.0"/>
        <n v="1927.0"/>
        <n v="3544.0"/>
        <n v="22232.0"/>
        <n v="15041.0"/>
        <n v="5735.0"/>
        <n v="206.0"/>
        <n v="6914.0"/>
        <n v="20301.0"/>
        <n v="6338.0"/>
        <n v="1642.0"/>
        <n v="12078.0"/>
        <n v="1333.0"/>
        <n v="672.0"/>
        <n v="18562.0"/>
        <n v="28447.0"/>
        <n v="9889.0"/>
        <n v="11669.0"/>
        <n v="2518.0"/>
        <n v="9714.0"/>
        <n v="886.0"/>
        <n v="10854.0"/>
        <n v="37.0"/>
        <n v="58.0"/>
        <n v="12630.0"/>
        <n v="18150.0"/>
        <n v="19355.0"/>
        <n v="117.0"/>
        <n v="9717.0"/>
        <n v="166.0"/>
        <n v="1042.0"/>
        <n v="3608.0"/>
        <n v="10255.0"/>
        <n v="2524.0"/>
        <n v="597.0"/>
        <n v="9918.0"/>
        <n v="1679.0"/>
        <n v="208.0"/>
        <n v="632.0"/>
        <n v="3603.0"/>
        <n v="1525.0"/>
        <n v="2331.0"/>
        <n v="12680.0"/>
        <n v="333.0"/>
        <n v="196.0"/>
        <n v="474.0"/>
        <n v="13277.0"/>
        <n v="352.0"/>
        <n v="10031.0"/>
        <n v="10678.0"/>
        <n v="5452.0"/>
        <n v="3244.0"/>
        <n v="4031.0"/>
        <n v="1775.0"/>
        <n v="12546.0"/>
        <n v="12562.0"/>
        <n v="239.0"/>
        <n v="7291.0"/>
        <n v="487.0"/>
        <n v="2020.0"/>
        <n v="3856.0"/>
        <n v="14955.0"/>
        <n v="3476.0"/>
        <n v="38690.0"/>
        <n v="2640.0"/>
        <n v="2865.0"/>
        <n v="7542.0"/>
        <n v="2610.0"/>
        <n v="14751.0"/>
        <n v="20432.0"/>
        <n v="3038.0"/>
        <n v="2979.0"/>
        <n v="163.0"/>
        <n v="11109.0"/>
        <n v="2283.0"/>
        <n v="23357.0"/>
        <n v="16291.0"/>
        <n v="4067.0"/>
        <n v="5573.0"/>
        <n v="690.0"/>
        <n v="10845.0"/>
        <n v="370.0"/>
        <n v="1492.0"/>
        <n v="29233.0"/>
        <n v="1957.0"/>
        <n v="2005.0"/>
        <n v="985.0"/>
        <n v="1118.0"/>
        <n v="2378.0"/>
        <n v="24406.0"/>
        <n v="27823.0"/>
        <n v="335.0"/>
        <n v="90.0"/>
        <n v="310.0"/>
        <n v="71.0"/>
        <n v="1496.0"/>
        <n v="10729.0"/>
        <n v="16413.0"/>
        <n v="1755.0"/>
        <n v="7674.0"/>
        <n v="7409.0"/>
        <n v="1768.0"/>
        <n v="342.0"/>
        <n v="6827.0"/>
        <n v="29634.0"/>
        <n v="2128.0"/>
        <n v="272.0"/>
        <n v="3022.0"/>
        <n v="12210.0"/>
        <n v="6001.0"/>
        <n v="18174.0"/>
        <n v="387.0"/>
        <n v="21847.0"/>
        <n v="704.0"/>
        <n v="8805.0"/>
        <n v="12628.0"/>
        <n v="958.0"/>
        <n v="10826.0"/>
        <n v="13052.0"/>
        <n v="18547.0"/>
        <n v="9443.0"/>
        <n v="29365.0"/>
        <n v="32033.0"/>
        <n v="16741.0"/>
        <n v="5325.0"/>
        <n v="245.0"/>
        <n v="2337.0"/>
        <n v="3450.0"/>
        <n v="6849.0"/>
        <n v="894.0"/>
        <n v="232.0"/>
        <n v="2700.0"/>
        <n v="130.0"/>
        <n v="3874.0"/>
        <n v="2978.0"/>
        <n v="34924.0"/>
        <n v="23547.0"/>
        <n v="218.0"/>
        <n v="438.0"/>
        <n v="10994.0"/>
        <n v="16952.0"/>
        <n v="11435.0"/>
        <n v="14251.0"/>
        <n v="14939.0"/>
        <n v="5876.0"/>
        <n v="238.0"/>
        <n v="2088.0"/>
        <n v="3025.0"/>
        <n v="6586.0"/>
        <n v="868.0"/>
        <n v="9257.0"/>
        <n v="383.0"/>
        <n v="20417.0"/>
        <n v="1972.0"/>
        <n v="212.0"/>
        <n v="20052.0"/>
        <n v="5226.0"/>
        <n v="20157.0"/>
        <n v="2577.0"/>
        <n v="20146.0"/>
        <n v="15386.0"/>
        <n v="28479.0"/>
        <n v="391.0"/>
        <n v="25977.0"/>
        <n v="30011.0"/>
        <n v="3723.0"/>
        <n v="2161.0"/>
        <n v="5223.0"/>
        <n v="22735.0"/>
        <n v="8600.0"/>
        <n v="37832.0"/>
        <n v="18968.0"/>
        <n v="6161.0"/>
        <n v="6343.0"/>
        <n v="12483.0"/>
        <n v="2131.0"/>
        <n v="250.0"/>
        <n v="1718.0"/>
        <n v="629.0"/>
        <n v="20231.0"/>
        <n v="702.0"/>
        <n v="176.0"/>
        <n v="13210.0"/>
        <n v="258.0"/>
        <n v="3812.0"/>
        <n v="13971.0"/>
        <n v="4027.0"/>
        <n v="3842.0"/>
        <n v="35419.0"/>
        <n v="17191.0"/>
        <n v="3952.0"/>
        <n v="2680.0"/>
        <n v="6899.0"/>
        <n v="11382.0"/>
        <n v="20855.0"/>
        <n v="3520.0"/>
        <n v="1739.0"/>
        <n v="3411.0"/>
        <n v="207.0"/>
        <n v="17325.0"/>
        <n v="2664.0"/>
        <n v="4957.0"/>
        <n v="5489.0"/>
        <n v="3823.0"/>
        <n v="367.0"/>
        <n v="2246.0"/>
        <n v="4342.0"/>
        <n v="2997.0"/>
        <n v="30.0"/>
        <n v="12456.0"/>
        <n v="5288.0"/>
        <n v="8943.0"/>
        <n v="950.0"/>
        <n v="2365.0"/>
        <n v="15812.0"/>
        <n v="17997.0"/>
        <n v="94.0"/>
        <n v="286.0"/>
        <n v="10483.0"/>
        <n v="24434.0"/>
        <n v="15183.0"/>
        <n v="9835.0"/>
        <n v="22244.0"/>
        <n v="29814.0"/>
        <n v="12221.0"/>
        <n v="3084.0"/>
        <n v="18312.0"/>
        <n v="13.0"/>
        <n v="3519.0"/>
        <n v="18973.0"/>
        <n v="540.0"/>
        <n v="229.0"/>
        <n v="9690.0"/>
        <n v="1699.0"/>
        <n v="4561.0"/>
        <n v="429.0"/>
        <n v="5063.0"/>
        <n v="12791.0"/>
        <n v="763.0"/>
        <n v="54.0"/>
        <n v="407.0"/>
        <n v="785.0"/>
        <n v="1283.0"/>
        <n v="8607.0"/>
        <n v="2006.0"/>
        <n v="11170.0"/>
        <n v="6410.0"/>
        <n v="371.0"/>
        <n v="181.0"/>
        <n v="503.0"/>
        <n v="2265.0"/>
        <n v="646.0"/>
        <n v="10037.0"/>
        <n v="2549.0"/>
        <n v="8444.0"/>
        <n v="25656.0"/>
        <n v="8892.0"/>
        <n v="18945.0"/>
        <n v="650.0"/>
        <n v="634.0"/>
        <n v="219.0"/>
        <n v="926.0"/>
        <n v="706.0"/>
        <n v="225.0"/>
        <n v="270.0"/>
        <n v="274.0"/>
        <n v="3091.0"/>
        <n v="497.0"/>
        <n v="160.0"/>
        <n v="26094.0"/>
        <n v="6258.0"/>
        <n v="2073.0"/>
        <n v="3813.0"/>
        <n v="2001.0"/>
        <n v="13676.0"/>
        <n v="11639.0"/>
        <n v="15767.0"/>
        <n v="338.0"/>
        <n v="2793.0"/>
        <n v="6756.0"/>
        <n v="9737.0"/>
        <n v="4379.0"/>
        <n v="4365.0"/>
        <n v="10922.0"/>
      </sharedItems>
    </cacheField>
    <cacheField name="DNR_Unknown" numFmtId="0">
      <sharedItems containsString="0" containsBlank="1" containsNumber="1" containsInteger="1">
        <m/>
        <n v="1.0"/>
        <n v="3.0"/>
        <n v="24.0"/>
        <n v="2.0"/>
        <n v="10.0"/>
        <n v="46.0"/>
        <n v="65.0"/>
        <n v="6.0"/>
        <n v="36.0"/>
        <n v="4.0"/>
        <n v="21.0"/>
        <n v="42.0"/>
        <n v="7.0"/>
        <n v="9.0"/>
        <n v="15.0"/>
      </sharedItems>
    </cacheField>
    <cacheField name="Payer_Medicare" numFmtId="0">
      <sharedItems containsString="0" containsBlank="1" containsNumber="1" containsInteger="1">
        <n v="1478.0"/>
        <n v="3074.0"/>
        <n v="18.0"/>
        <n v="312.0"/>
        <n v="4991.0"/>
        <n v="77.0"/>
        <n v="5512.0"/>
        <n v="1615.0"/>
        <n v="4961.0"/>
        <n v="4.0"/>
        <n v="516.0"/>
        <n v="3120.0"/>
        <n v="2957.0"/>
        <n v="202.0"/>
        <m/>
        <n v="3597.0"/>
        <n v="9437.0"/>
        <n v="4597.0"/>
        <n v="1325.0"/>
        <n v="342.0"/>
        <n v="5634.0"/>
        <n v="9330.0"/>
        <n v="44.0"/>
        <n v="528.0"/>
        <n v="511.0"/>
        <n v="1175.0"/>
        <n v="2676.0"/>
        <n v="8743.0"/>
        <n v="5686.0"/>
        <n v="5921.0"/>
        <n v="1916.0"/>
        <n v="412.0"/>
        <n v="4126.0"/>
        <n v="1035.0"/>
        <n v="635.0"/>
        <n v="1856.0"/>
        <n v="7230.0"/>
        <n v="74.0"/>
        <n v="12796.0"/>
        <n v="225.0"/>
        <n v="10678.0"/>
        <n v="1006.0"/>
        <n v="525.0"/>
        <n v="4228.0"/>
        <n v="341.0"/>
        <n v="500.0"/>
        <n v="54.0"/>
        <n v="475.0"/>
        <n v="3282.0"/>
        <n v="91.0"/>
        <n v="2225.0"/>
        <n v="1144.0"/>
        <n v="325.0"/>
        <n v="8.0"/>
        <n v="552.0"/>
        <n v="5516.0"/>
        <n v="1645.0"/>
        <n v="210.0"/>
        <n v="3457.0"/>
        <n v="521.0"/>
        <n v="712.0"/>
        <n v="6647.0"/>
        <n v="277.0"/>
        <n v="1102.0"/>
        <n v="224.0"/>
        <n v="1421.0"/>
        <n v="502.0"/>
        <n v="3016.0"/>
        <n v="553.0"/>
        <n v="831.0"/>
        <n v="356.0"/>
        <n v="2293.0"/>
        <n v="435.0"/>
        <n v="6431.0"/>
        <n v="432.0"/>
        <n v="503.0"/>
        <n v="3321.0"/>
        <n v="326.0"/>
        <n v="3316.0"/>
        <n v="4292.0"/>
        <n v="2624.0"/>
        <n v="1086.0"/>
        <n v="5800.0"/>
        <n v="2.0"/>
        <n v="2565.0"/>
        <n v="1054.0"/>
        <n v="38.0"/>
        <n v="2712.0"/>
        <n v="425.0"/>
        <n v="297.0"/>
        <n v="1186.0"/>
        <n v="1666.0"/>
        <n v="3823.0"/>
        <n v="638.0"/>
        <n v="3673.0"/>
        <n v="5394.0"/>
        <n v="681.0"/>
        <n v="1473.0"/>
        <n v="2648.0"/>
        <n v="273.0"/>
        <n v="3609.0"/>
        <n v="9721.0"/>
        <n v="884.0"/>
        <n v="1012.0"/>
        <n v="3172.0"/>
        <n v="4347.0"/>
        <n v="5460.0"/>
        <n v="5176.0"/>
        <n v="8901.0"/>
        <n v="3840.0"/>
        <n v="13546.0"/>
        <n v="10056.0"/>
        <n v="5856.0"/>
        <n v="3524.0"/>
        <n v="4121.0"/>
        <n v="786.0"/>
        <n v="506.0"/>
        <n v="7209.0"/>
        <n v="2599.0"/>
        <n v="4932.0"/>
        <n v="2249.0"/>
        <n v="4132.0"/>
        <n v="1771.0"/>
        <n v="7659.0"/>
        <n v="6151.0"/>
        <n v="1355.0"/>
        <n v="101.0"/>
        <n v="21298.0"/>
        <n v="6065.0"/>
        <n v="1535.0"/>
        <n v="1499.0"/>
        <n v="458.0"/>
        <n v="7251.0"/>
        <n v="12347.0"/>
        <n v="4206.0"/>
        <n v="3412.0"/>
        <n v="1762.0"/>
        <n v="2319.0"/>
        <n v="192.0"/>
        <n v="6488.0"/>
        <n v="682.0"/>
        <n v="2612.0"/>
        <n v="2637.0"/>
        <n v="6318.0"/>
        <n v="7515.0"/>
        <n v="1060.0"/>
        <n v="199.0"/>
        <n v="8138.0"/>
        <n v="2983.0"/>
        <n v="3294.0"/>
        <n v="211.0"/>
        <n v="4488.0"/>
        <n v="4619.0"/>
        <n v="1830.0"/>
        <n v="305.0"/>
        <n v="4860.0"/>
        <n v="3623.0"/>
        <n v="4904.0"/>
        <n v="2584.0"/>
        <n v="1730.0"/>
        <n v="343.0"/>
        <n v="4861.0"/>
        <n v="5217.0"/>
        <n v="1.0"/>
        <n v="4383.0"/>
        <n v="6541.0"/>
        <n v="45.0"/>
        <n v="4036.0"/>
        <n v="348.0"/>
        <n v="1048.0"/>
        <n v="7.0"/>
        <n v="2559.0"/>
        <n v="311.0"/>
        <n v="4455.0"/>
        <n v="1330.0"/>
        <n v="195.0"/>
        <n v="555.0"/>
        <n v="1359.0"/>
        <n v="1039.0"/>
        <n v="611.0"/>
        <n v="4359.0"/>
        <n v="15.0"/>
        <n v="187.0"/>
        <n v="191.0"/>
        <n v="7617.0"/>
        <n v="182.0"/>
        <n v="5390.0"/>
        <n v="1799.0"/>
        <n v="3012.0"/>
        <n v="1885.0"/>
        <n v="2528.0"/>
        <n v="621.0"/>
        <n v="16.0"/>
        <n v="5717.0"/>
        <n v="2194.0"/>
        <n v="291.0"/>
        <n v="899.0"/>
        <n v="87.0"/>
        <n v="4924.0"/>
        <n v="939.0"/>
        <n v="14593.0"/>
        <n v="1375.0"/>
        <n v="5302.0"/>
        <n v="678.0"/>
        <n v="6114.0"/>
        <n v="6680.0"/>
        <n v="1719.0"/>
        <n v="1688.0"/>
        <n v="163.0"/>
        <n v="6028.0"/>
        <n v="928.0"/>
        <n v="5444.0"/>
        <n v="5659.0"/>
        <n v="1908.0"/>
        <n v="414.0"/>
        <n v="3061.0"/>
        <n v="239.0"/>
        <n v="9447.0"/>
        <n v="1217.0"/>
        <n v="617.0"/>
        <n v="23.0"/>
        <n v="2187.0"/>
        <n v="12584.0"/>
        <n v="9073.0"/>
        <n v="109.0"/>
        <n v="184.0"/>
        <n v="76.0"/>
        <n v="3.0"/>
        <n v="3905.0"/>
        <n v="6502.0"/>
        <n v="12567.0"/>
        <n v="4233.0"/>
        <n v="1541.0"/>
        <n v="455.0"/>
        <n v="108.0"/>
        <n v="2082.0"/>
        <n v="9861.0"/>
        <n v="1111.0"/>
        <n v="92.0"/>
        <n v="1091.0"/>
        <n v="3479.0"/>
        <n v="1998.0"/>
        <n v="6457.0"/>
        <n v="11.0"/>
        <n v="5997.0"/>
        <n v="591.0"/>
        <n v="5531.0"/>
        <n v="5710.0"/>
        <n v="519.0"/>
        <n v="7037.0"/>
        <n v="6990.0"/>
        <n v="4035.0"/>
        <n v="10015.0"/>
        <n v="9554.0"/>
        <n v="7321.0"/>
        <n v="517.0"/>
        <n v="278.0"/>
        <n v="572.0"/>
        <n v="3622.0"/>
        <n v="56.0"/>
        <n v="1243.0"/>
        <n v="82.0"/>
        <n v="1682.0"/>
        <n v="10837.0"/>
        <n v="10360.0"/>
        <n v="123.0"/>
        <n v="4695.0"/>
        <n v="7368.0"/>
        <n v="1930.0"/>
        <n v="5618.0"/>
        <n v="5525.0"/>
        <n v="1481.0"/>
        <n v="95.0"/>
        <n v="230.0"/>
        <n v="559.0"/>
        <n v="336.0"/>
        <n v="4191.0"/>
        <n v="4319.0"/>
        <n v="740.0"/>
        <n v="2682.0"/>
        <n v="86.0"/>
        <n v="1453.0"/>
        <n v="10819.0"/>
        <n v="29.0"/>
        <n v="11522.0"/>
        <n v="179.0"/>
        <n v="11125.0"/>
        <n v="12182.0"/>
        <n v="810.0"/>
        <n v="520.0"/>
        <n v="1513.0"/>
        <n v="11116.0"/>
        <n v="4622.0"/>
        <n v="11606.0"/>
        <n v="7343.0"/>
        <n v="3139.0"/>
        <n v="4305.0"/>
        <n v="7290.0"/>
        <n v="43.0"/>
        <n v="454.0"/>
        <n v="8389.0"/>
        <n v="427.0"/>
        <n v="573.0"/>
        <n v="5388.0"/>
        <n v="47.0"/>
        <n v="137.0"/>
        <n v="2046.0"/>
        <n v="3938.0"/>
        <n v="1391.0"/>
        <n v="2445.0"/>
        <n v="12544.0"/>
        <n v="961.0"/>
        <n v="5175.0"/>
        <n v="2351.0"/>
        <n v="1448.0"/>
        <n v="3442.0"/>
        <n v="8513.0"/>
        <n v="1413.0"/>
        <n v="820.0"/>
        <n v="1451.0"/>
        <n v="13.0"/>
        <n v="5423.0"/>
        <n v="2048.0"/>
        <n v="2763.0"/>
        <n v="1750.0"/>
        <n v="1972.0"/>
        <n v="49.0"/>
        <n v="728.0"/>
        <n v="3518.0"/>
        <n v="1093.0"/>
        <n v="6241.0"/>
        <n v="2241.0"/>
        <n v="3131.0"/>
        <n v="633.0"/>
        <n v="1240.0"/>
        <n v="5236.0"/>
        <n v="7743.0"/>
        <n v="102.0"/>
        <n v="39.0"/>
        <n v="5764.0"/>
        <n v="8065.0"/>
        <n v="6910.0"/>
        <n v="2686.0"/>
        <n v="3225.0"/>
        <n v="15123.0"/>
        <n v="5081.0"/>
        <n v="411.0"/>
        <n v="979.0"/>
        <n v="6950.0"/>
        <n v="84.0"/>
        <n v="5368.0"/>
        <n v="138.0"/>
        <n v="1520.0"/>
        <n v="81.0"/>
        <n v="203.0"/>
        <n v="3933.0"/>
        <n v="6307.0"/>
        <n v="22.0"/>
        <n v="453.0"/>
        <n v="3755.0"/>
        <n v="469.0"/>
        <n v="1835.0"/>
        <n v="4361.0"/>
        <n v="2457.0"/>
        <n v="19.0"/>
        <n v="398.0"/>
        <n v="1138.0"/>
        <n v="5786.0"/>
        <n v="434.0"/>
        <n v="217.0"/>
        <n v="5079.0"/>
        <n v="408.0"/>
        <n v="2916.0"/>
        <n v="7052.0"/>
        <n v="3072.0"/>
        <n v="9184.0"/>
        <n v="399.0"/>
        <n v="452.0"/>
        <n v="124.0"/>
        <n v="558.0"/>
        <n v="1408.0"/>
        <n v="169.0"/>
        <n v="9335.0"/>
        <n v="2126.0"/>
        <n v="801.0"/>
        <n v="2256.0"/>
        <n v="244.0"/>
        <n v="5655.0"/>
        <n v="2195.0"/>
        <n v="8665.0"/>
        <n v="465.0"/>
        <n v="2269.0"/>
        <n v="3964.0"/>
        <n v="4549.0"/>
        <n v="1636.0"/>
        <n v="1394.0"/>
        <n v="5063.0"/>
      </sharedItems>
    </cacheField>
    <cacheField name="Payer_Medi_Cal" numFmtId="0">
      <sharedItems containsString="0" containsBlank="1" containsNumber="1" containsInteger="1">
        <n v="973.0"/>
        <n v="6095.0"/>
        <n v="3274.0"/>
        <n v="637.0"/>
        <n v="11147.0"/>
        <n v="163.0"/>
        <n v="2415.0"/>
        <n v="2125.0"/>
        <n v="2104.0"/>
        <n v="1.0"/>
        <n v="1304.0"/>
        <n v="788.0"/>
        <n v="218.0"/>
        <n v="47.0"/>
        <n v="5.0"/>
        <n v="2374.0"/>
        <n v="2618.0"/>
        <n v="1247.0"/>
        <n v="577.0"/>
        <n v="124.0"/>
        <n v="4893.0"/>
        <n v="4476.0"/>
        <n v="208.0"/>
        <n v="129.0"/>
        <n v="226.0"/>
        <n v="6642.0"/>
        <n v="2110.0"/>
        <n v="3271.0"/>
        <n v="780.0"/>
        <n v="2260.0"/>
        <n v="176.0"/>
        <n v="751.0"/>
        <n v="1206.0"/>
        <n v="697.0"/>
        <n v="512.0"/>
        <n v="1234.0"/>
        <n v="265.0"/>
        <n v="6720.0"/>
        <n v="22158.0"/>
        <n v="2307.0"/>
        <n v="10667.0"/>
        <n v="134.0"/>
        <n v="51.0"/>
        <n v="171.0"/>
        <n v="187.0"/>
        <n v="337.0"/>
        <n v="98.0"/>
        <n v="727.0"/>
        <n v="17.0"/>
        <n v="153.0"/>
        <n v="2309.0"/>
        <n v="164.0"/>
        <n v="1693.0"/>
        <n v="2965.0"/>
        <n v="339.0"/>
        <n v="1862.0"/>
        <n v="10446.0"/>
        <n v="9361.0"/>
        <n v="102.0"/>
        <n v="4623.0"/>
        <n v="1761.0"/>
        <n v="708.0"/>
        <n v="4797.0"/>
        <n v="11.0"/>
        <n v="340.0"/>
        <n v="1198.0"/>
        <n v="411.0"/>
        <n v="251.0"/>
        <n v="300.0"/>
        <n v="4926.0"/>
        <n v="492.0"/>
        <n v="682.0"/>
        <n v="351.0"/>
        <n v="1301.0"/>
        <n v="927.0"/>
        <n v="8052.0"/>
        <n v="2.0"/>
        <n v="84.0"/>
        <n v="6.0"/>
        <n v="6177.0"/>
        <n v="985.0"/>
        <n v="3515.0"/>
        <n v="3256.0"/>
        <n v="13049.0"/>
        <n v="184.0"/>
        <n v="6682.0"/>
        <m/>
        <n v="906.0"/>
        <n v="12438.0"/>
        <n v="1217.0"/>
        <n v="1017.0"/>
        <n v="38.0"/>
        <n v="1912.0"/>
        <n v="3916.0"/>
        <n v="2772.0"/>
        <n v="3146.0"/>
        <n v="2032.0"/>
        <n v="2731.0"/>
        <n v="1780.0"/>
        <n v="312.0"/>
        <n v="1199.0"/>
        <n v="68.0"/>
        <n v="3423.0"/>
        <n v="179.0"/>
        <n v="4867.0"/>
        <n v="964.0"/>
        <n v="3538.0"/>
        <n v="10661.0"/>
        <n v="6967.0"/>
        <n v="5586.0"/>
        <n v="4769.0"/>
        <n v="2538.0"/>
        <n v="3004.0"/>
        <n v="2449.0"/>
        <n v="1448.0"/>
        <n v="1186.0"/>
        <n v="1568.0"/>
        <n v="157.0"/>
        <n v="50.0"/>
        <n v="3468.0"/>
        <n v="3367.0"/>
        <n v="3041.0"/>
        <n v="5090.0"/>
        <n v="2572.0"/>
        <n v="4360.0"/>
        <n v="639.0"/>
        <n v="1450.0"/>
        <n v="49.0"/>
        <n v="5291.0"/>
        <n v="4221.0"/>
        <n v="1021.0"/>
        <n v="6383.0"/>
        <n v="99.0"/>
        <n v="11873.0"/>
        <n v="4760.0"/>
        <n v="8038.0"/>
        <n v="2639.0"/>
        <n v="1003.0"/>
        <n v="1781.0"/>
        <n v="2267.0"/>
        <n v="3130.0"/>
        <n v="1098.0"/>
        <n v="14085.0"/>
        <n v="1102.0"/>
        <n v="4980.0"/>
        <n v="722.0"/>
        <n v="2704.0"/>
        <n v="5340.0"/>
        <n v="10830.0"/>
        <n v="579.0"/>
        <n v="35.0"/>
        <n v="1437.0"/>
        <n v="11874.0"/>
        <n v="3165.0"/>
        <n v="219.0"/>
        <n v="2211.0"/>
        <n v="204.0"/>
        <n v="13515.0"/>
        <n v="21431.0"/>
        <n v="6641.0"/>
        <n v="9012.0"/>
        <n v="1803.0"/>
        <n v="787.0"/>
        <n v="1110.0"/>
        <n v="52.0"/>
        <n v="1326.0"/>
        <n v="11751.0"/>
        <n v="2491.0"/>
        <n v="4095.0"/>
        <n v="2204.0"/>
        <n v="4407.0"/>
        <n v="132.0"/>
        <n v="2932.0"/>
        <n v="269.0"/>
        <n v="16.0"/>
        <n v="145.0"/>
        <n v="1436.0"/>
        <n v="225.0"/>
        <n v="6186.0"/>
        <n v="309.0"/>
        <n v="54.0"/>
        <n v="100.0"/>
        <n v="2643.0"/>
        <n v="173.0"/>
        <n v="4188.0"/>
        <n v="7455.0"/>
        <n v="2042.0"/>
        <n v="998.0"/>
        <n v="1065.0"/>
        <n v="497.0"/>
        <n v="7564.0"/>
        <n v="1910.0"/>
        <n v="228.0"/>
        <n v="3451.0"/>
        <n v="82.0"/>
        <n v="531.0"/>
        <n v="3080.0"/>
        <n v="7392.0"/>
        <n v="2028.0"/>
        <n v="4461.0"/>
        <n v="970.0"/>
        <n v="1068.0"/>
        <n v="988.0"/>
        <n v="1355.0"/>
        <n v="3446.0"/>
        <n v="8857.0"/>
        <n v="1203.0"/>
        <n v="685.0"/>
        <n v="209.0"/>
        <n v="8227.0"/>
        <n v="2793.0"/>
        <n v="1397.0"/>
        <n v="2050.0"/>
        <n v="89.0"/>
        <n v="6185.0"/>
        <n v="27.0"/>
        <n v="544.0"/>
        <n v="3032.0"/>
        <n v="12.0"/>
        <n v="328.0"/>
        <n v="403.0"/>
        <n v="4406.0"/>
        <n v="3464.0"/>
        <n v="21.0"/>
        <n v="75.0"/>
        <n v="9.0"/>
        <n v="4547.0"/>
        <n v="7411.0"/>
        <n v="3919.0"/>
        <n v="2589.0"/>
        <n v="4522.0"/>
        <n v="3035.0"/>
        <n v="11889.0"/>
        <n v="901.0"/>
        <n v="110.0"/>
        <n v="1804.0"/>
        <n v="1628.0"/>
        <n v="928.0"/>
        <n v="5636.0"/>
        <n v="250.0"/>
        <n v="13469.0"/>
        <n v="1670.0"/>
        <n v="3773.0"/>
        <n v="193.0"/>
        <n v="1788.0"/>
        <n v="4009.0"/>
        <n v="7236.0"/>
        <n v="4345.0"/>
        <n v="11288.0"/>
        <n v="12410.0"/>
        <n v="3159.0"/>
        <n v="2047.0"/>
        <n v="655.0"/>
        <n v="1358.0"/>
        <n v="1284.0"/>
        <n v="111.0"/>
        <n v="88.0"/>
        <n v="273.0"/>
        <n v="232.0"/>
        <n v="266.0"/>
        <n v="1136.0"/>
        <n v="78.0"/>
        <n v="1490.0"/>
        <n v="1758.0"/>
        <n v="5301.0"/>
        <n v="8524.0"/>
        <n v="81.0"/>
        <n v="144.0"/>
        <n v="2650.0"/>
        <n v="4274.0"/>
        <n v="8406.0"/>
        <n v="6836.0"/>
        <n v="6077.0"/>
        <n v="3424.0"/>
        <n v="120.0"/>
        <n v="494.0"/>
        <n v="1591.0"/>
        <n v="1512.0"/>
        <n v="307.0"/>
        <n v="3702.0"/>
        <n v="95.0"/>
        <n v="13924.0"/>
        <n v="967.0"/>
        <n v="112.0"/>
        <n v="8980.0"/>
        <n v="1894.0"/>
        <n v="6632.0"/>
        <n v="913.0"/>
        <n v="5083.0"/>
        <n v="3348.0"/>
        <n v="13740.0"/>
        <n v="86.0"/>
        <n v="2500.0"/>
        <n v="12376.0"/>
        <n v="254.0"/>
        <n v="461.0"/>
        <n v="2912.0"/>
        <n v="2711.0"/>
        <n v="13222.0"/>
        <n v="8003.0"/>
        <n v="1287.0"/>
        <n v="185.0"/>
        <n v="1884.0"/>
        <n v="96.0"/>
        <n v="8045.0"/>
        <n v="31.0"/>
        <n v="152.0"/>
        <n v="940.0"/>
        <n v="452.0"/>
        <n v="66.0"/>
        <n v="840.0"/>
        <n v="9264.0"/>
        <n v="1734.0"/>
        <n v="794.0"/>
        <n v="8126.0"/>
        <n v="133.0"/>
        <n v="3528.0"/>
        <n v="1036.0"/>
        <n v="1042.0"/>
        <n v="2688.0"/>
        <n v="7582.0"/>
        <n v="7884.0"/>
        <n v="705.0"/>
        <n v="326.0"/>
        <n v="933.0"/>
        <n v="786.0"/>
        <n v="1522.0"/>
        <n v="1155.0"/>
        <n v="281.0"/>
        <n v="1424.0"/>
        <n v="285.0"/>
        <n v="1086.0"/>
        <n v="48.0"/>
        <n v="1665.0"/>
        <n v="305.0"/>
        <n v="595.0"/>
        <n v="942.0"/>
        <n v="8389.0"/>
        <n v="4313.0"/>
        <n v="220.0"/>
        <n v="3092.0"/>
        <n v="2051.0"/>
        <n v="1887.0"/>
        <n v="5436.0"/>
        <n v="14573.0"/>
        <n v="5673.0"/>
        <n v="944.0"/>
        <n v="316.0"/>
        <n v="4680.0"/>
        <n v="14.0"/>
        <n v="1020.0"/>
        <n v="10.0"/>
        <n v="182.0"/>
        <n v="2562.0"/>
        <n v="241.0"/>
        <n v="2484.0"/>
        <n v="272.0"/>
        <n v="1345.0"/>
        <n v="4328.0"/>
        <n v="271.0"/>
        <n v="456.0"/>
        <n v="1228.0"/>
        <n v="506.0"/>
        <n v="1046.0"/>
        <n v="4741.0"/>
        <n v="764.0"/>
        <n v="294.0"/>
        <n v="165.0"/>
        <n v="1022.0"/>
        <n v="3142.0"/>
        <n v="139.0"/>
        <n v="895.0"/>
        <n v="507.0"/>
        <n v="3132.0"/>
        <n v="14191.0"/>
        <n v="4012.0"/>
        <n v="3986.0"/>
        <n v="248.0"/>
        <n v="55.0"/>
        <n v="160.0"/>
        <n v="650.0"/>
        <n v="25.0"/>
        <n v="1314.0"/>
        <n v="53.0"/>
        <n v="11603.0"/>
        <n v="3734.0"/>
        <n v="1080.0"/>
        <n v="471.0"/>
        <n v="3654.0"/>
        <n v="1893.0"/>
        <n v="61.0"/>
        <n v="542.0"/>
        <n v="1279.0"/>
        <n v="3421.0"/>
        <n v="1755.0"/>
        <n v="1516.0"/>
        <n v="4550.0"/>
      </sharedItems>
    </cacheField>
    <cacheField name="Payer_Priv_Coverage" numFmtId="0">
      <sharedItems containsString="0" containsBlank="1" containsNumber="1" containsInteger="1">
        <n v="204.0"/>
        <n v="5174.0"/>
        <n v="1919.0"/>
        <n v="600.0"/>
        <n v="895.0"/>
        <n v="83.0"/>
        <n v="2131.0"/>
        <n v="348.0"/>
        <n v="4170.0"/>
        <n v="304.0"/>
        <n v="2575.0"/>
        <n v="3193.0"/>
        <n v="1391.0"/>
        <n v="885.0"/>
        <n v="229.0"/>
        <n v="3229.0"/>
        <n v="10950.0"/>
        <n v="9542.0"/>
        <n v="363.0"/>
        <n v="41.0"/>
        <n v="1094.0"/>
        <n v="5483.0"/>
        <n v="1.0"/>
        <n v="79.0"/>
        <n v="37.0"/>
        <n v="284.0"/>
        <n v="1313.0"/>
        <n v="8736.0"/>
        <n v="8402.0"/>
        <n v="1836.0"/>
        <n v="1379.0"/>
        <n v="1644.0"/>
        <n v="5078.0"/>
        <n v="305.0"/>
        <n v="1375.0"/>
        <m/>
        <n v="7782.0"/>
        <n v="200.0"/>
        <n v="5763.0"/>
        <n v="456.0"/>
        <n v="4536.0"/>
        <n v="177.0"/>
        <n v="5551.0"/>
        <n v="87.0"/>
        <n v="27.0"/>
        <n v="364.0"/>
        <n v="76.0"/>
        <n v="1259.0"/>
        <n v="25.0"/>
        <n v="662.0"/>
        <n v="1168.0"/>
        <n v="317.0"/>
        <n v="220.0"/>
        <n v="3240.0"/>
        <n v="987.0"/>
        <n v="30.0"/>
        <n v="4583.0"/>
        <n v="137.0"/>
        <n v="546.0"/>
        <n v="4962.0"/>
        <n v="7.0"/>
        <n v="254.0"/>
        <n v="762.0"/>
        <n v="237.0"/>
        <n v="6.0"/>
        <n v="100.0"/>
        <n v="2673.0"/>
        <n v="226.0"/>
        <n v="241.0"/>
        <n v="379.0"/>
        <n v="3819.0"/>
        <n v="5559.0"/>
        <n v="169.0"/>
        <n v="155.0"/>
        <n v="967.0"/>
        <n v="43.0"/>
        <n v="923.0"/>
        <n v="4553.0"/>
        <n v="715.0"/>
        <n v="756.0"/>
        <n v="612.0"/>
        <n v="738.0"/>
        <n v="1394.0"/>
        <n v="4152.0"/>
        <n v="3304.0"/>
        <n v="1852.0"/>
        <n v="77.0"/>
        <n v="170.0"/>
        <n v="93.0"/>
        <n v="1336.0"/>
        <n v="2992.0"/>
        <n v="1442.0"/>
        <n v="1262.0"/>
        <n v="771.0"/>
        <n v="123.0"/>
        <n v="1706.0"/>
        <n v="4077.0"/>
        <n v="266.0"/>
        <n v="115.0"/>
        <n v="1925.0"/>
        <n v="6244.0"/>
        <n v="3011.0"/>
        <n v="12182.0"/>
        <n v="905.0"/>
        <n v="10173.0"/>
        <n v="14796.0"/>
        <n v="6918.0"/>
        <n v="5987.0"/>
        <n v="5268.0"/>
        <n v="319.0"/>
        <n v="1482.0"/>
        <n v="8336.0"/>
        <n v="1238.0"/>
        <n v="5825.0"/>
        <n v="1257.0"/>
        <n v="1625.0"/>
        <n v="2889.0"/>
        <n v="5687.0"/>
        <n v="12.0"/>
        <n v="218.0"/>
        <n v="4.0"/>
        <n v="21985.0"/>
        <n v="3472.0"/>
        <n v="118.0"/>
        <n v="197.0"/>
        <n v="107.0"/>
        <n v="4897.0"/>
        <n v="6315.0"/>
        <n v="2907.0"/>
        <n v="830.0"/>
        <n v="1190.0"/>
        <n v="159.0"/>
        <n v="6529.0"/>
        <n v="354.0"/>
        <n v="730.0"/>
        <n v="6441.0"/>
        <n v="4415.0"/>
        <n v="168.0"/>
        <n v="511.0"/>
        <n v="8974.0"/>
        <n v="2132.0"/>
        <n v="31.0"/>
        <n v="1188.0"/>
        <n v="3545.0"/>
        <n v="1187.0"/>
        <n v="1019.0"/>
        <n v="4883.0"/>
        <n v="325.0"/>
        <n v="1017.0"/>
        <n v="1177.0"/>
        <n v="247.0"/>
        <n v="128.0"/>
        <n v="5289.0"/>
        <n v="2909.0"/>
        <n v="7917.0"/>
        <n v="6141.0"/>
        <n v="11282.0"/>
        <n v="26.0"/>
        <n v="1338.0"/>
        <n v="674.0"/>
        <n v="329.0"/>
        <n v="2472.0"/>
        <n v="852.0"/>
        <n v="182.0"/>
        <n v="2922.0"/>
        <n v="276.0"/>
        <n v="53.0"/>
        <n v="73.0"/>
        <n v="1037.0"/>
        <n v="375.0"/>
        <n v="414.0"/>
        <n v="2166.0"/>
        <n v="190.0"/>
        <n v="3599.0"/>
        <n v="42.0"/>
        <n v="3243.0"/>
        <n v="1340.0"/>
        <n v="1211.0"/>
        <n v="590.0"/>
        <n v="602.0"/>
        <n v="753.0"/>
        <n v="4804.0"/>
        <n v="5196.0"/>
        <n v="5.0"/>
        <n v="1523.0"/>
        <n v="127.0"/>
        <n v="463.0"/>
        <n v="596.0"/>
        <n v="2238.0"/>
        <n v="239.0"/>
        <n v="20740.0"/>
        <n v="280.0"/>
        <n v="1825.0"/>
        <n v="163.0"/>
        <n v="6011.0"/>
        <n v="4765.0"/>
        <n v="5169.0"/>
        <n v="1222.0"/>
        <n v="10474.0"/>
        <n v="8935.0"/>
        <n v="675.0"/>
        <n v="441.0"/>
        <n v="1270.0"/>
        <n v="881.0"/>
        <n v="18805.0"/>
        <n v="623.0"/>
        <n v="1740.0"/>
        <n v="223.0"/>
        <n v="314.0"/>
        <n v="357.0"/>
        <n v="8296.0"/>
        <n v="16906.0"/>
        <n v="3.0"/>
        <n v="61.0"/>
        <n v="13.0"/>
        <n v="1365.0"/>
        <n v="2181.0"/>
        <n v="3607.0"/>
        <n v="6057.0"/>
        <n v="1130.0"/>
        <n v="1304.0"/>
        <n v="528.0"/>
        <n v="71.0"/>
        <n v="1167.0"/>
        <n v="5498.0"/>
        <n v="339.0"/>
        <n v="94.0"/>
        <n v="219.0"/>
        <n v="7728.0"/>
        <n v="3480.0"/>
        <n v="5638.0"/>
        <n v="108.0"/>
        <n v="1574.0"/>
        <n v="1609.0"/>
        <n v="2539.0"/>
        <n v="129.0"/>
        <n v="3219.0"/>
        <n v="2728.0"/>
        <n v="3561.0"/>
        <n v="1656.0"/>
        <n v="7503.0"/>
        <n v="9138.0"/>
        <n v="7646.0"/>
        <n v="1944.0"/>
        <n v="712.0"/>
        <n v="1060.0"/>
        <n v="2365.0"/>
        <n v="102.0"/>
        <n v="281.0"/>
        <n v="378.0"/>
        <n v="653.0"/>
        <n v="234.0"/>
        <n v="20331.0"/>
        <n v="4040.0"/>
        <n v="28.0"/>
        <n v="225.0"/>
        <n v="3955.0"/>
        <n v="5103.0"/>
        <n v="844.0"/>
        <n v="1765.0"/>
        <n v="3406.0"/>
        <n v="890.0"/>
        <n v="24.0"/>
        <n v="117.0"/>
        <n v="1051.0"/>
        <n v="3712.0"/>
        <n v="206.0"/>
        <n v="1428.0"/>
        <n v="151.0"/>
        <n v="953.0"/>
        <n v="291.0"/>
        <n v="5541.0"/>
        <n v="871.0"/>
        <n v="288.0"/>
        <n v="7589.0"/>
        <n v="419.0"/>
        <n v="5563.0"/>
        <n v="10062.0"/>
        <n v="15565.0"/>
        <n v="4514.0"/>
        <n v="1360.0"/>
        <n v="1021.0"/>
        <n v="870.0"/>
        <n v="9940.0"/>
        <n v="8684.0"/>
        <n v="2801.0"/>
        <n v="1882.0"/>
        <n v="2380.0"/>
        <n v="4606.0"/>
        <n v="823.0"/>
        <n v="228.0"/>
        <n v="2.0"/>
        <n v="5235.0"/>
        <n v="178.0"/>
        <n v="424.0"/>
        <n v="7941.0"/>
        <n v="279.0"/>
        <n v="1036.0"/>
        <n v="865.0"/>
        <n v="926.0"/>
        <n v="14414.0"/>
        <n v="47.0"/>
        <n v="9033.0"/>
        <n v="894.0"/>
        <n v="346.0"/>
        <n v="1591.0"/>
        <n v="581.0"/>
        <n v="4744.0"/>
        <n v="1362.0"/>
        <n v="785.0"/>
        <n v="1710.0"/>
        <n v="11779.0"/>
        <n v="434.0"/>
        <n v="1646.0"/>
        <n v="2229.0"/>
        <n v="1004.0"/>
        <n v="81.0"/>
        <n v="1716.0"/>
        <n v="1252.0"/>
        <n v="5318.0"/>
        <n v="2857.0"/>
        <n v="6140.0"/>
        <n v="240.0"/>
        <n v="404.0"/>
        <n v="2590.0"/>
        <n v="6247.0"/>
        <n v="10.0"/>
        <n v="1572.0"/>
        <n v="12433.0"/>
        <n v="7061.0"/>
        <n v="1327.0"/>
        <n v="2338.0"/>
        <n v="8929.0"/>
        <n v="7433.0"/>
        <n v="2356.0"/>
        <n v="10050.0"/>
        <n v="591.0"/>
        <n v="13281.0"/>
        <n v="438.0"/>
        <n v="2381.0"/>
        <n v="1271.0"/>
        <n v="643.0"/>
        <n v="34.0"/>
        <n v="418.0"/>
        <n v="2843.0"/>
        <n v="60.0"/>
        <n v="148.0"/>
        <n v="4394.0"/>
        <n v="992.0"/>
        <n v="343.0"/>
        <n v="1782.0"/>
        <n v="3676.0"/>
        <n v="59.0"/>
        <n v="458.0"/>
        <n v="2155.0"/>
        <n v="289.0"/>
        <n v="5712.0"/>
        <n v="735.0"/>
        <n v="2449.0"/>
        <n v="4356.0"/>
        <n v="1732.0"/>
        <n v="5654.0"/>
        <n v="90.0"/>
        <n v="605.0"/>
        <n v="6089.0"/>
        <n v="900.0"/>
        <n v="898.0"/>
        <n v="702.0"/>
        <n v="5837.0"/>
        <n v="2429.0"/>
        <n v="5323.0"/>
        <n v="50.0"/>
        <n v="467.0"/>
        <n v="1913.0"/>
        <n v="1205.0"/>
        <n v="1458.0"/>
        <n v="1894.0"/>
      </sharedItems>
    </cacheField>
    <cacheField name="Payer_Workers_Comp" numFmtId="0">
      <sharedItems containsString="0" containsBlank="1" containsNumber="1" containsInteger="1">
        <n v="1.0"/>
        <n v="12.0"/>
        <m/>
        <n v="2.0"/>
        <n v="58.0"/>
        <n v="24.0"/>
        <n v="6.0"/>
        <n v="56.0"/>
        <n v="34.0"/>
        <n v="16.0"/>
        <n v="62.0"/>
        <n v="18.0"/>
        <n v="5.0"/>
        <n v="32.0"/>
        <n v="46.0"/>
        <n v="4.0"/>
        <n v="3.0"/>
        <n v="149.0"/>
        <n v="13.0"/>
        <n v="81.0"/>
        <n v="11.0"/>
        <n v="10.0"/>
        <n v="37.0"/>
        <n v="222.0"/>
        <n v="7.0"/>
        <n v="19.0"/>
        <n v="143.0"/>
        <n v="21.0"/>
        <n v="99.0"/>
        <n v="33.0"/>
        <n v="14.0"/>
        <n v="41.0"/>
        <n v="8.0"/>
        <n v="49.0"/>
        <n v="59.0"/>
        <n v="42.0"/>
        <n v="22.0"/>
        <n v="36.0"/>
        <n v="170.0"/>
        <n v="9.0"/>
        <n v="79.0"/>
        <n v="151.0"/>
        <n v="128.0"/>
        <n v="80.0"/>
        <n v="76.0"/>
        <n v="216.0"/>
        <n v="91.0"/>
        <n v="72.0"/>
        <n v="35.0"/>
        <n v="75.0"/>
        <n v="87.0"/>
        <n v="20.0"/>
        <n v="31.0"/>
        <n v="50.0"/>
        <n v="23.0"/>
        <n v="125.0"/>
        <n v="44.0"/>
        <n v="71.0"/>
        <n v="15.0"/>
        <n v="39.0"/>
        <n v="27.0"/>
        <n v="88.0"/>
        <n v="160.0"/>
        <n v="53.0"/>
        <n v="65.0"/>
        <n v="127.0"/>
        <n v="17.0"/>
        <n v="190.0"/>
        <n v="26.0"/>
        <n v="77.0"/>
        <n v="100.0"/>
        <n v="153.0"/>
        <n v="90.0"/>
        <n v="68.0"/>
        <n v="101.0"/>
        <n v="83.0"/>
        <n v="86.0"/>
        <n v="164.0"/>
        <n v="95.0"/>
        <n v="107.0"/>
        <n v="29.0"/>
        <n v="64.0"/>
        <n v="118.0"/>
        <n v="136.0"/>
        <n v="274.0"/>
        <n v="137.0"/>
        <n v="130.0"/>
        <n v="61.0"/>
        <n v="67.0"/>
        <n v="133.0"/>
        <n v="85.0"/>
        <n v="40.0"/>
        <n v="60.0"/>
        <n v="126.0"/>
        <n v="108.0"/>
        <n v="54.0"/>
        <n v="28.0"/>
        <n v="30.0"/>
        <n v="97.0"/>
        <n v="51.0"/>
        <n v="38.0"/>
        <n v="98.0"/>
        <n v="25.0"/>
        <n v="121.0"/>
        <n v="55.0"/>
      </sharedItems>
    </cacheField>
    <cacheField name="Payer_County_Indigent_Prog" numFmtId="0">
      <sharedItems containsString="0" containsBlank="1" containsNumber="1" containsInteger="1">
        <n v="48.0"/>
        <m/>
        <n v="238.0"/>
        <n v="208.0"/>
        <n v="1.0"/>
        <n v="32.0"/>
        <n v="131.0"/>
        <n v="23.0"/>
        <n v="7.0"/>
        <n v="2.0"/>
        <n v="592.0"/>
        <n v="21.0"/>
        <n v="26.0"/>
        <n v="4.0"/>
        <n v="3071.0"/>
        <n v="156.0"/>
        <n v="12.0"/>
        <n v="14.0"/>
        <n v="358.0"/>
        <n v="13.0"/>
        <n v="8.0"/>
        <n v="101.0"/>
        <n v="489.0"/>
        <n v="816.0"/>
        <n v="9.0"/>
        <n v="644.0"/>
        <n v="268.0"/>
        <n v="6.0"/>
        <n v="3.0"/>
        <n v="83.0"/>
        <n v="419.0"/>
        <n v="5.0"/>
        <n v="733.0"/>
        <n v="441.0"/>
        <n v="96.0"/>
        <n v="534.0"/>
        <n v="1060.0"/>
        <n v="1665.0"/>
        <n v="162.0"/>
        <n v="10.0"/>
        <n v="87.0"/>
        <n v="19.0"/>
        <n v="38.0"/>
        <n v="16.0"/>
        <n v="46.0"/>
        <n v="57.0"/>
        <n v="847.0"/>
        <n v="67.0"/>
        <n v="517.0"/>
      </sharedItems>
    </cacheField>
    <cacheField name="Payer_Other_Government" numFmtId="0">
      <sharedItems containsString="0" containsBlank="1" containsNumber="1" containsInteger="1">
        <n v="19.0"/>
        <n v="396.0"/>
        <n v="2030.0"/>
        <n v="23.0"/>
        <n v="152.0"/>
        <n v="6.0"/>
        <n v="141.0"/>
        <n v="14.0"/>
        <n v="57.0"/>
        <n v="27.0"/>
        <n v="1016.0"/>
        <n v="96.0"/>
        <n v="2.0"/>
        <m/>
        <n v="150.0"/>
        <n v="125.0"/>
        <n v="9.0"/>
        <n v="117.0"/>
        <n v="4.0"/>
        <n v="364.0"/>
        <n v="41.0"/>
        <n v="17.0"/>
        <n v="29.0"/>
        <n v="204.0"/>
        <n v="537.0"/>
        <n v="11.0"/>
        <n v="551.0"/>
        <n v="13.0"/>
        <n v="237.0"/>
        <n v="7.0"/>
        <n v="214.0"/>
        <n v="91.0"/>
        <n v="163.0"/>
        <n v="329.0"/>
        <n v="1.0"/>
        <n v="1942.0"/>
        <n v="42.0"/>
        <n v="263.0"/>
        <n v="72.0"/>
        <n v="90.0"/>
        <n v="122.0"/>
        <n v="81.0"/>
        <n v="154.0"/>
        <n v="1092.0"/>
        <n v="43.0"/>
        <n v="54.0"/>
        <n v="860.0"/>
        <n v="55.0"/>
        <n v="61.0"/>
        <n v="52.0"/>
        <n v="3.0"/>
        <n v="517.0"/>
        <n v="10.0"/>
        <n v="838.0"/>
        <n v="44.0"/>
        <n v="164.0"/>
        <n v="8.0"/>
        <n v="113.0"/>
        <n v="5.0"/>
        <n v="227.0"/>
        <n v="12.0"/>
        <n v="31.0"/>
        <n v="18.0"/>
        <n v="205.0"/>
        <n v="174.0"/>
        <n v="49.0"/>
        <n v="223.0"/>
        <n v="21.0"/>
        <n v="170.0"/>
        <n v="37.0"/>
        <n v="46.0"/>
        <n v="56.0"/>
        <n v="34.0"/>
        <n v="114.0"/>
        <n v="369.0"/>
        <n v="182.0"/>
        <n v="15.0"/>
        <n v="439.0"/>
        <n v="147.0"/>
        <n v="208.0"/>
        <n v="76.0"/>
        <n v="197.0"/>
        <n v="206.0"/>
        <n v="699.0"/>
        <n v="184.0"/>
        <n v="672.0"/>
        <n v="314.0"/>
        <n v="1291.0"/>
        <n v="291.0"/>
        <n v="36.0"/>
        <n v="893.0"/>
        <n v="159.0"/>
        <n v="277.0"/>
        <n v="3369.0"/>
        <n v="250.0"/>
        <n v="128.0"/>
        <n v="26.0"/>
        <n v="148.0"/>
        <n v="1058.0"/>
        <n v="143.0"/>
        <n v="267.0"/>
        <n v="99.0"/>
        <n v="105.0"/>
        <n v="160.0"/>
        <n v="82.0"/>
        <n v="87.0"/>
        <n v="38.0"/>
        <n v="266.0"/>
        <n v="63.0"/>
        <n v="185.0"/>
        <n v="618.0"/>
        <n v="238.0"/>
        <n v="68.0"/>
        <n v="145.0"/>
        <n v="109.0"/>
        <n v="25.0"/>
        <n v="173.0"/>
        <n v="1032.0"/>
        <n v="233.0"/>
        <n v="335.0"/>
        <n v="120.0"/>
        <n v="232.0"/>
        <n v="110.0"/>
        <n v="131.0"/>
        <n v="32.0"/>
        <n v="293.0"/>
        <n v="717.0"/>
        <n v="1135.0"/>
        <n v="257.0"/>
        <n v="493.0"/>
        <n v="20.0"/>
        <n v="252.0"/>
        <n v="513.0"/>
        <n v="772.0"/>
        <n v="1561.0"/>
        <n v="663.0"/>
        <n v="212.0"/>
        <n v="412.0"/>
        <n v="92.0"/>
        <n v="710.0"/>
        <n v="162.0"/>
        <n v="33.0"/>
        <n v="191.0"/>
        <n v="51.0"/>
        <n v="40.0"/>
        <n v="234.0"/>
        <n v="171.0"/>
        <n v="871.0"/>
        <n v="70.0"/>
        <n v="4836.0"/>
        <n v="66.0"/>
        <n v="351.0"/>
        <n v="5281.0"/>
        <n v="104.0"/>
        <n v="651.0"/>
        <n v="1422.0"/>
        <n v="1073.0"/>
        <n v="28.0"/>
        <n v="1040.0"/>
        <n v="221.0"/>
        <n v="74.0"/>
        <n v="938.0"/>
        <n v="789.0"/>
        <n v="2821.0"/>
        <n v="786.0"/>
        <n v="289.0"/>
        <n v="142.0"/>
        <n v="731.0"/>
        <n v="986.0"/>
        <n v="215.0"/>
        <n v="62.0"/>
        <n v="405.0"/>
        <n v="1301.0"/>
        <n v="144.0"/>
        <n v="112.0"/>
        <n v="156.0"/>
        <n v="1193.0"/>
        <n v="183.0"/>
        <n v="16.0"/>
        <n v="85.0"/>
        <n v="107.0"/>
        <n v="146.0"/>
        <n v="539.0"/>
        <n v="73.0"/>
        <n v="98.0"/>
        <n v="264.0"/>
        <n v="1090.0"/>
        <n v="3538.0"/>
        <n v="127.0"/>
        <n v="788.0"/>
        <n v="407.0"/>
        <n v="576.0"/>
        <n v="339.0"/>
        <n v="207.0"/>
        <n v="505.0"/>
        <n v="541.0"/>
        <n v="270.0"/>
        <n v="273.0"/>
        <n v="161.0"/>
        <n v="497.0"/>
        <n v="483.0"/>
        <n v="188.0"/>
        <n v="64.0"/>
        <n v="548.0"/>
        <n v="218.0"/>
        <n v="24.0"/>
        <n v="71.0"/>
        <n v="287.0"/>
        <n v="442.0"/>
      </sharedItems>
    </cacheField>
    <cacheField name="Payer_Other_Indigent" numFmtId="0">
      <sharedItems containsString="0" containsBlank="1" containsNumber="1" containsInteger="1">
        <m/>
        <n v="26.0"/>
        <n v="1.0"/>
        <n v="6.0"/>
        <n v="2.0"/>
        <n v="32.0"/>
        <n v="3.0"/>
        <n v="87.0"/>
        <n v="29.0"/>
        <n v="41.0"/>
        <n v="10.0"/>
        <n v="8.0"/>
        <n v="4.0"/>
        <n v="17.0"/>
        <n v="249.0"/>
        <n v="19.0"/>
        <n v="46.0"/>
        <n v="14.0"/>
        <n v="99.0"/>
        <n v="117.0"/>
        <n v="30.0"/>
        <n v="5.0"/>
        <n v="53.0"/>
        <n v="418.0"/>
        <n v="44.0"/>
        <n v="37.0"/>
        <n v="9.0"/>
        <n v="7.0"/>
        <n v="272.0"/>
        <n v="65.0"/>
        <n v="57.0"/>
        <n v="25.0"/>
        <n v="80.0"/>
      </sharedItems>
    </cacheField>
    <cacheField name="Payer_Self_Pay" numFmtId="0">
      <sharedItems containsString="0" containsBlank="1" containsNumber="1" containsInteger="1">
        <n v="55.0"/>
        <n v="247.0"/>
        <n v="82.0"/>
        <n v="34.0"/>
        <n v="343.0"/>
        <m/>
        <n v="142.0"/>
        <n v="75.0"/>
        <n v="71.0"/>
        <n v="7.0"/>
        <n v="179.0"/>
        <n v="52.0"/>
        <n v="1.0"/>
        <n v="171.0"/>
        <n v="312.0"/>
        <n v="133.0"/>
        <n v="29.0"/>
        <n v="2.0"/>
        <n v="157.0"/>
        <n v="268.0"/>
        <n v="20.0"/>
        <n v="10.0"/>
        <n v="12.0"/>
        <n v="159.0"/>
        <n v="94.0"/>
        <n v="507.0"/>
        <n v="92.0"/>
        <n v="4.0"/>
        <n v="57.0"/>
        <n v="104.0"/>
        <n v="66.0"/>
        <n v="67.0"/>
        <n v="32.0"/>
        <n v="435.0"/>
        <n v="15.0"/>
        <n v="1164.0"/>
        <n v="43.0"/>
        <n v="174.0"/>
        <n v="61.0"/>
        <n v="8.0"/>
        <n v="74.0"/>
        <n v="425.0"/>
        <n v="588.0"/>
        <n v="21.0"/>
        <n v="40.0"/>
        <n v="117.0"/>
        <n v="338.0"/>
        <n v="138.0"/>
        <n v="27.0"/>
        <n v="203.0"/>
        <n v="30.0"/>
        <n v="156.0"/>
        <n v="13.0"/>
        <n v="93.0"/>
        <n v="126.0"/>
        <n v="5.0"/>
        <n v="106.0"/>
        <n v="176.0"/>
        <n v="238.0"/>
        <n v="201.0"/>
        <n v="195.0"/>
        <n v="90.0"/>
        <n v="6.0"/>
        <n v="19.0"/>
        <n v="182.0"/>
        <n v="11.0"/>
        <n v="45.0"/>
        <n v="150.0"/>
        <n v="64.0"/>
        <n v="14.0"/>
        <n v="87.0"/>
        <n v="306.0"/>
        <n v="235.0"/>
        <n v="393.0"/>
        <n v="271.0"/>
        <n v="263.0"/>
        <n v="519.0"/>
        <n v="186.0"/>
        <n v="439.0"/>
        <n v="49.0"/>
        <n v="240.0"/>
        <n v="70.0"/>
        <n v="112.0"/>
        <n v="84.0"/>
        <n v="222.0"/>
        <n v="88.0"/>
        <n v="63.0"/>
        <n v="188.0"/>
        <n v="497.0"/>
        <n v="199.0"/>
        <n v="72.0"/>
        <n v="184.0"/>
        <n v="288.0"/>
        <n v="65.0"/>
        <n v="62.0"/>
        <n v="25.0"/>
        <n v="1081.0"/>
        <n v="144.0"/>
        <n v="249.0"/>
        <n v="243.0"/>
        <n v="54.0"/>
        <n v="60.0"/>
        <n v="453.0"/>
        <n v="248.0"/>
        <n v="189.0"/>
        <n v="392.0"/>
        <n v="362.0"/>
        <n v="165.0"/>
        <n v="216.0"/>
        <n v="115.0"/>
        <n v="131.0"/>
        <n v="24.0"/>
        <n v="85.0"/>
        <n v="23.0"/>
        <n v="9.0"/>
        <n v="44.0"/>
        <n v="3.0"/>
        <n v="141.0"/>
        <n v="83.0"/>
        <n v="119.0"/>
        <n v="51.0"/>
        <n v="124.0"/>
        <n v="267.0"/>
        <n v="436.0"/>
        <n v="724.0"/>
        <n v="101.0"/>
        <n v="78.0"/>
        <n v="438.0"/>
        <n v="175.0"/>
        <n v="389.0"/>
        <n v="69.0"/>
        <n v="33.0"/>
        <n v="137.0"/>
        <n v="192.0"/>
        <n v="38.0"/>
        <n v="459.0"/>
        <n v="285.0"/>
        <n v="105.0"/>
        <n v="167.0"/>
        <n v="250.0"/>
        <n v="110.0"/>
        <n v="96.0"/>
        <n v="565.0"/>
        <n v="784.0"/>
        <n v="103.0"/>
        <n v="296.0"/>
        <n v="793.0"/>
        <n v="135.0"/>
        <n v="535.0"/>
        <n v="259.0"/>
        <n v="91.0"/>
        <n v="122.0"/>
        <n v="511.0"/>
        <n v="330.0"/>
        <n v="17.0"/>
        <n v="73.0"/>
        <n v="367.0"/>
        <n v="1083.0"/>
        <n v="146.0"/>
        <n v="226.0"/>
        <n v="102.0"/>
        <n v="113.0"/>
        <n v="89.0"/>
        <n v="610.0"/>
        <n v="786.0"/>
        <n v="196.0"/>
        <n v="633.0"/>
        <n v="35.0"/>
        <n v="160.0"/>
        <n v="537.0"/>
        <n v="313.0"/>
        <n v="229.0"/>
        <n v="2288.0"/>
        <n v="31.0"/>
        <n v="690.0"/>
        <n v="107.0"/>
        <n v="286.0"/>
        <n v="1515.0"/>
        <n v="260.0"/>
        <n v="344.0"/>
        <n v="120.0"/>
        <n v="264.0"/>
        <n v="39.0"/>
        <n v="26.0"/>
        <n v="299.0"/>
        <n v="76.0"/>
        <n v="232.0"/>
        <n v="353.0"/>
        <n v="245.0"/>
        <n v="241.0"/>
        <n v="1024.0"/>
        <n v="1190.0"/>
        <n v="787.0"/>
        <n v="134.0"/>
        <n v="58.0"/>
        <n v="381.0"/>
        <n v="152.0"/>
        <n v="98.0"/>
        <n v="37.0"/>
        <n v="168.0"/>
        <n v="109.0"/>
        <n v="228.0"/>
        <n v="164.0"/>
        <n v="218.0"/>
        <n v="437.0"/>
        <n v="50.0"/>
        <n v="251.0"/>
        <n v="59.0"/>
        <n v="230.0"/>
        <n v="172.0"/>
        <n v="132.0"/>
      </sharedItems>
    </cacheField>
    <cacheField name="Payer_Other_Payer" numFmtId="0">
      <sharedItems containsString="0" containsBlank="1" containsNumber="1" containsInteger="1">
        <m/>
        <n v="9.0"/>
        <n v="1.0"/>
        <n v="15.0"/>
        <n v="640.0"/>
        <n v="14.0"/>
        <n v="4.0"/>
        <n v="17.0"/>
        <n v="6.0"/>
        <n v="5.0"/>
        <n v="16.0"/>
        <n v="271.0"/>
        <n v="10.0"/>
        <n v="7.0"/>
        <n v="2.0"/>
        <n v="222.0"/>
        <n v="126.0"/>
        <n v="25.0"/>
        <n v="82.0"/>
        <n v="205.0"/>
        <n v="50.0"/>
        <n v="99.0"/>
        <n v="3.0"/>
        <n v="89.0"/>
        <n v="18.0"/>
        <n v="95.0"/>
        <n v="117.0"/>
        <n v="13.0"/>
        <n v="12.0"/>
        <n v="195.0"/>
        <n v="22.0"/>
        <n v="52.0"/>
        <n v="8.0"/>
        <n v="41.0"/>
        <n v="53.0"/>
        <n v="24.0"/>
        <n v="49.0"/>
        <n v="301.0"/>
        <n v="412.0"/>
        <n v="1853.0"/>
        <n v="36.0"/>
        <n v="86.0"/>
        <n v="28.0"/>
        <n v="42.0"/>
        <n v="11.0"/>
        <n v="189.0"/>
        <n v="58.0"/>
        <n v="114.0"/>
        <n v="37.0"/>
        <n v="145.0"/>
        <n v="55.0"/>
        <n v="68.0"/>
        <n v="23.0"/>
        <n v="290.0"/>
        <n v="198.0"/>
        <n v="116.0"/>
        <n v="792.0"/>
        <n v="20.0"/>
        <n v="61.0"/>
        <n v="245.0"/>
        <n v="81.0"/>
        <n v="19.0"/>
        <n v="118.0"/>
        <n v="110.0"/>
        <n v="1131.0"/>
        <n v="38.0"/>
        <n v="1345.0"/>
        <n v="3006.0"/>
        <n v="39.0"/>
        <n v="27.0"/>
        <n v="285.0"/>
        <n v="165.0"/>
        <n v="216.0"/>
        <n v="98.0"/>
        <n v="512.0"/>
        <n v="3723.0"/>
        <n v="363.0"/>
        <n v="888.0"/>
        <n v="43.0"/>
        <n v="322.0"/>
        <n v="428.0"/>
        <n v="51.0"/>
        <n v="107.0"/>
        <n v="509.0"/>
        <n v="207.0"/>
        <n v="639.0"/>
      </sharedItems>
    </cacheField>
    <cacheField name="Payer_Unknown" numFmtId="0">
      <sharedItems containsString="0" containsBlank="1" containsNumber="1" containsInteger="1">
        <m/>
        <n v="88.0"/>
        <n v="1.0"/>
        <n v="14.0"/>
        <n v="4.0"/>
        <n v="2.0"/>
        <n v="5.0"/>
        <n v="66.0"/>
        <n v="78.0"/>
        <n v="16.0"/>
        <n v="6.0"/>
        <n v="34.0"/>
        <n v="3.0"/>
        <n v="13.0"/>
        <n v="29.0"/>
        <n v="276.0"/>
        <n v="84.0"/>
        <n v="23.0"/>
        <n v="9.0"/>
        <n v="22.0"/>
        <n v="25.0"/>
        <n v="15.0"/>
        <n v="74.0"/>
        <n v="201.0"/>
        <n v="30.0"/>
        <n v="62.0"/>
        <n v="105.0"/>
        <n v="10.0"/>
        <n v="18.0"/>
        <n v="11.0"/>
        <n v="37.0"/>
        <n v="65.0"/>
      </sharedItems>
    </cacheField>
    <cacheField name="dx_Infectious" numFmtId="0">
      <sharedItems containsString="0" containsBlank="1" containsNumber="1" containsInteger="1">
        <n v="460.0"/>
        <n v="1322.0"/>
        <n v="630.0"/>
        <n v="1.0"/>
        <n v="1502.0"/>
        <n v="11.0"/>
        <n v="1825.0"/>
        <n v="586.0"/>
        <n v="1386.0"/>
        <m/>
        <n v="917.0"/>
        <n v="1292.0"/>
        <n v="1264.0"/>
        <n v="2823.0"/>
        <n v="2093.0"/>
        <n v="563.0"/>
        <n v="104.0"/>
        <n v="3276.0"/>
        <n v="1904.0"/>
        <n v="169.0"/>
        <n v="291.0"/>
        <n v="427.0"/>
        <n v="1201.0"/>
        <n v="1739.0"/>
        <n v="1843.0"/>
        <n v="1528.0"/>
        <n v="1895.0"/>
        <n v="567.0"/>
        <n v="180.0"/>
        <n v="701.0"/>
        <n v="1753.0"/>
        <n v="98.0"/>
        <n v="3278.0"/>
        <n v="40.0"/>
        <n v="2160.0"/>
        <n v="1447.0"/>
        <n v="107.0"/>
        <n v="159.0"/>
        <n v="7.0"/>
        <n v="190.0"/>
        <n v="935.0"/>
        <n v="694.0"/>
        <n v="486.0"/>
        <n v="109.0"/>
        <n v="365.0"/>
        <n v="2311.0"/>
        <n v="561.0"/>
        <n v="47.0"/>
        <n v="1583.0"/>
        <n v="87.0"/>
        <n v="132.0"/>
        <n v="2482.0"/>
        <n v="3.0"/>
        <n v="36.0"/>
        <n v="269.0"/>
        <n v="285.0"/>
        <n v="1469.0"/>
        <n v="231.0"/>
        <n v="264.0"/>
        <n v="88.0"/>
        <n v="916.0"/>
        <n v="2448.0"/>
        <n v="2.0"/>
        <n v="56.0"/>
        <n v="1545.0"/>
        <n v="1081.0"/>
        <n v="1883.0"/>
        <n v="116.0"/>
        <n v="2513.0"/>
        <n v="1158.0"/>
        <n v="649.0"/>
        <n v="30.0"/>
        <n v="676.0"/>
        <n v="1240.0"/>
        <n v="1066.0"/>
        <n v="1395.0"/>
        <n v="1844.0"/>
        <n v="434.0"/>
        <n v="387.0"/>
        <n v="837.0"/>
        <n v="66.0"/>
        <n v="873.0"/>
        <n v="2656.0"/>
        <n v="455.0"/>
        <n v="1263.0"/>
        <n v="1780.0"/>
        <n v="2261.0"/>
        <n v="1592.0"/>
        <n v="2817.0"/>
        <n v="791.0"/>
        <n v="2841.0"/>
        <n v="1917.0"/>
        <n v="2073.0"/>
        <n v="1535.0"/>
        <n v="1605.0"/>
        <n v="140.0"/>
        <n v="1800.0"/>
        <n v="912.0"/>
        <n v="1262.0"/>
        <n v="1186.0"/>
        <n v="1391.0"/>
        <n v="834.0"/>
        <n v="1945.0"/>
        <n v="1468.0"/>
        <n v="97.0"/>
        <n v="396.0"/>
        <n v="4719.0"/>
        <n v="2195.0"/>
        <n v="787.0"/>
        <n v="346.0"/>
        <n v="65.0"/>
        <n v="3010.0"/>
        <n v="2978.0"/>
        <n v="1320.0"/>
        <n v="268.0"/>
        <n v="826.0"/>
        <n v="838.0"/>
        <n v="1587.0"/>
        <n v="176.0"/>
        <n v="2045.0"/>
        <n v="1324.0"/>
        <n v="2406.0"/>
        <n v="613.0"/>
        <n v="1948.0"/>
        <n v="1588.0"/>
        <n v="939.0"/>
        <n v="4.0"/>
        <n v="1280.0"/>
        <n v="1623.0"/>
        <n v="650.0"/>
        <n v="1160.0"/>
        <n v="77.0"/>
        <n v="1602.0"/>
        <n v="1935.0"/>
        <n v="1092.0"/>
        <n v="71.0"/>
        <n v="1838.0"/>
        <n v="310.0"/>
        <n v="1695.0"/>
        <n v="392.0"/>
        <n v="2894.0"/>
        <n v="31.0"/>
        <n v="1477.0"/>
        <n v="276.0"/>
        <n v="474.0"/>
        <n v="820.0"/>
        <n v="1034.0"/>
        <n v="380.0"/>
        <n v="48.0"/>
        <n v="85.0"/>
        <n v="543.0"/>
        <n v="262.0"/>
        <n v="307.0"/>
        <n v="1707.0"/>
        <n v="34.0"/>
        <n v="23.0"/>
        <n v="1796.0"/>
        <n v="59.0"/>
        <n v="1424.0"/>
        <n v="462.0"/>
        <n v="884.0"/>
        <n v="370.0"/>
        <n v="738.0"/>
        <n v="177.0"/>
        <n v="780.0"/>
        <n v="1235.0"/>
        <n v="15.0"/>
        <n v="240.0"/>
        <n v="420.0"/>
        <n v="4023.0"/>
        <n v="562.0"/>
        <n v="704.0"/>
        <n v="1329.0"/>
        <n v="312.0"/>
        <n v="1738.0"/>
        <n v="1814.0"/>
        <n v="1043.0"/>
        <n v="548.0"/>
        <n v="1285.0"/>
        <n v="249.0"/>
        <n v="2805.0"/>
        <n v="2479.0"/>
        <n v="772.0"/>
        <n v="1560.0"/>
        <n v="45.0"/>
        <n v="849.0"/>
        <n v="43.0"/>
        <n v="3268.0"/>
        <n v="808.0"/>
        <n v="3467.0"/>
        <n v="3437.0"/>
        <n v="10.0"/>
        <n v="14.0"/>
        <n v="8.0"/>
        <n v="1357.0"/>
        <n v="1628.0"/>
        <n v="2661.0"/>
        <n v="1476.0"/>
        <n v="830.0"/>
        <n v="12.0"/>
        <n v="1082.0"/>
        <n v="3455.0"/>
        <n v="481.0"/>
        <n v="29.0"/>
        <n v="441.0"/>
        <n v="1353.0"/>
        <n v="878.0"/>
        <n v="1573.0"/>
        <n v="1986.0"/>
        <n v="1105.0"/>
        <n v="1171.0"/>
        <n v="2633.0"/>
        <n v="1290.0"/>
        <n v="2376.0"/>
        <n v="1576.0"/>
        <n v="2911.0"/>
        <n v="2925.0"/>
        <n v="1090.0"/>
        <n v="16.0"/>
        <n v="369.0"/>
        <n v="5.0"/>
        <n v="1072.0"/>
        <n v="818.0"/>
        <n v="4096.0"/>
        <n v="2993.0"/>
        <n v="42.0"/>
        <n v="21.0"/>
        <n v="1365.0"/>
        <n v="2111.0"/>
        <n v="1153.0"/>
        <n v="2052.0"/>
        <n v="603.0"/>
        <n v="329.0"/>
        <n v="1696.0"/>
        <n v="35.0"/>
        <n v="1953.0"/>
        <n v="444.0"/>
        <n v="672.0"/>
        <n v="1196.0"/>
        <n v="784.0"/>
        <n v="405.0"/>
        <n v="2613.0"/>
        <n v="3530.0"/>
        <n v="3857.0"/>
        <n v="579.0"/>
        <n v="1762.0"/>
        <n v="1536.0"/>
        <n v="3101.0"/>
        <n v="867.0"/>
        <n v="749.0"/>
        <n v="2053.0"/>
        <n v="26.0"/>
        <n v="2516.0"/>
        <n v="17.0"/>
        <n v="1046.0"/>
        <n v="32.0"/>
        <n v="418.0"/>
        <n v="1165.0"/>
        <n v="612.0"/>
        <n v="665.0"/>
        <n v="2674.0"/>
        <n v="247.0"/>
        <n v="1041.0"/>
        <n v="750.0"/>
        <n v="582.0"/>
        <n v="1351.0"/>
        <n v="804.0"/>
        <n v="4070.0"/>
        <n v="668.0"/>
        <n v="592.0"/>
        <n v="2364.0"/>
        <n v="443.0"/>
        <n v="623.0"/>
        <n v="452.0"/>
        <n v="260.0"/>
        <n v="1266.0"/>
        <n v="788.0"/>
        <n v="1676.0"/>
        <n v="348.0"/>
        <n v="765.0"/>
        <n v="84.0"/>
        <n v="254.0"/>
        <n v="1905.0"/>
        <n v="1722.0"/>
        <n v="2453.0"/>
        <n v="1959.0"/>
        <n v="1740.0"/>
        <n v="1482.0"/>
        <n v="1827.0"/>
        <n v="2258.0"/>
        <n v="2024.0"/>
        <n v="267.0"/>
        <n v="746.0"/>
        <n v="2431.0"/>
        <n v="1678.0"/>
        <n v="715.0"/>
        <n v="53.0"/>
        <n v="950.0"/>
        <n v="2130.0"/>
        <n v="82.0"/>
        <n v="113.0"/>
        <n v="195.0"/>
        <n v="1383.0"/>
        <n v="726.0"/>
        <n v="1569.0"/>
        <n v="889.0"/>
        <n v="69.0"/>
        <n v="408.0"/>
        <n v="1304.0"/>
        <n v="185.0"/>
        <n v="1868.0"/>
        <n v="931.0"/>
        <n v="2323.0"/>
        <n v="1448.0"/>
        <n v="2966.0"/>
        <n v="28.0"/>
        <n v="682.0"/>
        <n v="1698.0"/>
        <n v="822.0"/>
        <n v="361.0"/>
        <n v="783.0"/>
        <n v="1022.0"/>
        <n v="1003.0"/>
        <n v="2007.0"/>
        <n v="869.0"/>
        <n v="1350.0"/>
        <n v="1625.0"/>
        <n v="555.0"/>
        <n v="633.0"/>
        <n v="1644.0"/>
      </sharedItems>
    </cacheField>
    <cacheField name="dx_Neoplasms" numFmtId="0">
      <sharedItems containsString="0" containsBlank="1" containsNumber="1" containsInteger="1">
        <n v="49.0"/>
        <n v="241.0"/>
        <n v="202.0"/>
        <m/>
        <n v="552.0"/>
        <n v="1.0"/>
        <n v="617.0"/>
        <n v="54.0"/>
        <n v="342.0"/>
        <n v="223.0"/>
        <n v="106.0"/>
        <n v="259.0"/>
        <n v="1513.0"/>
        <n v="17.0"/>
        <n v="13.0"/>
        <n v="239.0"/>
        <n v="507.0"/>
        <n v="9.0"/>
        <n v="4.0"/>
        <n v="143.0"/>
        <n v="68.0"/>
        <n v="987.0"/>
        <n v="326.0"/>
        <n v="530.0"/>
        <n v="266.0"/>
        <n v="21.0"/>
        <n v="26.0"/>
        <n v="95.0"/>
        <n v="621.0"/>
        <n v="5.0"/>
        <n v="1365.0"/>
        <n v="801.0"/>
        <n v="11.0"/>
        <n v="147.0"/>
        <n v="19.0"/>
        <n v="12.0"/>
        <n v="198.0"/>
        <n v="109.0"/>
        <n v="25.0"/>
        <n v="34.0"/>
        <n v="330.0"/>
        <n v="300.0"/>
        <n v="8.0"/>
        <n v="341.0"/>
        <n v="443.0"/>
        <n v="31.0"/>
        <n v="126.0"/>
        <n v="16.0"/>
        <n v="41.0"/>
        <n v="192.0"/>
        <n v="399.0"/>
        <n v="218.0"/>
        <n v="162.0"/>
        <n v="493.0"/>
        <n v="77.0"/>
        <n v="158.0"/>
        <n v="737.0"/>
        <n v="3382.0"/>
        <n v="6.0"/>
        <n v="35.0"/>
        <n v="63.0"/>
        <n v="427.0"/>
        <n v="249.0"/>
        <n v="210.0"/>
        <n v="44.0"/>
        <n v="180.0"/>
        <n v="2.0"/>
        <n v="635.0"/>
        <n v="639.0"/>
        <n v="917.0"/>
        <n v="512.0"/>
        <n v="1231.0"/>
        <n v="123.0"/>
        <n v="1277.0"/>
        <n v="1650.0"/>
        <n v="467.0"/>
        <n v="523.0"/>
        <n v="428.0"/>
        <n v="678.0"/>
        <n v="103.0"/>
        <n v="483.0"/>
        <n v="107.0"/>
        <n v="284.0"/>
        <n v="42.0"/>
        <n v="1173.0"/>
        <n v="576.0"/>
        <n v="102.0"/>
        <n v="3068.0"/>
        <n v="244.0"/>
        <n v="521.0"/>
        <n v="931.0"/>
        <n v="417.0"/>
        <n v="72.0"/>
        <n v="67.0"/>
        <n v="87.0"/>
        <n v="1086.0"/>
        <n v="46.0"/>
        <n v="256.0"/>
        <n v="989.0"/>
        <n v="736.0"/>
        <n v="18.0"/>
        <n v="2600.0"/>
        <n v="295.0"/>
        <n v="319.0"/>
        <n v="277.0"/>
        <n v="454.0"/>
        <n v="164.0"/>
        <n v="334.0"/>
        <n v="439.0"/>
        <n v="972.0"/>
        <n v="1870.0"/>
        <n v="146.0"/>
        <n v="725.0"/>
        <n v="2161.0"/>
        <n v="425.0"/>
        <n v="130.0"/>
        <n v="714.0"/>
        <n v="217.0"/>
        <n v="278.0"/>
        <n v="153.0"/>
        <n v="289.0"/>
        <n v="29.0"/>
        <n v="38.0"/>
        <n v="80.0"/>
        <n v="7.0"/>
        <n v="211.0"/>
        <n v="581.0"/>
        <n v="374.0"/>
        <n v="124.0"/>
        <n v="135.0"/>
        <n v="83.0"/>
        <n v="47.0"/>
        <n v="336.0"/>
        <n v="641.0"/>
        <n v="39.0"/>
        <n v="1778.0"/>
        <n v="20.0"/>
        <n v="419.0"/>
        <n v="655.0"/>
        <n v="2105.0"/>
        <n v="101.0"/>
        <n v="455.0"/>
        <n v="875.0"/>
        <n v="797.0"/>
        <n v="58.0"/>
        <n v="3.0"/>
        <n v="1384.0"/>
        <n v="97.0"/>
        <n v="790.0"/>
        <n v="590.0"/>
        <n v="228.0"/>
        <n v="357.0"/>
        <n v="1160.0"/>
        <n v="193.0"/>
        <n v="55.0"/>
        <n v="78.0"/>
        <n v="915.0"/>
        <n v="24.0"/>
        <n v="32.0"/>
        <n v="471.0"/>
        <n v="89.0"/>
        <n v="429.0"/>
        <n v="556.0"/>
        <n v="276.0"/>
        <n v="331.0"/>
        <n v="788.0"/>
        <n v="533.0"/>
        <n v="776.0"/>
        <n v="170.0"/>
        <n v="2107.0"/>
        <n v="1103.0"/>
        <n v="753.0"/>
        <n v="120.0"/>
        <n v="40.0"/>
        <n v="27.0"/>
        <n v="1421.0"/>
        <n v="1956.0"/>
        <n v="301.0"/>
        <n v="766.0"/>
        <n v="84.0"/>
        <n v="410.0"/>
        <n v="255.0"/>
        <n v="174.0"/>
        <n v="534.0"/>
        <n v="291.0"/>
        <n v="52.0"/>
        <n v="477.0"/>
        <n v="1434.0"/>
        <n v="122.0"/>
        <n v="1172.0"/>
        <n v="965.0"/>
        <n v="727.0"/>
        <n v="247.0"/>
        <n v="3801.0"/>
        <n v="649.0"/>
        <n v="789.0"/>
        <n v="479.0"/>
        <n v="421.0"/>
        <n v="10.0"/>
        <n v="693.0"/>
        <n v="176.0"/>
        <n v="30.0"/>
        <n v="111.0"/>
        <n v="4703.0"/>
        <n v="955.0"/>
        <n v="140.0"/>
        <n v="53.0"/>
        <n v="121.0"/>
        <n v="229.0"/>
        <n v="59.0"/>
        <n v="390.0"/>
        <n v="114.0"/>
        <n v="191.0"/>
        <n v="91.0"/>
        <n v="221.0"/>
        <n v="113.0"/>
        <n v="457.0"/>
        <n v="654.0"/>
        <n v="66.0"/>
        <n v="384.0"/>
        <n v="974.0"/>
        <n v="1060.0"/>
        <n v="531.0"/>
        <n v="252.0"/>
        <n v="829.0"/>
        <n v="4921.0"/>
        <n v="363.0"/>
        <n v="460.0"/>
        <n v="767.0"/>
        <n v="327.0"/>
        <n v="335.0"/>
        <n v="14.0"/>
        <n v="208.0"/>
        <n v="117.0"/>
        <n v="251.0"/>
        <n v="160.0"/>
        <n v="37.0"/>
        <n v="388.0"/>
        <n v="231.0"/>
        <n v="181.0"/>
        <n v="500.0"/>
        <n v="159.0"/>
        <n v="502.0"/>
        <n v="487.0"/>
        <n v="96.0"/>
        <n v="528.0"/>
        <n v="561.0"/>
        <n v="79.0"/>
        <n v="82.0"/>
        <n v="167.0"/>
      </sharedItems>
    </cacheField>
    <cacheField name="dx_Diseases_of_the_Blood" numFmtId="0">
      <sharedItems containsString="0" containsBlank="1" containsNumber="1" containsInteger="1">
        <n v="52.0"/>
        <n v="139.0"/>
        <n v="253.0"/>
        <m/>
        <n v="115.0"/>
        <n v="213.0"/>
        <n v="35.0"/>
        <n v="47.0"/>
        <n v="42.0"/>
        <n v="49.0"/>
        <n v="114.0"/>
        <n v="309.0"/>
        <n v="101.0"/>
        <n v="17.0"/>
        <n v="40.0"/>
        <n v="134.0"/>
        <n v="3.0"/>
        <n v="5.0"/>
        <n v="58.0"/>
        <n v="92.0"/>
        <n v="147.0"/>
        <n v="95.0"/>
        <n v="99.0"/>
        <n v="30.0"/>
        <n v="88.0"/>
        <n v="22.0"/>
        <n v="10.0"/>
        <n v="14.0"/>
        <n v="164.0"/>
        <n v="214.0"/>
        <n v="131.0"/>
        <n v="68.0"/>
        <n v="9.0"/>
        <n v="1.0"/>
        <n v="4.0"/>
        <n v="29.0"/>
        <n v="54.0"/>
        <n v="8.0"/>
        <n v="13.0"/>
        <n v="71.0"/>
        <n v="105.0"/>
        <n v="15.0"/>
        <n v="81.0"/>
        <n v="37.0"/>
        <n v="16.0"/>
        <n v="6.0"/>
        <n v="50.0"/>
        <n v="127.0"/>
        <n v="69.0"/>
        <n v="70.0"/>
        <n v="161.0"/>
        <n v="135.0"/>
        <n v="558.0"/>
        <n v="145.0"/>
        <n v="45.0"/>
        <n v="73.0"/>
        <n v="78.0"/>
        <n v="104.0"/>
        <n v="155.0"/>
        <n v="7.0"/>
        <n v="64.0"/>
        <n v="74.0"/>
        <n v="38.0"/>
        <n v="111.0"/>
        <n v="137.0"/>
        <n v="265.0"/>
        <n v="89.0"/>
        <n v="233.0"/>
        <n v="208.0"/>
        <n v="126.0"/>
        <n v="67.0"/>
        <n v="106.0"/>
        <n v="66.0"/>
        <n v="27.0"/>
        <n v="172.0"/>
        <n v="96.0"/>
        <n v="437.0"/>
        <n v="84.0"/>
        <n v="32.0"/>
        <n v="2.0"/>
        <n v="192.0"/>
        <n v="141.0"/>
        <n v="23.0"/>
        <n v="238.0"/>
        <n v="24.0"/>
        <n v="94.0"/>
        <n v="142.0"/>
        <n v="33.0"/>
        <n v="261.0"/>
        <n v="56.0"/>
        <n v="79.0"/>
        <n v="223.0"/>
        <n v="419.0"/>
        <n v="252.0"/>
        <n v="167.0"/>
        <n v="76.0"/>
        <n v="57.0"/>
        <n v="72.0"/>
        <n v="148.0"/>
        <n v="186.0"/>
        <n v="91.0"/>
        <n v="232.0"/>
        <n v="62.0"/>
        <n v="82.0"/>
        <n v="20.0"/>
        <n v="11.0"/>
        <n v="12.0"/>
        <n v="119.0"/>
        <n v="41.0"/>
        <n v="48.0"/>
        <n v="346.0"/>
        <n v="153.0"/>
        <n v="198.0"/>
        <n v="28.0"/>
        <n v="103.0"/>
        <n v="19.0"/>
        <n v="177.0"/>
        <n v="93.0"/>
        <n v="212.0"/>
        <n v="39.0"/>
        <n v="185.0"/>
        <n v="243.0"/>
        <n v="254.0"/>
        <n v="61.0"/>
        <n v="334.0"/>
        <n v="90.0"/>
        <n v="132.0"/>
        <n v="123.0"/>
        <n v="83.0"/>
        <n v="462.0"/>
        <n v="257.0"/>
        <n v="338.0"/>
        <n v="451.0"/>
        <n v="51.0"/>
        <n v="188.0"/>
        <n v="144.0"/>
        <n v="98.0"/>
        <n v="87.0"/>
        <n v="314.0"/>
        <n v="281.0"/>
        <n v="207.0"/>
        <n v="171.0"/>
        <n v="193.0"/>
        <n v="165.0"/>
        <n v="109.0"/>
        <n v="337.0"/>
        <n v="77.0"/>
        <n v="118.0"/>
        <n v="31.0"/>
        <n v="436.0"/>
        <n v="26.0"/>
        <n v="43.0"/>
        <n v="34.0"/>
        <n v="125.0"/>
        <n v="21.0"/>
        <n v="113.0"/>
        <n v="75.0"/>
        <n v="180.0"/>
        <n v="133.0"/>
        <n v="160.0"/>
        <n v="195.0"/>
        <n v="151.0"/>
        <n v="378.0"/>
        <n v="120.0"/>
        <n v="86.0"/>
        <n v="63.0"/>
        <n v="108.0"/>
      </sharedItems>
    </cacheField>
    <cacheField name="dx_Endocrine" numFmtId="0">
      <sharedItems containsString="0" containsBlank="1" containsNumber="1" containsInteger="1">
        <n v="138.0"/>
        <n v="269.0"/>
        <n v="326.0"/>
        <m/>
        <n v="770.0"/>
        <n v="2.0"/>
        <n v="688.0"/>
        <n v="243.0"/>
        <n v="474.0"/>
        <n v="393.0"/>
        <n v="236.0"/>
        <n v="358.0"/>
        <n v="863.0"/>
        <n v="346.0"/>
        <n v="83.0"/>
        <n v="39.0"/>
        <n v="387.0"/>
        <n v="939.0"/>
        <n v="40.0"/>
        <n v="41.0"/>
        <n v="310.0"/>
        <n v="421.0"/>
        <n v="633.0"/>
        <n v="345.0"/>
        <n v="861.0"/>
        <n v="209.0"/>
        <n v="247.0"/>
        <n v="80.0"/>
        <n v="52.0"/>
        <n v="193.0"/>
        <n v="1065.0"/>
        <n v="59.0"/>
        <n v="3172.0"/>
        <n v="32.0"/>
        <n v="1397.0"/>
        <n v="8.0"/>
        <n v="506.0"/>
        <n v="12.0"/>
        <n v="63.0"/>
        <n v="1.0"/>
        <n v="70.0"/>
        <n v="200.0"/>
        <n v="287.0"/>
        <n v="171.0"/>
        <n v="173.0"/>
        <n v="775.0"/>
        <n v="388.0"/>
        <n v="25.0"/>
        <n v="843.0"/>
        <n v="77.0"/>
        <n v="1181.0"/>
        <n v="4.0"/>
        <n v="89.0"/>
        <n v="72.0"/>
        <n v="785.0"/>
        <n v="93.0"/>
        <n v="197.0"/>
        <n v="773.0"/>
        <n v="29.0"/>
        <n v="10.0"/>
        <n v="657.0"/>
        <n v="448.0"/>
        <n v="745.0"/>
        <n v="761.0"/>
        <n v="54.0"/>
        <n v="620.0"/>
        <n v="626.0"/>
        <n v="114.0"/>
        <n v="5.0"/>
        <n v="277.0"/>
        <n v="390.0"/>
        <n v="551.0"/>
        <n v="673.0"/>
        <n v="127.0"/>
        <n v="76.0"/>
        <n v="262.0"/>
        <n v="289.0"/>
        <n v="800.0"/>
        <n v="190.0"/>
        <n v="461.0"/>
        <n v="492.0"/>
        <n v="644.0"/>
        <n v="596.0"/>
        <n v="838.0"/>
        <n v="503.0"/>
        <n v="1108.0"/>
        <n v="694.0"/>
        <n v="586.0"/>
        <n v="213.0"/>
        <n v="743.0"/>
        <n v="37.0"/>
        <n v="715.0"/>
        <n v="413.0"/>
        <n v="429.0"/>
        <n v="375.0"/>
        <n v="335.0"/>
        <n v="725.0"/>
        <n v="7.0"/>
        <n v="257.0"/>
        <n v="1381.0"/>
        <n v="457.0"/>
        <n v="202.0"/>
        <n v="13.0"/>
        <n v="752.0"/>
        <n v="1286.0"/>
        <n v="533.0"/>
        <n v="273.0"/>
        <n v="148.0"/>
        <n v="304.0"/>
        <n v="640.0"/>
        <n v="98.0"/>
        <n v="276.0"/>
        <n v="698.0"/>
        <n v="285.0"/>
        <n v="708.0"/>
        <n v="151.0"/>
        <n v="1011.0"/>
        <n v="542.0"/>
        <n v="211.0"/>
        <n v="9.0"/>
        <n v="357.0"/>
        <n v="905.0"/>
        <n v="298.0"/>
        <n v="380.0"/>
        <n v="36.0"/>
        <n v="1087.0"/>
        <n v="1778.0"/>
        <n v="889.0"/>
        <n v="228.0"/>
        <n v="248.0"/>
        <n v="369.0"/>
        <n v="611.0"/>
        <n v="11.0"/>
        <n v="203.0"/>
        <n v="510.0"/>
        <n v="110.0"/>
        <n v="15.0"/>
        <n v="166.0"/>
        <n v="92.0"/>
        <n v="660.0"/>
        <n v="20.0"/>
        <n v="14.0"/>
        <n v="556.0"/>
        <n v="625.0"/>
        <n v="437.0"/>
        <n v="372.0"/>
        <n v="141.0"/>
        <n v="194.0"/>
        <n v="599.0"/>
        <n v="811.0"/>
        <n v="368.0"/>
        <n v="231.0"/>
        <n v="996.0"/>
        <n v="128.0"/>
        <n v="1061.0"/>
        <n v="109.0"/>
        <n v="170.0"/>
        <n v="426.0"/>
        <n v="101.0"/>
        <n v="360.0"/>
        <n v="906.0"/>
        <n v="239.0"/>
        <n v="184.0"/>
        <n v="53.0"/>
        <n v="943.0"/>
        <n v="561.0"/>
        <n v="768.0"/>
        <n v="313.0"/>
        <n v="35.0"/>
        <n v="316.0"/>
        <n v="28.0"/>
        <n v="709.0"/>
        <n v="154.0"/>
        <n v="1213.0"/>
        <n v="572.0"/>
        <n v="21.0"/>
        <n v="597.0"/>
        <n v="846.0"/>
        <n v="1214.0"/>
        <n v="405.0"/>
        <n v="318.0"/>
        <n v="583.0"/>
        <n v="953.0"/>
        <n v="195.0"/>
        <n v="160.0"/>
        <n v="392.0"/>
        <n v="1179.0"/>
        <n v="1131.0"/>
        <n v="479.0"/>
        <n v="428.0"/>
        <n v="522.0"/>
        <n v="994.0"/>
        <n v="648.0"/>
        <n v="1115.0"/>
        <n v="1005.0"/>
        <n v="851.0"/>
        <n v="323.0"/>
        <n v="261.0"/>
        <n v="1401.0"/>
        <n v="1344.0"/>
        <n v="3.0"/>
        <n v="788.0"/>
        <n v="338.0"/>
        <n v="1270.0"/>
        <n v="623.0"/>
        <n v="230.0"/>
        <n v="134.0"/>
        <n v="427.0"/>
        <n v="692.0"/>
        <n v="139.0"/>
        <n v="1444.0"/>
        <n v="1463.0"/>
        <n v="1354.0"/>
        <n v="1001.0"/>
        <n v="2335.0"/>
        <n v="281.0"/>
        <n v="409.0"/>
        <n v="1104.0"/>
        <n v="1009.0"/>
        <n v="275.0"/>
        <n v="382.0"/>
        <n v="499.0"/>
        <n v="783.0"/>
        <n v="18.0"/>
        <n v="130.0"/>
        <n v="601.0"/>
        <n v="1189.0"/>
        <n v="55.0"/>
        <n v="237.0"/>
        <n v="235.0"/>
        <n v="364.0"/>
        <n v="468.0"/>
        <n v="835.0"/>
        <n v="186.0"/>
        <n v="486.0"/>
        <n v="179.0"/>
        <n v="201.0"/>
        <n v="465.0"/>
        <n v="153.0"/>
        <n v="435.0"/>
        <n v="143.0"/>
        <n v="140.0"/>
        <n v="185.0"/>
        <n v="867.0"/>
        <n v="649.0"/>
        <n v="6.0"/>
        <n v="537.0"/>
        <n v="801.0"/>
        <n v="615.0"/>
        <n v="904.0"/>
        <n v="1263.0"/>
        <n v="334.0"/>
        <n v="566.0"/>
        <n v="180.0"/>
        <n v="431.0"/>
        <n v="391.0"/>
        <n v="229.0"/>
        <n v="17.0"/>
        <n v="495.0"/>
        <n v="45.0"/>
        <n v="58.0"/>
        <n v="208.0"/>
        <n v="367.0"/>
        <n v="156.0"/>
        <n v="44.0"/>
        <n v="133.0"/>
        <n v="62.0"/>
        <n v="292.0"/>
        <n v="1051.0"/>
        <n v="447.0"/>
        <n v="1203.0"/>
        <n v="49.0"/>
        <n v="51.0"/>
        <n v="145.0"/>
        <n v="1273.0"/>
        <n v="192.0"/>
        <n v="540.0"/>
        <n v="460.0"/>
        <n v="27.0"/>
        <n v="178.0"/>
        <n v="291.0"/>
        <n v="703.0"/>
        <n v="147.0"/>
        <n v="760.0"/>
      </sharedItems>
    </cacheField>
    <cacheField name="dx_MentalHealth" numFmtId="0">
      <sharedItems containsString="0" containsBlank="1" containsNumber="1" containsInteger="1">
        <n v="79.0"/>
        <n v="128.0"/>
        <n v="1600.0"/>
        <n v="2950.0"/>
        <m/>
        <n v="116.0"/>
        <n v="83.0"/>
        <n v="95.0"/>
        <n v="341.0"/>
        <n v="5404.0"/>
        <n v="86.0"/>
        <n v="331.0"/>
        <n v="1149.0"/>
        <n v="447.0"/>
        <n v="106.0"/>
        <n v="314.0"/>
        <n v="173.0"/>
        <n v="37.0"/>
        <n v="14.0"/>
        <n v="223.0"/>
        <n v="592.0"/>
        <n v="271.0"/>
        <n v="18.0"/>
        <n v="1007.0"/>
        <n v="105.0"/>
        <n v="201.0"/>
        <n v="147.0"/>
        <n v="172.0"/>
        <n v="64.0"/>
        <n v="3092.0"/>
        <n v="74.0"/>
        <n v="31.0"/>
        <n v="61.0"/>
        <n v="153.0"/>
        <n v="299.0"/>
        <n v="163.0"/>
        <n v="27.0"/>
        <n v="3356.0"/>
        <n v="10.0"/>
        <n v="379.0"/>
        <n v="57.0"/>
        <n v="210.0"/>
        <n v="237.0"/>
        <n v="3.0"/>
        <n v="38.0"/>
        <n v="2.0"/>
        <n v="17.0"/>
        <n v="129.0"/>
        <n v="298.0"/>
        <n v="34.0"/>
        <n v="1.0"/>
        <n v="21.0"/>
        <n v="82.0"/>
        <n v="899.0"/>
        <n v="6.0"/>
        <n v="100.0"/>
        <n v="1825.0"/>
        <n v="24.0"/>
        <n v="101.0"/>
        <n v="4.0"/>
        <n v="2823.0"/>
        <n v="276.0"/>
        <n v="42.0"/>
        <n v="104.0"/>
        <n v="13.0"/>
        <n v="29.0"/>
        <n v="5216.0"/>
        <n v="623.0"/>
        <n v="120.0"/>
        <n v="1354.0"/>
        <n v="4808.0"/>
        <n v="252.0"/>
        <n v="69.0"/>
        <n v="840.0"/>
        <n v="6513.0"/>
        <n v="5.0"/>
        <n v="3560.0"/>
        <n v="68.0"/>
        <n v="138.0"/>
        <n v="367.0"/>
        <n v="7011.0"/>
        <n v="91.0"/>
        <n v="23.0"/>
        <n v="310.0"/>
        <n v="58.0"/>
        <n v="33.0"/>
        <n v="336.0"/>
        <n v="1441.0"/>
        <n v="1135.0"/>
        <n v="2952.0"/>
        <n v="96.0"/>
        <n v="131.0"/>
        <n v="156.0"/>
        <n v="1269.0"/>
        <n v="1478.0"/>
        <n v="292.0"/>
        <n v="3878.0"/>
        <n v="123.0"/>
        <n v="45.0"/>
        <n v="139.0"/>
        <n v="2961.0"/>
        <n v="178.0"/>
        <n v="108.0"/>
        <n v="1306.0"/>
        <n v="2320.0"/>
        <n v="111.0"/>
        <n v="39.0"/>
        <n v="50.0"/>
        <n v="52.0"/>
        <n v="361.0"/>
        <n v="1335.0"/>
        <n v="5792.0"/>
        <n v="84.0"/>
        <n v="4236.0"/>
        <n v="19.0"/>
        <n v="1118.0"/>
        <n v="221.0"/>
        <n v="2603.0"/>
        <n v="378.0"/>
        <n v="2248.0"/>
        <n v="144.0"/>
        <n v="51.0"/>
        <n v="3544.0"/>
        <n v="274.0"/>
        <n v="161.0"/>
        <n v="346.0"/>
        <n v="154.0"/>
        <n v="2132.0"/>
        <n v="1594.0"/>
        <n v="1040.0"/>
        <n v="672.0"/>
        <n v="710.0"/>
        <n v="1400.0"/>
        <n v="166.0"/>
        <n v="744.0"/>
        <n v="87.0"/>
        <n v="896.0"/>
        <n v="35.0"/>
        <n v="46.0"/>
        <n v="113.0"/>
        <n v="132.0"/>
        <n v="1031.0"/>
        <n v="72.0"/>
        <n v="736.0"/>
        <n v="25.0"/>
        <n v="55.0"/>
        <n v="207.0"/>
        <n v="333.0"/>
        <n v="1109.0"/>
        <n v="199.0"/>
        <n v="740.0"/>
        <n v="80.0"/>
        <n v="867.0"/>
        <n v="126.0"/>
        <n v="866.0"/>
        <n v="232.0"/>
        <n v="414.0"/>
        <n v="3854.0"/>
        <n v="220.0"/>
        <n v="1784.0"/>
        <n v="1171.0"/>
        <n v="687.0"/>
        <n v="473.0"/>
        <n v="114.0"/>
        <n v="148.0"/>
        <n v="891.0"/>
        <n v="48.0"/>
        <n v="1032.0"/>
        <n v="945.0"/>
        <n v="90.0"/>
        <n v="400.0"/>
        <n v="627.0"/>
        <n v="137.0"/>
        <n v="2005.0"/>
        <n v="1116.0"/>
        <n v="325.0"/>
        <n v="235.0"/>
        <n v="335.0"/>
        <n v="1496.0"/>
        <n v="1500.0"/>
        <n v="193.0"/>
        <n v="213.0"/>
        <n v="877.0"/>
        <n v="1767.0"/>
        <n v="77.0"/>
        <n v="503.0"/>
        <n v="36.0"/>
        <n v="1320.0"/>
        <n v="65.0"/>
        <n v="387.0"/>
        <n v="3443.0"/>
        <n v="192.0"/>
        <n v="85.0"/>
        <n v="177.0"/>
        <n v="444.0"/>
        <n v="140.0"/>
        <n v="386.0"/>
        <n v="307.0"/>
        <n v="5322.0"/>
        <n v="245.0"/>
        <n v="2326.0"/>
        <n v="3444.0"/>
        <n v="198.0"/>
        <n v="273.0"/>
        <n v="894.0"/>
        <n v="30.0"/>
        <n v="246.0"/>
        <n v="445.0"/>
        <n v="561.0"/>
        <n v="3817.0"/>
        <n v="136.0"/>
        <n v="92.0"/>
        <n v="3019.0"/>
        <n v="6541.0"/>
        <n v="3793.0"/>
        <n v="295.0"/>
        <n v="958.0"/>
        <n v="372.0"/>
        <n v="1187.0"/>
        <n v="2081.0"/>
        <n v="269.0"/>
        <n v="1284.0"/>
        <n v="3708.0"/>
        <n v="2154.0"/>
        <n v="1686.0"/>
        <n v="250.0"/>
        <n v="124.0"/>
        <n v="1332.0"/>
        <n v="185.0"/>
        <n v="722.0"/>
        <n v="26.0"/>
        <n v="286.0"/>
        <n v="2129.0"/>
        <n v="248.0"/>
        <n v="1631.0"/>
        <n v="390.0"/>
        <n v="158.0"/>
        <n v="9.0"/>
        <n v="499.0"/>
        <n v="283.0"/>
        <n v="825.0"/>
        <n v="1383.0"/>
        <n v="665.0"/>
        <n v="681.0"/>
        <n v="502.0"/>
        <n v="225.0"/>
        <n v="182.0"/>
        <n v="1709.0"/>
        <n v="103.0"/>
        <n v="60.0"/>
        <n v="98.0"/>
        <n v="73.0"/>
        <n v="1502.0"/>
        <n v="7.0"/>
        <n v="157.0"/>
        <n v="963.0"/>
        <n v="285.0"/>
        <n v="228.0"/>
        <n v="1336.0"/>
        <n v="774.0"/>
        <n v="180.0"/>
        <n v="831.0"/>
        <n v="1106.0"/>
        <n v="3084.0"/>
        <n v="205.0"/>
        <n v="537.0"/>
        <n v="229.0"/>
        <n v="388.0"/>
        <n v="428.0"/>
        <n v="233.0"/>
        <n v="407.0"/>
        <n v="15.0"/>
        <n v="1999.0"/>
        <n v="81.0"/>
        <n v="40.0"/>
        <n v="371.0"/>
        <n v="181.0"/>
        <n v="8.0"/>
        <n v="214.0"/>
        <n v="2548.0"/>
        <n v="94.0"/>
        <n v="3339.0"/>
        <n v="112.0"/>
        <n v="706.0"/>
        <n v="224.0"/>
        <n v="270.0"/>
        <n v="66.0"/>
        <n v="497.0"/>
        <n v="1788.0"/>
        <n v="2001.0"/>
        <n v="1144.0"/>
        <n v="167.0"/>
        <n v="119.0"/>
        <n v="1285.0"/>
        <n v="99.0"/>
      </sharedItems>
    </cacheField>
    <cacheField name="dx_Nervous_System" numFmtId="0">
      <sharedItems containsString="0" containsBlank="1" containsNumber="1" containsInteger="1">
        <n v="181.0"/>
        <n v="222.0"/>
        <n v="568.0"/>
        <m/>
        <n v="477.0"/>
        <n v="1.0"/>
        <n v="376.0"/>
        <n v="105.0"/>
        <n v="178.0"/>
        <n v="118.0"/>
        <n v="106.0"/>
        <n v="269.0"/>
        <n v="641.0"/>
        <n v="191.0"/>
        <n v="60.0"/>
        <n v="21.0"/>
        <n v="429.0"/>
        <n v="16.0"/>
        <n v="25.0"/>
        <n v="122.0"/>
        <n v="179.0"/>
        <n v="476.0"/>
        <n v="230.0"/>
        <n v="239.0"/>
        <n v="121.0"/>
        <n v="2.0"/>
        <n v="173.0"/>
        <n v="41.0"/>
        <n v="17.0"/>
        <n v="74.0"/>
        <n v="332.0"/>
        <n v="23.0"/>
        <n v="1267.0"/>
        <n v="11.0"/>
        <n v="527.0"/>
        <n v="333.0"/>
        <n v="185.0"/>
        <n v="24.0"/>
        <n v="3.0"/>
        <n v="13.0"/>
        <n v="84.0"/>
        <n v="57.0"/>
        <n v="9.0"/>
        <n v="450.0"/>
        <n v="355.0"/>
        <n v="217.0"/>
        <n v="43.0"/>
        <n v="32.0"/>
        <n v="463.0"/>
        <n v="31.0"/>
        <n v="282.0"/>
        <n v="29.0"/>
        <n v="6.0"/>
        <n v="219.0"/>
        <n v="30.0"/>
        <n v="498.0"/>
        <n v="5.0"/>
        <n v="279.0"/>
        <n v="457.0"/>
        <n v="350.0"/>
        <n v="220.0"/>
        <n v="1217.0"/>
        <n v="606.0"/>
        <n v="1355.0"/>
        <n v="123.0"/>
        <n v="87.0"/>
        <n v="286.0"/>
        <n v="324.0"/>
        <n v="212.0"/>
        <n v="435.0"/>
        <n v="71.0"/>
        <n v="103.0"/>
        <n v="161.0"/>
        <n v="232.0"/>
        <n v="561.0"/>
        <n v="65.0"/>
        <n v="313.0"/>
        <n v="347.0"/>
        <n v="368.0"/>
        <n v="551.0"/>
        <n v="631.0"/>
        <n v="149.0"/>
        <n v="650.0"/>
        <n v="780.0"/>
        <n v="244.0"/>
        <n v="127.0"/>
        <n v="587.0"/>
        <n v="136.0"/>
        <n v="346.0"/>
        <n v="366.0"/>
        <n v="180.0"/>
        <n v="533.0"/>
        <n v="422.0"/>
        <n v="117.0"/>
        <n v="94.0"/>
        <n v="1394.0"/>
        <n v="403.0"/>
        <n v="142.0"/>
        <n v="451.0"/>
        <n v="922.0"/>
        <n v="359.0"/>
        <n v="172.0"/>
        <n v="213.0"/>
        <n v="214.0"/>
        <n v="637.0"/>
        <n v="58.0"/>
        <n v="189.0"/>
        <n v="497.0"/>
        <n v="101.0"/>
        <n v="1124.0"/>
        <n v="375.0"/>
        <n v="238.0"/>
        <n v="439.0"/>
        <n v="177.0"/>
        <n v="42.0"/>
        <n v="311.0"/>
        <n v="635.0"/>
        <n v="1174.0"/>
        <n v="297.0"/>
        <n v="385.0"/>
        <n v="307.0"/>
        <n v="539.0"/>
        <n v="140.0"/>
        <n v="341.0"/>
        <n v="54.0"/>
        <n v="362.0"/>
        <n v="752.0"/>
        <n v="100.0"/>
        <n v="18.0"/>
        <n v="310.0"/>
        <n v="72.0"/>
        <n v="26.0"/>
        <n v="63.0"/>
        <n v="195.0"/>
        <n v="12.0"/>
        <n v="15.0"/>
        <n v="532.0"/>
        <n v="431.0"/>
        <n v="199.0"/>
        <n v="164.0"/>
        <n v="44.0"/>
        <n v="1372.0"/>
        <n v="203.0"/>
        <n v="14.0"/>
        <n v="40.0"/>
        <n v="55.0"/>
        <n v="862.0"/>
        <n v="129.0"/>
        <n v="132.0"/>
        <n v="371.0"/>
        <n v="823.0"/>
        <n v="157.0"/>
        <n v="86.0"/>
        <n v="76.0"/>
        <n v="228.0"/>
        <n v="377.0"/>
        <n v="458.0"/>
        <n v="266.0"/>
        <n v="272.0"/>
        <n v="36.0"/>
        <n v="259.0"/>
        <n v="489.0"/>
        <n v="102.0"/>
        <n v="66.0"/>
        <n v="664.0"/>
        <n v="256.0"/>
        <n v="506.0"/>
        <n v="447.0"/>
        <n v="204.0"/>
        <n v="111.0"/>
        <n v="112.0"/>
        <n v="812.0"/>
        <n v="59.0"/>
        <n v="33.0"/>
        <n v="155.0"/>
        <n v="425.0"/>
        <n v="903.0"/>
        <n v="356.0"/>
        <n v="255.0"/>
        <n v="518.0"/>
        <n v="410.0"/>
        <n v="528.0"/>
        <n v="1030.0"/>
        <n v="953.0"/>
        <n v="304.0"/>
        <n v="236.0"/>
        <n v="64.0"/>
        <n v="107.0"/>
        <n v="819.0"/>
        <n v="1024.0"/>
        <n v="182.0"/>
        <n v="487.0"/>
        <n v="500.0"/>
        <n v="170.0"/>
        <n v="92.0"/>
        <n v="387.0"/>
        <n v="10.0"/>
        <n v="616.0"/>
        <n v="35.0"/>
        <n v="959.0"/>
        <n v="280.0"/>
        <n v="1350.0"/>
        <n v="116.0"/>
        <n v="764.0"/>
        <n v="975.0"/>
        <n v="571.0"/>
        <n v="743.0"/>
        <n v="344.0"/>
        <n v="570.0"/>
        <n v="260.0"/>
        <n v="931.0"/>
        <n v="504.0"/>
        <n v="198.0"/>
        <n v="448.0"/>
        <n v="96.0"/>
        <n v="233.0"/>
        <n v="82.0"/>
        <n v="206.0"/>
        <n v="2006.0"/>
        <n v="326.0"/>
        <n v="110.0"/>
        <n v="316.0"/>
        <n v="8.0"/>
        <n v="249.0"/>
        <n v="95.0"/>
        <n v="166.0"/>
        <n v="312.0"/>
        <n v="507.0"/>
        <n v="544.0"/>
        <n v="442.0"/>
        <n v="526.0"/>
        <n v="531.0"/>
        <n v="872.0"/>
        <n v="1438.0"/>
        <n v="196.0"/>
        <n v="591.0"/>
        <n v="90.0"/>
        <n v="389.0"/>
        <n v="186.0"/>
        <n v="299.0"/>
        <n v="75.0"/>
        <n v="273.0"/>
        <n v="143.0"/>
        <n v="672.0"/>
        <n v="135.0"/>
        <n v="460.0"/>
        <n v="39.0"/>
        <n v="68.0"/>
        <n v="611.0"/>
        <n v="147.0"/>
        <n v="67.0"/>
        <n v="78.0"/>
        <n v="200.0"/>
        <n v="488.0"/>
        <n v="243.0"/>
        <n v="52.0"/>
      </sharedItems>
    </cacheField>
    <cacheField name="dx_Eye" numFmtId="0">
      <sharedItems containsString="0" containsBlank="1" containsNumber="1" containsInteger="1">
        <n v="4.0"/>
        <n v="11.0"/>
        <n v="24.0"/>
        <m/>
        <n v="32.0"/>
        <n v="15.0"/>
        <n v="3.0"/>
        <n v="8.0"/>
        <n v="1.0"/>
        <n v="13.0"/>
        <n v="16.0"/>
        <n v="10.0"/>
        <n v="2.0"/>
        <n v="14.0"/>
        <n v="9.0"/>
        <n v="56.0"/>
        <n v="18.0"/>
        <n v="7.0"/>
        <n v="19.0"/>
        <n v="159.0"/>
        <n v="12.0"/>
        <n v="5.0"/>
        <n v="27.0"/>
        <n v="20.0"/>
        <n v="26.0"/>
        <n v="39.0"/>
        <n v="30.0"/>
        <n v="41.0"/>
        <n v="6.0"/>
        <n v="45.0"/>
        <n v="48.0"/>
        <n v="123.0"/>
        <n v="65.0"/>
        <n v="211.0"/>
        <n v="40.0"/>
        <n v="28.0"/>
        <n v="43.0"/>
        <n v="25.0"/>
        <n v="77.0"/>
        <n v="17.0"/>
        <n v="89.0"/>
        <n v="21.0"/>
        <n v="23.0"/>
        <n v="79.0"/>
        <n v="29.0"/>
        <n v="104.0"/>
        <n v="34.0"/>
        <n v="88.0"/>
        <n v="38.0"/>
        <n v="37.0"/>
        <n v="94.0"/>
        <n v="73.0"/>
        <n v="57.0"/>
        <n v="31.0"/>
      </sharedItems>
    </cacheField>
    <cacheField name="dx_Ear" numFmtId="0">
      <sharedItems containsString="0" containsBlank="1" containsNumber="1" containsInteger="1">
        <n v="6.0"/>
        <n v="15.0"/>
        <n v="23.0"/>
        <m/>
        <n v="14.0"/>
        <n v="10.0"/>
        <n v="9.0"/>
        <n v="20.0"/>
        <n v="5.0"/>
        <n v="30.0"/>
        <n v="3.0"/>
        <n v="1.0"/>
        <n v="7.0"/>
        <n v="4.0"/>
        <n v="12.0"/>
        <n v="8.0"/>
        <n v="19.0"/>
        <n v="65.0"/>
        <n v="16.0"/>
        <n v="2.0"/>
        <n v="33.0"/>
        <n v="22.0"/>
        <n v="28.0"/>
        <n v="89.0"/>
        <n v="11.0"/>
        <n v="32.0"/>
        <n v="18.0"/>
        <n v="49.0"/>
        <n v="47.0"/>
        <n v="40.0"/>
        <n v="34.0"/>
        <n v="21.0"/>
        <n v="59.0"/>
        <n v="45.0"/>
        <n v="17.0"/>
        <n v="25.0"/>
        <n v="81.0"/>
        <n v="13.0"/>
        <n v="31.0"/>
        <n v="55.0"/>
        <n v="29.0"/>
        <n v="35.0"/>
        <n v="51.0"/>
        <n v="24.0"/>
        <n v="63.0"/>
        <n v="53.0"/>
        <n v="36.0"/>
        <n v="52.0"/>
        <n v="39.0"/>
        <n v="82.0"/>
        <n v="42.0"/>
        <n v="43.0"/>
        <n v="37.0"/>
      </sharedItems>
    </cacheField>
    <cacheField name="dx_Circulatory" numFmtId="0">
      <sharedItems containsString="0" containsBlank="1" containsNumber="1" containsInteger="1">
        <n v="470.0"/>
        <n v="773.0"/>
        <n v="65.0"/>
        <m/>
        <n v="1681.0"/>
        <n v="5.0"/>
        <n v="2828.0"/>
        <n v="794.0"/>
        <n v="1821.0"/>
        <n v="1185.0"/>
        <n v="886.0"/>
        <n v="1208.0"/>
        <n v="3080.0"/>
        <n v="1285.0"/>
        <n v="325.0"/>
        <n v="85.0"/>
        <n v="1615.0"/>
        <n v="3164.0"/>
        <n v="124.0"/>
        <n v="91.0"/>
        <n v="635.0"/>
        <n v="1289.0"/>
        <n v="2182.0"/>
        <n v="1776.0"/>
        <n v="2591.0"/>
        <n v="609.0"/>
        <n v="1231.0"/>
        <n v="273.0"/>
        <n v="116.0"/>
        <n v="663.0"/>
        <n v="1916.0"/>
        <n v="81.0"/>
        <n v="6009.0"/>
        <n v="67.0"/>
        <n v="3833.0"/>
        <n v="218.0"/>
        <n v="1158.0"/>
        <n v="38.0"/>
        <n v="83.0"/>
        <n v="6.0"/>
        <n v="68.0"/>
        <n v="1200.0"/>
        <n v="527.0"/>
        <n v="306.0"/>
        <n v="55.0"/>
        <n v="1.0"/>
        <n v="142.0"/>
        <n v="2502.0"/>
        <n v="690.0"/>
        <n v="36.0"/>
        <n v="859.0"/>
        <n v="53.0"/>
        <n v="173.0"/>
        <n v="2579.0"/>
        <n v="51.0"/>
        <n v="349.0"/>
        <n v="1039.0"/>
        <n v="130.0"/>
        <n v="1022.0"/>
        <n v="149.0"/>
        <n v="177.0"/>
        <n v="79.0"/>
        <n v="546.0"/>
        <n v="2298.0"/>
        <n v="25.0"/>
        <n v="10.0"/>
        <n v="1549.0"/>
        <n v="1021.0"/>
        <n v="1164.0"/>
        <n v="1717.0"/>
        <n v="396.0"/>
        <n v="2392.0"/>
        <n v="558.0"/>
        <n v="317.0"/>
        <n v="147.0"/>
        <n v="20.0"/>
        <n v="701.0"/>
        <n v="627.0"/>
        <n v="715.0"/>
        <n v="1613.0"/>
        <n v="1848.0"/>
        <n v="336.0"/>
        <n v="241.0"/>
        <n v="656.0"/>
        <n v="12.0"/>
        <n v="1639.0"/>
        <n v="3249.0"/>
        <n v="393.0"/>
        <n v="200.0"/>
        <n v="1594.0"/>
        <n v="2519.0"/>
        <n v="2784.0"/>
        <n v="3314.0"/>
        <n v="1771.0"/>
        <n v="4504.0"/>
        <n v="5440.0"/>
        <n v="1790.0"/>
        <n v="754.0"/>
        <n v="1196.0"/>
        <n v="61.0"/>
        <n v="3042.0"/>
        <n v="560.0"/>
        <n v="1841.0"/>
        <n v="935.0"/>
        <n v="1593.0"/>
        <n v="384.0"/>
        <n v="3174.0"/>
        <n v="1843.0"/>
        <n v="2.0"/>
        <n v="492.0"/>
        <n v="6894.0"/>
        <n v="2429.0"/>
        <n v="270.0"/>
        <n v="367.0"/>
        <n v="40.0"/>
        <n v="3023.0"/>
        <n v="3850.0"/>
        <n v="1464.0"/>
        <n v="94.0"/>
        <n v="360.0"/>
        <n v="706.0"/>
        <n v="1115.0"/>
        <n v="162.0"/>
        <n v="614.0"/>
        <n v="2086.0"/>
        <n v="1718.0"/>
        <n v="2478.0"/>
        <n v="313.0"/>
        <n v="3015.0"/>
        <n v="1520.0"/>
        <n v="600.0"/>
        <n v="4.0"/>
        <n v="1477.0"/>
        <n v="2000.0"/>
        <n v="561.0"/>
        <n v="1582.0"/>
        <n v="2690.0"/>
        <n v="3771.0"/>
        <n v="1455.0"/>
        <n v="1598.0"/>
        <n v="671.0"/>
        <n v="2087.0"/>
        <n v="1239.0"/>
        <n v="100.0"/>
        <n v="1952.0"/>
        <n v="49.0"/>
        <n v="1422.0"/>
        <n v="332.0"/>
        <n v="154.0"/>
        <n v="707.0"/>
        <n v="31.0"/>
        <n v="1611.0"/>
        <n v="195.0"/>
        <n v="37.0"/>
        <n v="114.0"/>
        <n v="297.0"/>
        <n v="170.0"/>
        <n v="1340.0"/>
        <n v="28.0"/>
        <n v="2237.0"/>
        <n v="2110.0"/>
        <n v="531.0"/>
        <n v="1077.0"/>
        <n v="1145.0"/>
        <n v="652.0"/>
        <n v="106.0"/>
        <n v="188.0"/>
        <n v="1704.0"/>
        <n v="1037.0"/>
        <n v="48.0"/>
        <n v="126.0"/>
        <n v="2128.0"/>
        <n v="208.0"/>
        <n v="4148.0"/>
        <n v="276.0"/>
        <n v="419.0"/>
        <n v="1781.0"/>
        <n v="157.0"/>
        <n v="2337.0"/>
        <n v="2430.0"/>
        <n v="437.0"/>
        <n v="578.0"/>
        <n v="1906.0"/>
        <n v="156.0"/>
        <n v="2594.0"/>
        <n v="2852.0"/>
        <n v="236.0"/>
        <n v="943.0"/>
        <n v="44.0"/>
        <n v="1339.0"/>
        <n v="122.0"/>
        <n v="8.0"/>
        <n v="3.0"/>
        <n v="2351.0"/>
        <n v="294.0"/>
        <n v="451.0"/>
        <n v="3945.0"/>
        <n v="3024.0"/>
        <n v="33.0"/>
        <n v="9.0"/>
        <n v="1222.0"/>
        <n v="2581.0"/>
        <n v="4375.0"/>
        <n v="996.0"/>
        <n v="820.0"/>
        <n v="13.0"/>
        <n v="541.0"/>
        <n v="4658.0"/>
        <n v="271.0"/>
        <n v="253.0"/>
        <n v="989.0"/>
        <n v="590.0"/>
        <n v="1775.0"/>
        <n v="1909.0"/>
        <n v="152.0"/>
        <n v="2740.0"/>
        <n v="2967.0"/>
        <n v="239.0"/>
        <n v="2399.0"/>
        <n v="4867.0"/>
        <n v="3821.0"/>
        <n v="1336.0"/>
        <n v="3480.0"/>
        <n v="4528.0"/>
        <n v="2283.0"/>
        <n v="1050.0"/>
        <n v="7.0"/>
        <n v="19.0"/>
        <n v="623.0"/>
        <n v="272.0"/>
        <n v="3712.0"/>
        <n v="4952.0"/>
        <n v="21.0"/>
        <n v="1006.0"/>
        <n v="2982.0"/>
        <n v="602.0"/>
        <n v="2986.0"/>
        <n v="2892.0"/>
        <n v="461.0"/>
        <n v="45.0"/>
        <n v="246.0"/>
        <n v="293.0"/>
        <n v="1965.0"/>
        <n v="1759.0"/>
        <n v="222.0"/>
        <n v="194.0"/>
        <n v="714.0"/>
        <n v="250.0"/>
        <n v="307.0"/>
        <n v="3989.0"/>
        <n v="4838.0"/>
        <n v="22.0"/>
        <n v="2920.0"/>
        <n v="3741.0"/>
        <n v="5579.0"/>
        <n v="1793.0"/>
        <n v="4428.0"/>
        <n v="3259.0"/>
        <n v="365.0"/>
        <n v="1953.0"/>
        <n v="2901.0"/>
        <n v="178.0"/>
        <n v="98.0"/>
        <n v="3206.0"/>
        <n v="165.0"/>
        <n v="920.0"/>
        <n v="1628.0"/>
        <n v="296.0"/>
        <n v="3507.0"/>
        <n v="201.0"/>
        <n v="2058.0"/>
        <n v="456.0"/>
        <n v="705.0"/>
        <n v="965.0"/>
        <n v="1089.0"/>
        <n v="3623.0"/>
        <n v="410.0"/>
        <n v="441.0"/>
        <n v="1808.0"/>
        <n v="521.0"/>
        <n v="432.0"/>
        <n v="323.0"/>
        <n v="1025.0"/>
        <n v="803.0"/>
        <n v="2160.0"/>
        <n v="900.0"/>
        <n v="1488.0"/>
        <n v="32.0"/>
        <n v="226.0"/>
        <n v="1540.0"/>
        <n v="14.0"/>
        <n v="2358.0"/>
        <n v="2947.0"/>
        <n v="2467.0"/>
        <n v="1713.0"/>
        <n v="2408.0"/>
        <n v="5223.0"/>
        <n v="1641.0"/>
        <n v="3555.0"/>
        <n v="1812.0"/>
        <n v="375.0"/>
        <n v="143.0"/>
        <n v="1752.0"/>
        <n v="488.0"/>
        <n v="1691.0"/>
        <n v="571.0"/>
        <n v="71.0"/>
        <n v="2227.0"/>
        <n v="131.0"/>
        <n v="17.0"/>
        <n v="1251.0"/>
        <n v="997.0"/>
        <n v="3873.0"/>
        <n v="1680.0"/>
        <n v="2755.0"/>
        <n v="18.0"/>
        <n v="111.0"/>
        <n v="268.0"/>
        <n v="342.0"/>
        <n v="30.0"/>
        <n v="3509.0"/>
        <n v="638.0"/>
        <n v="207.0"/>
        <n v="694.0"/>
        <n v="2435.0"/>
        <n v="80.0"/>
        <n v="1245.0"/>
        <n v="2132.0"/>
        <n v="364.0"/>
        <n v="1857.0"/>
      </sharedItems>
    </cacheField>
    <cacheField name="dx_Respiratory" numFmtId="0">
      <sharedItems containsString="0" containsBlank="1" containsNumber="1" containsInteger="1">
        <n v="272.0"/>
        <n v="277.0"/>
        <n v="1353.0"/>
        <m/>
        <n v="736.0"/>
        <n v="230.0"/>
        <n v="492.0"/>
        <n v="283.0"/>
        <n v="770.0"/>
        <n v="379.0"/>
        <n v="274.0"/>
        <n v="357.0"/>
        <n v="1385.0"/>
        <n v="442.0"/>
        <n v="140.0"/>
        <n v="69.0"/>
        <n v="375.0"/>
        <n v="1343.0"/>
        <n v="87.0"/>
        <n v="100.0"/>
        <n v="271.0"/>
        <n v="478.0"/>
        <n v="1240.0"/>
        <n v="701.0"/>
        <n v="715.0"/>
        <n v="258.0"/>
        <n v="466.0"/>
        <n v="115.0"/>
        <n v="183.0"/>
        <n v="462.0"/>
        <n v="1175.0"/>
        <n v="75.0"/>
        <n v="2028.0"/>
        <n v="1583.0"/>
        <n v="3.0"/>
        <n v="514.0"/>
        <n v="62.0"/>
        <n v="116.0"/>
        <n v="8.0"/>
        <n v="361.0"/>
        <n v="376.0"/>
        <n v="311.0"/>
        <n v="59.0"/>
        <n v="141.0"/>
        <n v="972.0"/>
        <n v="337.0"/>
        <n v="662.0"/>
        <n v="196.0"/>
        <n v="911.0"/>
        <n v="10.0"/>
        <n v="24.0"/>
        <n v="173.0"/>
        <n v="119.0"/>
        <n v="620.0"/>
        <n v="144.0"/>
        <n v="103.0"/>
        <n v="264.0"/>
        <n v="1144.0"/>
        <n v="391.0"/>
        <n v="501.0"/>
        <n v="439.0"/>
        <n v="422.0"/>
        <n v="354.0"/>
        <n v="584.0"/>
        <n v="94.0"/>
        <n v="786.0"/>
        <n v="4.0"/>
        <n v="2961.0"/>
        <n v="309.0"/>
        <n v="201.0"/>
        <n v="371.0"/>
        <n v="436.0"/>
        <n v="486.0"/>
        <n v="108.0"/>
        <n v="126.0"/>
        <n v="400.0"/>
        <n v="296.0"/>
        <n v="359.0"/>
        <n v="954.0"/>
        <n v="186.0"/>
        <n v="133.0"/>
        <n v="688.0"/>
        <n v="570.0"/>
        <n v="523.0"/>
        <n v="1015.0"/>
        <n v="390.0"/>
        <n v="1333.0"/>
        <n v="1007.0"/>
        <n v="592.0"/>
        <n v="419.0"/>
        <n v="464.0"/>
        <n v="677.0"/>
        <n v="894.0"/>
        <n v="293.0"/>
        <n v="857.0"/>
        <n v="434.0"/>
        <n v="370.0"/>
        <n v="275.0"/>
        <n v="561.0"/>
        <n v="558.0"/>
        <n v="89.0"/>
        <n v="189.0"/>
        <n v="1582.0"/>
        <n v="702.0"/>
        <n v="88.0"/>
        <n v="267.0"/>
        <n v="377.0"/>
        <n v="762.0"/>
        <n v="799.0"/>
        <n v="675.0"/>
        <n v="120.0"/>
        <n v="195.0"/>
        <n v="898.0"/>
        <n v="139.0"/>
        <n v="276.0"/>
        <n v="597.0"/>
        <n v="875.0"/>
        <n v="121.0"/>
        <n v="945.0"/>
        <n v="734.0"/>
        <n v="341.0"/>
        <n v="90.0"/>
        <n v="429.0"/>
        <n v="638.0"/>
        <n v="282.0"/>
        <n v="628.0"/>
        <n v="32.0"/>
        <n v="971.0"/>
        <n v="1426.0"/>
        <n v="533.0"/>
        <n v="565.0"/>
        <n v="58.0"/>
        <n v="503.0"/>
        <n v="410.0"/>
        <n v="1506.0"/>
        <n v="878.0"/>
        <n v="18.0"/>
        <n v="532.0"/>
        <n v="249.0"/>
        <n v="2717.0"/>
        <n v="221.0"/>
        <n v="85.0"/>
        <n v="22.0"/>
        <n v="129.0"/>
        <n v="209.0"/>
        <n v="134.0"/>
        <n v="101.0"/>
        <n v="744.0"/>
        <n v="2.0"/>
        <n v="63.0"/>
        <n v="33.0"/>
        <n v="781.0"/>
        <n v="837.0"/>
        <n v="360.0"/>
        <n v="315.0"/>
        <n v="123.0"/>
        <n v="299.0"/>
        <n v="97.0"/>
        <n v="2480.0"/>
        <n v="482.0"/>
        <n v="365.0"/>
        <n v="323.0"/>
        <n v="81.0"/>
        <n v="905.0"/>
        <n v="105.0"/>
        <n v="152.0"/>
        <n v="149.0"/>
        <n v="505.0"/>
        <n v="112.0"/>
        <n v="631.0"/>
        <n v="457.0"/>
        <n v="248.0"/>
        <n v="559.0"/>
        <n v="726.0"/>
        <n v="768.0"/>
        <n v="169.0"/>
        <n v="470.0"/>
        <n v="339.0"/>
        <n v="398.0"/>
        <n v="5.0"/>
        <n v="1476.0"/>
        <n v="1.0"/>
        <n v="238.0"/>
        <n v="1310.0"/>
        <n v="1408.0"/>
        <n v="25.0"/>
        <n v="45.0"/>
        <n v="825.0"/>
        <n v="1226.0"/>
        <n v="524.0"/>
        <n v="368.0"/>
        <n v="37.0"/>
        <n v="334.0"/>
        <n v="914.0"/>
        <n v="246.0"/>
        <n v="188.0"/>
        <n v="166.0"/>
        <n v="364.0"/>
        <n v="244.0"/>
        <n v="727.0"/>
        <n v="1435.0"/>
        <n v="690.0"/>
        <n v="682.0"/>
        <n v="520.0"/>
        <n v="1469.0"/>
        <n v="657.0"/>
        <n v="1785.0"/>
        <n v="1877.0"/>
        <n v="948.0"/>
        <n v="494.0"/>
        <n v="291.0"/>
        <n v="28.0"/>
        <n v="211.0"/>
        <n v="146.0"/>
        <n v="1855.0"/>
        <n v="879.0"/>
        <n v="47.0"/>
        <n v="562.0"/>
        <n v="882.0"/>
        <n v="616.0"/>
        <n v="890.0"/>
        <n v="817.0"/>
        <n v="223.0"/>
        <n v="796.0"/>
        <n v="233.0"/>
        <n v="579.0"/>
        <n v="165.0"/>
        <n v="57.0"/>
        <n v="2390.0"/>
        <n v="411.0"/>
        <n v="4667.0"/>
        <n v="1120.0"/>
        <n v="1736.0"/>
        <n v="222.0"/>
        <n v="1084.0"/>
        <n v="1119.0"/>
        <n v="254.0"/>
        <n v="706.0"/>
        <n v="624.0"/>
        <n v="1152.0"/>
        <n v="963.0"/>
        <n v="438.0"/>
        <n v="242.0"/>
        <n v="652.0"/>
        <n v="845.0"/>
        <n v="14.0"/>
        <n v="35.0"/>
        <n v="437.0"/>
        <n v="138.0"/>
        <n v="658.0"/>
        <n v="1579.0"/>
        <n v="273.0"/>
        <n v="639.0"/>
        <n v="472.0"/>
        <n v="840.0"/>
        <n v="226.0"/>
        <n v="883.0"/>
        <n v="185.0"/>
        <n v="231.0"/>
        <n v="343.0"/>
        <n v="262.0"/>
        <n v="122.0"/>
        <n v="232.0"/>
        <n v="372.0"/>
        <n v="131.0"/>
        <n v="270.0"/>
        <n v="685.0"/>
        <n v="543.0"/>
        <n v="962.0"/>
        <n v="602.0"/>
        <n v="1161.0"/>
        <n v="1244.0"/>
        <n v="1142.0"/>
        <n v="214.0"/>
        <n v="908.0"/>
        <n v="153.0"/>
        <n v="529.0"/>
        <n v="80.0"/>
        <n v="184.0"/>
        <n v="312.0"/>
        <n v="241.0"/>
        <n v="692.0"/>
        <n v="70.0"/>
        <n v="718.0"/>
        <n v="154.0"/>
        <n v="1286.0"/>
        <n v="536.0"/>
        <n v="1284.0"/>
        <n v="498.0"/>
        <n v="84.0"/>
        <n v="7.0"/>
        <n v="204.0"/>
        <n v="483.0"/>
        <n v="150.0"/>
        <n v="300.0"/>
        <n v="707.0"/>
        <n v="515.0"/>
        <n v="651.0"/>
        <n v="338.0"/>
        <n v="445.0"/>
        <n v="235.0"/>
        <n v="125.0"/>
      </sharedItems>
    </cacheField>
    <cacheField name="dx_Digestive" numFmtId="0">
      <sharedItems containsString="0" containsBlank="1" containsNumber="1" containsInteger="1">
        <n v="343.0"/>
        <n v="801.0"/>
        <n v="757.0"/>
        <m/>
        <n v="1393.0"/>
        <n v="10.0"/>
        <n v="989.0"/>
        <n v="514.0"/>
        <n v="1076.0"/>
        <n v="742.0"/>
        <n v="510.0"/>
        <n v="739.0"/>
        <n v="1990.0"/>
        <n v="982.0"/>
        <n v="248.0"/>
        <n v="22.0"/>
        <n v="1180.0"/>
        <n v="1954.0"/>
        <n v="93.0"/>
        <n v="36.0"/>
        <n v="697.0"/>
        <n v="705.0"/>
        <n v="1722.0"/>
        <n v="1137.0"/>
        <n v="1326.0"/>
        <n v="516.0"/>
        <n v="972.0"/>
        <n v="205.0"/>
        <n v="227.0"/>
        <n v="606.0"/>
        <n v="2240.0"/>
        <n v="80.0"/>
        <n v="3577.0"/>
        <n v="34.0"/>
        <n v="2580.0"/>
        <n v="4.0"/>
        <n v="897.0"/>
        <n v="119.0"/>
        <n v="8.0"/>
        <n v="142.0"/>
        <n v="668.0"/>
        <n v="699.0"/>
        <n v="338.0"/>
        <n v="99.0"/>
        <n v="234.0"/>
        <n v="1447.0"/>
        <n v="756.0"/>
        <n v="39.0"/>
        <n v="1470.0"/>
        <n v="42.0"/>
        <n v="207.0"/>
        <n v="2059.0"/>
        <n v="7.0"/>
        <n v="107.0"/>
        <n v="147.0"/>
        <n v="1066.0"/>
        <n v="133.0"/>
        <n v="215.0"/>
        <n v="108.0"/>
        <n v="603.0"/>
        <n v="1938.0"/>
        <n v="37.0"/>
        <n v="843.0"/>
        <n v="1206.0"/>
        <n v="782.0"/>
        <n v="1696.0"/>
        <n v="159.0"/>
        <n v="1294.0"/>
        <n v="9.0"/>
        <n v="2248.0"/>
        <n v="574.0"/>
        <n v="21.0"/>
        <n v="655.0"/>
        <n v="826.0"/>
        <n v="728.0"/>
        <n v="1016.0"/>
        <n v="1684.0"/>
        <n v="299.0"/>
        <n v="189.0"/>
        <n v="936.0"/>
        <n v="23.0"/>
        <n v="712.0"/>
        <n v="1384.0"/>
        <n v="358.0"/>
        <n v="378.0"/>
        <n v="1160.0"/>
        <n v="1572.0"/>
        <n v="1202.0"/>
        <n v="2615.0"/>
        <n v="820.0"/>
        <n v="3322.0"/>
        <n v="1784.0"/>
        <n v="1532.0"/>
        <n v="882.0"/>
        <n v="1025.0"/>
        <n v="65.0"/>
        <n v="1719.0"/>
        <n v="647.0"/>
        <n v="1452.0"/>
        <n v="766.0"/>
        <n v="795.0"/>
        <n v="434.0"/>
        <n v="1683.0"/>
        <n v="641.0"/>
        <n v="4778.0"/>
        <n v="1245.0"/>
        <n v="333.0"/>
        <n v="326.0"/>
        <n v="33.0"/>
        <n v="1627.0"/>
        <n v="2804.0"/>
        <n v="1579.0"/>
        <n v="168.0"/>
        <n v="426.0"/>
        <n v="639.0"/>
        <n v="1584.0"/>
        <n v="281.0"/>
        <n v="455.0"/>
        <n v="1247.0"/>
        <n v="1031.0"/>
        <n v="1807.0"/>
        <n v="210.0"/>
        <n v="2122.0"/>
        <n v="1609.0"/>
        <n v="604.0"/>
        <n v="958.0"/>
        <n v="1647.0"/>
        <n v="856.0"/>
        <n v="1194.0"/>
        <n v="104.0"/>
        <n v="1959.0"/>
        <n v="3388.0"/>
        <n v="1413.0"/>
        <n v="1762.0"/>
        <n v="965.0"/>
        <n v="1361.0"/>
        <n v="1280.0"/>
        <n v="884.0"/>
        <n v="1610.0"/>
        <n v="5.0"/>
        <n v="1110.0"/>
        <n v="520.0"/>
        <n v="1123.0"/>
        <n v="525.0"/>
        <n v="16.0"/>
        <n v="804.0"/>
        <n v="268.0"/>
        <n v="128.0"/>
        <n v="363.0"/>
        <n v="179.0"/>
        <n v="181.0"/>
        <n v="1338.0"/>
        <n v="13.0"/>
        <n v="76.0"/>
        <n v="1672.0"/>
        <n v="73.0"/>
        <n v="1392.0"/>
        <n v="706.0"/>
        <n v="585.0"/>
        <n v="237.0"/>
        <n v="540.0"/>
        <n v="153.0"/>
        <n v="1232.0"/>
        <n v="776.0"/>
        <n v="184.0"/>
        <n v="1818.0"/>
        <n v="256.0"/>
        <n v="3769.0"/>
        <n v="313.0"/>
        <n v="374.0"/>
        <n v="1100.0"/>
        <n v="361.0"/>
        <n v="1513.0"/>
        <n v="1805.0"/>
        <n v="476.0"/>
        <n v="556.0"/>
        <n v="1311.0"/>
        <n v="1820.0"/>
        <n v="1533.0"/>
        <n v="586.0"/>
        <n v="772.0"/>
        <n v="48.0"/>
        <n v="648.0"/>
        <n v="101.0"/>
        <n v="3110.0"/>
        <n v="429.0"/>
        <n v="3091.0"/>
        <n v="2266.0"/>
        <n v="11.0"/>
        <n v="1304.0"/>
        <n v="3115.0"/>
        <n v="1064.0"/>
        <n v="685.0"/>
        <n v="56.0"/>
        <n v="758.0"/>
        <n v="2898.0"/>
        <n v="366.0"/>
        <n v="20.0"/>
        <n v="906.0"/>
        <n v="592.0"/>
        <n v="1650.0"/>
        <n v="2180.0"/>
        <n v="1.0"/>
        <n v="1335.0"/>
        <n v="1354.0"/>
        <n v="1236.0"/>
        <n v="1046.0"/>
        <n v="1796.0"/>
        <n v="911.0"/>
        <n v="2393.0"/>
        <n v="2348.0"/>
        <n v="1657.0"/>
        <n v="1041.0"/>
        <n v="14.0"/>
        <n v="59.0"/>
        <n v="344.0"/>
        <n v="19.0"/>
        <n v="686.0"/>
        <n v="314.0"/>
        <n v="3067.0"/>
        <n v="3005.0"/>
        <n v="1070.0"/>
        <n v="2125.0"/>
        <n v="1655.0"/>
        <n v="1665.0"/>
        <n v="529.0"/>
        <n v="50.0"/>
        <n v="160.0"/>
        <n v="1192.0"/>
        <n v="1443.0"/>
        <n v="262.0"/>
        <n v="3.0"/>
        <n v="588.0"/>
        <n v="2009.0"/>
        <n v="536.0"/>
        <n v="2868.0"/>
        <n v="6.0"/>
        <n v="3040.0"/>
        <n v="15.0"/>
        <n v="2967.0"/>
        <n v="2927.0"/>
        <n v="449.0"/>
        <n v="1985.0"/>
        <n v="873.0"/>
        <n v="3289.0"/>
        <n v="2096.0"/>
        <n v="692.0"/>
        <n v="1322.0"/>
        <n v="1592.0"/>
        <n v="1866.0"/>
        <n v="1163.0"/>
        <n v="275.0"/>
        <n v="1377.0"/>
        <n v="300.0"/>
        <n v="359.0"/>
        <n v="2873.0"/>
        <n v="163.0"/>
        <n v="1700.0"/>
        <n v="490.0"/>
        <n v="522.0"/>
        <n v="865.0"/>
        <n v="1502.0"/>
        <n v="392.0"/>
        <n v="459.0"/>
        <n v="1589.0"/>
        <n v="501.0"/>
        <n v="571.0"/>
        <n v="471.0"/>
        <n v="546.0"/>
        <n v="410.0"/>
        <n v="799.0"/>
        <n v="1188.0"/>
        <n v="360.0"/>
        <n v="479.0"/>
        <n v="68.0"/>
        <n v="385.0"/>
        <n v="2137.0"/>
        <n v="2043.0"/>
        <n v="1599.0"/>
        <n v="1291.0"/>
        <n v="1872.0"/>
        <n v="3509.0"/>
        <n v="1122.0"/>
        <n v="752.0"/>
        <n v="558.0"/>
        <n v="1211.0"/>
        <n v="1012.0"/>
        <n v="786.0"/>
        <n v="1242.0"/>
        <n v="27.0"/>
        <n v="90.0"/>
        <n v="784.0"/>
        <n v="987.0"/>
        <n v="480.0"/>
        <n v="77.0"/>
        <n v="247.0"/>
        <n v="1233.0"/>
        <n v="25.0"/>
        <n v="1259.0"/>
        <n v="927.0"/>
        <n v="1822.0"/>
        <n v="1112.0"/>
        <n v="2513.0"/>
        <n v="2.0"/>
        <n v="49.0"/>
        <n v="255.0"/>
        <n v="24.0"/>
        <n v="2104.0"/>
        <n v="249.0"/>
        <n v="431.0"/>
        <n v="1595.0"/>
        <n v="44.0"/>
        <n v="467.0"/>
        <n v="921.0"/>
        <n v="1045.0"/>
        <n v="354.0"/>
        <n v="405.0"/>
        <n v="956.0"/>
      </sharedItems>
    </cacheField>
    <cacheField name="dx_Skin" numFmtId="0">
      <sharedItems containsString="0" containsBlank="1" containsNumber="1" containsInteger="1">
        <n v="73.0"/>
        <n v="161.0"/>
        <n v="149.0"/>
        <m/>
        <n v="291.0"/>
        <n v="15.0"/>
        <n v="89.0"/>
        <n v="57.0"/>
        <n v="252.0"/>
        <n v="66.0"/>
        <n v="69.0"/>
        <n v="120.0"/>
        <n v="233.0"/>
        <n v="136.0"/>
        <n v="35.0"/>
        <n v="18.0"/>
        <n v="112.0"/>
        <n v="257.0"/>
        <n v="38.0"/>
        <n v="29.0"/>
        <n v="150.0"/>
        <n v="91.0"/>
        <n v="259.0"/>
        <n v="200.0"/>
        <n v="174.0"/>
        <n v="65.0"/>
        <n v="111.0"/>
        <n v="48.0"/>
        <n v="40.0"/>
        <n v="102.0"/>
        <n v="325.0"/>
        <n v="52.0"/>
        <n v="659.0"/>
        <n v="8.0"/>
        <n v="426.0"/>
        <n v="3.0"/>
        <n v="27.0"/>
        <n v="6.0"/>
        <n v="36.0"/>
        <n v="154.0"/>
        <n v="110.0"/>
        <n v="94.0"/>
        <n v="19.0"/>
        <n v="34.0"/>
        <n v="159.0"/>
        <n v="231.0"/>
        <n v="22.0"/>
        <n v="124.0"/>
        <n v="62.0"/>
        <n v="328.0"/>
        <n v="1.0"/>
        <n v="32.0"/>
        <n v="99.0"/>
        <n v="55.0"/>
        <n v="37.0"/>
        <n v="85.0"/>
        <n v="194.0"/>
        <n v="25.0"/>
        <n v="10.0"/>
        <n v="156.0"/>
        <n v="175.0"/>
        <n v="191.0"/>
        <n v="28.0"/>
        <n v="138.0"/>
        <n v="271.0"/>
        <n v="71.0"/>
        <n v="20.0"/>
        <n v="78.0"/>
        <n v="250.0"/>
        <n v="104.0"/>
        <n v="144.0"/>
        <n v="166.0"/>
        <n v="67.0"/>
        <n v="42.0"/>
        <n v="130.0"/>
        <n v="77.0"/>
        <n v="201.0"/>
        <n v="30.0"/>
        <n v="190.0"/>
        <n v="185.0"/>
        <n v="145.0"/>
        <n v="421.0"/>
        <n v="125.0"/>
        <n v="501.0"/>
        <n v="157.0"/>
        <n v="68.0"/>
        <n v="70.0"/>
        <n v="45.0"/>
        <n v="294.0"/>
        <n v="100.0"/>
        <n v="171.0"/>
        <n v="129.0"/>
        <n v="75.0"/>
        <n v="229.0"/>
        <n v="165.0"/>
        <n v="611.0"/>
        <n v="90.0"/>
        <n v="93.0"/>
        <n v="31.0"/>
        <n v="170.0"/>
        <n v="310.0"/>
        <n v="126.0"/>
        <n v="247.0"/>
        <n v="74.0"/>
        <n v="107.0"/>
        <n v="228.0"/>
        <n v="184.0"/>
        <n v="245.0"/>
        <n v="87.0"/>
        <n v="11.0"/>
        <n v="135.0"/>
        <n v="238.0"/>
        <n v="118.0"/>
        <n v="131.0"/>
        <n v="12.0"/>
        <n v="352.0"/>
        <n v="700.0"/>
        <n v="188.0"/>
        <n v="226.0"/>
        <n v="53.0"/>
        <n v="167.0"/>
        <n v="193.0"/>
        <n v="56.0"/>
        <n v="44.0"/>
        <n v="17.0"/>
        <n v="23.0"/>
        <n v="181.0"/>
        <n v="9.0"/>
        <n v="13.0"/>
        <n v="304.0"/>
        <n v="216.0"/>
        <n v="84.0"/>
        <n v="49.0"/>
        <n v="221.0"/>
        <n v="153.0"/>
        <n v="115.0"/>
        <n v="7.0"/>
        <n v="299.0"/>
        <n v="64.0"/>
        <n v="436.0"/>
        <n v="60.0"/>
        <n v="54.0"/>
        <n v="225.0"/>
        <n v="113.0"/>
        <n v="222.0"/>
        <n v="123.0"/>
        <n v="300.0"/>
        <n v="437.0"/>
        <n v="243.0"/>
        <n v="21.0"/>
        <n v="214.0"/>
        <n v="88.0"/>
        <n v="279.0"/>
        <n v="220.0"/>
        <n v="337.0"/>
        <n v="155.0"/>
        <n v="235.0"/>
        <n v="465.0"/>
        <n v="187.0"/>
        <n v="389.0"/>
        <n v="360.0"/>
        <n v="14.0"/>
        <n v="33.0"/>
        <n v="51.0"/>
        <n v="311.0"/>
        <n v="431.0"/>
        <n v="315.0"/>
        <n v="2.0"/>
        <n v="202.0"/>
        <n v="244.0"/>
        <n v="199.0"/>
        <n v="223.0"/>
        <n v="318.0"/>
        <n v="464.0"/>
        <n v="617.0"/>
        <n v="371.0"/>
        <n v="606.0"/>
        <n v="469.0"/>
        <n v="287.0"/>
        <n v="117.0"/>
        <n v="253.0"/>
        <n v="39.0"/>
        <n v="305.0"/>
        <n v="564.0"/>
        <n v="80.0"/>
        <n v="409.0"/>
        <n v="127.0"/>
        <n v="128.0"/>
        <n v="182.0"/>
        <n v="50.0"/>
        <n v="79.0"/>
        <n v="61.0"/>
        <n v="59.0"/>
        <n v="179.0"/>
        <n v="285.0"/>
        <n v="376.0"/>
        <n v="357.0"/>
        <n v="92.0"/>
        <n v="142.0"/>
        <n v="76.0"/>
        <n v="224.0"/>
        <n v="211.0"/>
        <n v="140.0"/>
        <n v="152.0"/>
        <n v="83.0"/>
        <n v="215.0"/>
        <n v="103.0"/>
      </sharedItems>
    </cacheField>
    <cacheField name="dx_Musculoskeletal" numFmtId="0">
      <sharedItems containsString="0" containsBlank="1" containsNumber="1" containsInteger="1">
        <n v="135.0"/>
        <n v="562.0"/>
        <n v="294.0"/>
        <m/>
        <n v="374.0"/>
        <n v="13.0"/>
        <n v="372.0"/>
        <n v="209.0"/>
        <n v="419.0"/>
        <n v="312.0"/>
        <n v="51.0"/>
        <n v="291.0"/>
        <n v="1317.0"/>
        <n v="282.0"/>
        <n v="96.0"/>
        <n v="29.0"/>
        <n v="496.0"/>
        <n v="794.0"/>
        <n v="28.0"/>
        <n v="21.0"/>
        <n v="88.0"/>
        <n v="87.0"/>
        <n v="1681.0"/>
        <n v="139.0"/>
        <n v="651.0"/>
        <n v="337.0"/>
        <n v="146.0"/>
        <n v="70.0"/>
        <n v="112.0"/>
        <n v="177.0"/>
        <n v="381.0"/>
        <n v="23.0"/>
        <n v="1188.0"/>
        <n v="522.0"/>
        <n v="155.0"/>
        <n v="722.0"/>
        <n v="173.0"/>
        <n v="5.0"/>
        <n v="26.0"/>
        <n v="3.0"/>
        <n v="16.0"/>
        <n v="325.0"/>
        <n v="65.0"/>
        <n v="102.0"/>
        <n v="64.0"/>
        <n v="604.0"/>
        <n v="292.0"/>
        <n v="7.0"/>
        <n v="346.0"/>
        <n v="14.0"/>
        <n v="44.0"/>
        <n v="425.0"/>
        <n v="15.0"/>
        <n v="110.0"/>
        <n v="24.0"/>
        <n v="9.0"/>
        <n v="176.0"/>
        <n v="59.0"/>
        <n v="18.0"/>
        <n v="157.0"/>
        <n v="10.0"/>
        <n v="183.0"/>
        <n v="460.0"/>
        <n v="342.0"/>
        <n v="461.0"/>
        <n v="334.0"/>
        <n v="772.0"/>
        <n v="687.0"/>
        <n v="143.0"/>
        <n v="220.0"/>
        <n v="329.0"/>
        <n v="187.0"/>
        <n v="56.0"/>
        <n v="114.0"/>
        <n v="287.0"/>
        <n v="784.0"/>
        <n v="22.0"/>
        <n v="123.0"/>
        <n v="646.0"/>
        <n v="657.0"/>
        <n v="558.0"/>
        <n v="1580.0"/>
        <n v="205.0"/>
        <n v="1876.0"/>
        <n v="1150.0"/>
        <n v="286.0"/>
        <n v="163.0"/>
        <n v="180.0"/>
        <n v="30.0"/>
        <n v="658.0"/>
        <n v="352.0"/>
        <n v="129.0"/>
        <n v="370.0"/>
        <n v="623.0"/>
        <n v="1050.0"/>
        <n v="755.0"/>
        <n v="74.0"/>
        <n v="2.0"/>
        <n v="2499.0"/>
        <n v="458.0"/>
        <n v="766.0"/>
        <n v="547.0"/>
        <n v="194.0"/>
        <n v="115.0"/>
        <n v="469.0"/>
        <n v="1210.0"/>
        <n v="49.0"/>
        <n v="192.0"/>
        <n v="1745.0"/>
        <n v="440.0"/>
        <n v="426.0"/>
        <n v="725.0"/>
        <n v="47.0"/>
        <n v="255.0"/>
        <n v="656.0"/>
        <n v="132.0"/>
        <n v="335.0"/>
        <n v="650.0"/>
        <n v="786.0"/>
        <n v="101.0"/>
        <n v="253.0"/>
        <n v="174.0"/>
        <n v="423.0"/>
        <n v="904.0"/>
        <n v="168.0"/>
        <n v="746.0"/>
        <n v="4.0"/>
        <n v="422.0"/>
        <n v="35.0"/>
        <n v="31.0"/>
        <n v="336.0"/>
        <n v="53.0"/>
        <n v="428.0"/>
        <n v="215.0"/>
        <n v="1.0"/>
        <n v="58.0"/>
        <n v="1004.0"/>
        <n v="8.0"/>
        <n v="417.0"/>
        <n v="153.0"/>
        <n v="365.0"/>
        <n v="614.0"/>
        <n v="83.0"/>
        <n v="390.0"/>
        <n v="570.0"/>
        <n v="820.0"/>
        <n v="84.0"/>
        <n v="258.0"/>
        <n v="33.0"/>
        <n v="569.0"/>
        <n v="853.0"/>
        <n v="94.0"/>
        <n v="399.0"/>
        <n v="128.0"/>
        <n v="1195.0"/>
        <n v="394.0"/>
        <n v="134.0"/>
        <n v="6.0"/>
        <n v="1330.0"/>
        <n v="1447.0"/>
        <n v="116.0"/>
        <n v="1213.0"/>
        <n v="288.0"/>
        <n v="408.0"/>
        <n v="1530.0"/>
        <n v="154.0"/>
        <n v="67.0"/>
        <n v="85.0"/>
        <n v="1010.0"/>
        <n v="181.0"/>
        <n v="43.0"/>
        <n v="487.0"/>
        <n v="641.0"/>
        <n v="366.0"/>
        <n v="293.0"/>
        <n v="17.0"/>
        <n v="1306.0"/>
        <n v="838.0"/>
        <n v="643.0"/>
        <n v="285.0"/>
        <n v="1141.0"/>
        <n v="1455.0"/>
        <n v="343.0"/>
        <n v="264.0"/>
        <n v="52.0"/>
        <n v="919.0"/>
        <n v="938.0"/>
        <n v="829.0"/>
        <n v="306.0"/>
        <n v="407.0"/>
        <n v="41.0"/>
        <n v="226.0"/>
        <n v="321.0"/>
        <n v="25.0"/>
        <n v="324.0"/>
        <n v="704.0"/>
        <n v="239.0"/>
        <n v="1235.0"/>
        <n v="1204.0"/>
        <n v="1274.0"/>
        <n v="1060.0"/>
        <n v="978.0"/>
        <n v="415.0"/>
        <n v="1678.0"/>
        <n v="141.0"/>
        <n v="1543.0"/>
        <n v="791.0"/>
        <n v="20.0"/>
        <n v="37.0"/>
        <n v="320.0"/>
        <n v="361.0"/>
        <n v="470.0"/>
        <n v="170.0"/>
        <n v="377.0"/>
        <n v="3052.0"/>
        <n v="48.0"/>
        <n v="359.0"/>
        <n v="648.0"/>
        <n v="100.0"/>
        <n v="99.0"/>
        <n v="318.0"/>
        <n v="191.0"/>
        <n v="42.0"/>
        <n v="144.0"/>
        <n v="244.0"/>
        <n v="185.0"/>
        <n v="137.0"/>
        <n v="113.0"/>
        <n v="620.0"/>
        <n v="484.0"/>
        <n v="289.0"/>
        <n v="356.0"/>
        <n v="573.0"/>
        <n v="696.0"/>
        <n v="302.0"/>
        <n v="895.0"/>
        <n v="511.0"/>
        <n v="277.0"/>
        <n v="465.0"/>
        <n v="2134.0"/>
        <n v="780.0"/>
        <n v="36.0"/>
        <n v="347.0"/>
        <n v="89.0"/>
        <n v="518.0"/>
        <n v="521.0"/>
        <n v="68.0"/>
        <n v="86.0"/>
        <n v="71.0"/>
        <n v="354.0"/>
        <n v="290.0"/>
        <n v="567.0"/>
        <n v="38.0"/>
        <n v="281.0"/>
        <n v="596.0"/>
        <n v="541.0"/>
        <n v="757.0"/>
        <n v="40.0"/>
        <n v="12.0"/>
        <n v="825.0"/>
        <n v="69.0"/>
        <n v="217.0"/>
        <n v="736.0"/>
        <n v="1173.0"/>
        <n v="223.0"/>
        <n v="212.0"/>
        <n v="46.0"/>
      </sharedItems>
    </cacheField>
    <cacheField name="dx_Genitourinary" numFmtId="0">
      <sharedItems containsString="0" containsBlank="1" containsNumber="1" containsInteger="1">
        <n v="151.0"/>
        <n v="317.0"/>
        <n v="209.0"/>
        <m/>
        <n v="592.0"/>
        <n v="10.0"/>
        <n v="513.0"/>
        <n v="248.0"/>
        <n v="607.0"/>
        <n v="283.0"/>
        <n v="233.0"/>
        <n v="357.0"/>
        <n v="658.0"/>
        <n v="411.0"/>
        <n v="61.0"/>
        <n v="17.0"/>
        <n v="582.0"/>
        <n v="1072.0"/>
        <n v="40.0"/>
        <n v="46.0"/>
        <n v="242.0"/>
        <n v="307.0"/>
        <n v="816.0"/>
        <n v="481.0"/>
        <n v="826.0"/>
        <n v="162.0"/>
        <n v="330.0"/>
        <n v="54.0"/>
        <n v="211.0"/>
        <n v="1204.0"/>
        <n v="102.0"/>
        <n v="1839.0"/>
        <n v="63.0"/>
        <n v="1665.0"/>
        <n v="3.0"/>
        <n v="24.0"/>
        <n v="390.0"/>
        <n v="38.0"/>
        <n v="35.0"/>
        <n v="27.0"/>
        <n v="289.0"/>
        <n v="346.0"/>
        <n v="187.0"/>
        <n v="22.0"/>
        <n v="1.0"/>
        <n v="99.0"/>
        <n v="676.0"/>
        <n v="430.0"/>
        <n v="28.0"/>
        <n v="707.0"/>
        <n v="104.0"/>
        <n v="757.0"/>
        <n v="75.0"/>
        <n v="546.0"/>
        <n v="59.0"/>
        <n v="65.0"/>
        <n v="282.0"/>
        <n v="825.0"/>
        <n v="56.0"/>
        <n v="9.0"/>
        <n v="487.0"/>
        <n v="661.0"/>
        <n v="433.0"/>
        <n v="779.0"/>
        <n v="76.0"/>
        <n v="563.0"/>
        <n v="608.0"/>
        <n v="178.0"/>
        <n v="47.0"/>
        <n v="184.0"/>
        <n v="477.0"/>
        <n v="398.0"/>
        <n v="494.0"/>
        <n v="657.0"/>
        <n v="154.0"/>
        <n v="127.0"/>
        <n v="415.0"/>
        <n v="524.0"/>
        <n v="914.0"/>
        <n v="106.0"/>
        <n v="263.0"/>
        <n v="589.0"/>
        <n v="1102.0"/>
        <n v="569.0"/>
        <n v="1112.0"/>
        <n v="400.0"/>
        <n v="1533.0"/>
        <n v="686.0"/>
        <n v="534.0"/>
        <n v="329.0"/>
        <n v="93.0"/>
        <n v="1008.0"/>
        <n v="288.0"/>
        <n v="692.0"/>
        <n v="385.0"/>
        <n v="468.0"/>
        <n v="276.0"/>
        <n v="738.0"/>
        <n v="5.0"/>
        <n v="2046.0"/>
        <n v="274.0"/>
        <n v="169.0"/>
        <n v="50.0"/>
        <n v="793.0"/>
        <n v="1285.0"/>
        <n v="696.0"/>
        <n v="215.0"/>
        <n v="308.0"/>
        <n v="674.0"/>
        <n v="137.0"/>
        <n v="243.0"/>
        <n v="609.0"/>
        <n v="488.0"/>
        <n v="867.0"/>
        <n v="141.0"/>
        <n v="955.0"/>
        <n v="646.0"/>
        <n v="366.0"/>
        <n v="536.0"/>
        <n v="735.0"/>
        <n v="387.0"/>
        <n v="2.0"/>
        <n v="622.0"/>
        <n v="100.0"/>
        <n v="1962.0"/>
        <n v="580.0"/>
        <n v="877.0"/>
        <n v="85.0"/>
        <n v="356.0"/>
        <n v="551.0"/>
        <n v="367.0"/>
        <n v="202.0"/>
        <n v="617.0"/>
        <n v="25.0"/>
        <n v="501.0"/>
        <n v="194.0"/>
        <n v="328.0"/>
        <n v="157.0"/>
        <n v="363.0"/>
        <n v="91.0"/>
        <n v="224.0"/>
        <n v="643.0"/>
        <n v="15.0"/>
        <n v="598.0"/>
        <n v="29.0"/>
        <n v="719.0"/>
        <n v="259.0"/>
        <n v="338.0"/>
        <n v="206.0"/>
        <n v="19.0"/>
        <n v="431.0"/>
        <n v="511.0"/>
        <n v="318.0"/>
        <n v="87.0"/>
        <n v="744.0"/>
        <n v="1361.0"/>
        <n v="109.0"/>
        <n v="155.0"/>
        <n v="558.0"/>
        <n v="129.0"/>
        <n v="555.0"/>
        <n v="795.0"/>
        <n v="176.0"/>
        <n v="428.0"/>
        <n v="66.0"/>
        <n v="895.0"/>
        <n v="635.0"/>
        <n v="226.0"/>
        <n v="313.0"/>
        <n v="62.0"/>
        <n v="343.0"/>
        <n v="21.0"/>
        <n v="835.0"/>
        <n v="144.0"/>
        <n v="1048.0"/>
        <n v="626.0"/>
        <n v="585.0"/>
        <n v="679.0"/>
        <n v="1258.0"/>
        <n v="506.0"/>
        <n v="364.0"/>
        <n v="250.0"/>
        <n v="1176.0"/>
        <n v="89.0"/>
        <n v="180.0"/>
        <n v="875.0"/>
        <n v="1058.0"/>
        <n v="560.0"/>
        <n v="463.0"/>
        <n v="625.0"/>
        <n v="1105.0"/>
        <n v="616.0"/>
        <n v="1094.0"/>
        <n v="485.0"/>
        <n v="4.0"/>
        <n v="138.0"/>
        <n v="1046.0"/>
        <n v="1241.0"/>
        <n v="13.0"/>
        <n v="483.0"/>
        <n v="982.0"/>
        <n v="304.0"/>
        <n v="987.0"/>
        <n v="1005.0"/>
        <n v="32.0"/>
        <n v="108.0"/>
        <n v="581.0"/>
        <n v="8.0"/>
        <n v="652.0"/>
        <n v="94.0"/>
        <n v="294.0"/>
        <n v="319.0"/>
        <n v="529.0"/>
        <n v="1194.0"/>
        <n v="64.0"/>
        <n v="1362.0"/>
        <n v="827.0"/>
        <n v="1118.0"/>
        <n v="245.0"/>
        <n v="421.0"/>
        <n v="1370.0"/>
        <n v="932.0"/>
        <n v="286.0"/>
        <n v="355.0"/>
        <n v="610.0"/>
        <n v="23.0"/>
        <n v="829.0"/>
        <n v="51.0"/>
        <n v="413.0"/>
        <n v="11.0"/>
        <n v="192.0"/>
        <n v="519.0"/>
        <n v="156.0"/>
        <n v="1243.0"/>
        <n v="101.0"/>
        <n v="258.0"/>
        <n v="164.0"/>
        <n v="418.0"/>
        <n v="535.0"/>
        <n v="990.0"/>
        <n v="606.0"/>
        <n v="161.0"/>
        <n v="193.0"/>
        <n v="163.0"/>
        <n v="310.0"/>
        <n v="475.0"/>
        <n v="133.0"/>
        <n v="55.0"/>
        <n v="726.0"/>
        <n v="952.0"/>
        <n v="482.0"/>
        <n v="833.0"/>
        <n v="1195.0"/>
        <n v="261.0"/>
        <n v="168.0"/>
        <n v="540.0"/>
        <n v="188.0"/>
        <n v="16.0"/>
        <n v="44.0"/>
        <n v="207.0"/>
        <n v="510.0"/>
        <n v="170.0"/>
        <n v="182.0"/>
        <n v="542.0"/>
        <n v="42.0"/>
        <n v="306.0"/>
        <n v="1039.0"/>
        <n v="333.0"/>
        <n v="924.0"/>
        <n v="39.0"/>
        <n v="152.0"/>
        <n v="26.0"/>
        <n v="382.0"/>
        <n v="110.0"/>
        <n v="660.0"/>
        <n v="798.0"/>
        <n v="231.0"/>
        <n v="474.0"/>
        <n v="525.0"/>
        <n v="131.0"/>
        <n v="521.0"/>
      </sharedItems>
    </cacheField>
    <cacheField name="dx_Pregnancy_Childbirth" numFmtId="0">
      <sharedItems containsString="0" containsBlank="1" containsNumber="1" containsInteger="1">
        <m/>
        <n v="4719.0"/>
        <n v="1634.0"/>
        <n v="14.0"/>
        <n v="352.0"/>
        <n v="1532.0"/>
        <n v="1376.0"/>
        <n v="15.0"/>
        <n v="1253.0"/>
        <n v="2816.0"/>
        <n v="4047.0"/>
        <n v="249.0"/>
        <n v="573.0"/>
        <n v="2019.0"/>
        <n v="1938.0"/>
        <n v="468.0"/>
        <n v="3213.0"/>
        <n v="3244.0"/>
        <n v="12.0"/>
        <n v="259.0"/>
        <n v="1963.0"/>
        <n v="258.0"/>
        <n v="302.0"/>
        <n v="385.0"/>
        <n v="4921.0"/>
        <n v="5097.0"/>
        <n v="1308.0"/>
        <n v="4318.0"/>
        <n v="1866.0"/>
        <n v="405.0"/>
        <n v="807.0"/>
        <n v="808.0"/>
        <n v="1877.0"/>
        <n v="213.0"/>
        <n v="648.0"/>
        <n v="3869.0"/>
        <n v="2619.0"/>
        <n v="2542.0"/>
        <n v="456.0"/>
        <n v="2300.0"/>
        <n v="2413.0"/>
        <n v="169.0"/>
        <n v="268.0"/>
        <n v="212.0"/>
        <n v="3446.0"/>
        <n v="1496.0"/>
        <n v="498.0"/>
        <n v="3009.0"/>
        <n v="858.0"/>
        <n v="21.0"/>
        <n v="1101.0"/>
        <n v="20.0"/>
        <n v="62.0"/>
        <n v="381.0"/>
        <n v="1315.0"/>
        <n v="1628.0"/>
        <n v="3990.0"/>
        <n v="3105.0"/>
        <n v="1618.0"/>
        <n v="3317.0"/>
        <n v="2459.0"/>
        <n v="2897.0"/>
        <n v="2430.0"/>
        <n v="2514.0"/>
        <n v="2077.0"/>
        <n v="2905.0"/>
        <n v="2544.0"/>
        <n v="1362.0"/>
        <n v="130.0"/>
        <n v="1239.0"/>
        <n v="22.0"/>
        <n v="6663.0"/>
        <n v="941.0"/>
        <n v="5363.0"/>
        <n v="2214.0"/>
        <n v="3407.0"/>
        <n v="397.0"/>
        <n v="1462.0"/>
        <n v="2949.0"/>
        <n v="2138.0"/>
        <n v="2192.0"/>
        <n v="1819.0"/>
        <n v="2851.0"/>
        <n v="662.0"/>
        <n v="4226.0"/>
        <n v="1138.0"/>
        <n v="1620.0"/>
        <n v="1323.0"/>
        <n v="1680.0"/>
        <n v="673.0"/>
        <n v="1067.0"/>
        <n v="1922.0"/>
        <n v="3401.0"/>
        <n v="6306.0"/>
        <n v="4263.0"/>
        <n v="897.0"/>
        <n v="732.0"/>
        <n v="1509.0"/>
        <n v="825.0"/>
        <n v="611.0"/>
        <n v="2429.0"/>
        <n v="1185.0"/>
        <n v="1665.0"/>
        <n v="2712.0"/>
        <n v="741.0"/>
        <n v="396.0"/>
        <n v="1880.0"/>
        <n v="1087.0"/>
        <n v="1740.0"/>
        <n v="23.0"/>
        <n v="8311.0"/>
        <n v="11.0"/>
        <n v="408.0"/>
        <n v="2006.0"/>
        <n v="2021.0"/>
        <n v="4863.0"/>
        <n v="2382.0"/>
        <n v="16.0"/>
        <n v="1989.0"/>
        <n v="6899.0"/>
        <n v="2652.0"/>
        <n v="7396.0"/>
        <n v="1098.0"/>
        <n v="2130.0"/>
        <n v="1317.0"/>
        <n v="1708.0"/>
        <n v="76.0"/>
        <n v="1219.0"/>
        <n v="4006.0"/>
        <n v="210.0"/>
        <n v="3409.0"/>
        <n v="1643.0"/>
        <n v="3356.0"/>
        <n v="2032.0"/>
        <n v="1703.0"/>
        <n v="36.0"/>
        <n v="983.0"/>
        <n v="1796.0"/>
        <n v="1373.0"/>
        <n v="2267.0"/>
        <n v="6305.0"/>
        <n v="2991.0"/>
        <n v="667.0"/>
        <n v="469.0"/>
        <n v="18.0"/>
        <n v="420.0"/>
        <n v="7640.0"/>
        <n v="159.0"/>
        <n v="1726.0"/>
        <n v="1993.0"/>
        <n v="1912.0"/>
        <n v="1277.0"/>
        <n v="1767.0"/>
        <n v="322.0"/>
        <n v="549.0"/>
        <n v="2504.0"/>
        <n v="219.0"/>
        <n v="4944.0"/>
        <n v="85.0"/>
        <n v="7785.0"/>
        <n v="3214.0"/>
        <n v="5267.0"/>
        <n v="4391.0"/>
        <n v="13.0"/>
        <n v="3682.0"/>
        <n v="730.0"/>
        <n v="5328.0"/>
        <n v="2984.0"/>
        <n v="821.0"/>
        <n v="1871.0"/>
        <n v="3911.0"/>
        <n v="2618.0"/>
        <n v="1559.0"/>
        <n v="3048.0"/>
        <n v="3954.0"/>
        <n v="1001.0"/>
        <n v="2025.0"/>
        <n v="3570.0"/>
        <n v="488.0"/>
        <n v="429.0"/>
        <n v="4221.0"/>
        <n v="716.0"/>
        <n v="1068.0"/>
        <n v="631.0"/>
        <n v="1151.0"/>
        <n v="2204.0"/>
        <n v="344.0"/>
        <n v="3658.0"/>
        <n v="2023.0"/>
        <n v="24.0"/>
        <n v="5319.0"/>
        <n v="2221.0"/>
        <n v="1248.0"/>
        <n v="3167.0"/>
        <n v="149.0"/>
        <n v="2437.0"/>
        <n v="5325.0"/>
        <n v="355.0"/>
        <n v="4603.0"/>
        <n v="952.0"/>
        <n v="751.0"/>
        <n v="929.0"/>
        <n v="1815.0"/>
        <n v="125.0"/>
        <n v="184.0"/>
        <n v="1667.0"/>
        <n v="1758.0"/>
        <n v="1437.0"/>
        <n v="382.0"/>
        <n v="593.0"/>
        <n v="2095.0"/>
        <n v="1677.0"/>
        <n v="3808.0"/>
        <n v="1226.0"/>
        <n v="1656.0"/>
        <n v="592.0"/>
        <n v="4837.0"/>
        <n v="1371.0"/>
        <n v="265.0"/>
        <n v="529.0"/>
        <n v="3053.0"/>
        <n v="1948.0"/>
        <n v="538.0"/>
        <n v="1218.0"/>
        <n v="586.0"/>
        <n v="1204.0"/>
        <n v="1872.0"/>
      </sharedItems>
    </cacheField>
    <cacheField name="dx_Certain_Perinatal_Conditions" numFmtId="0">
      <sharedItems containsString="0" containsBlank="1" containsNumber="1" containsInteger="1">
        <m/>
        <n v="4309.0"/>
        <n v="410.0"/>
        <n v="1438.0"/>
        <n v="315.0"/>
        <n v="1537.0"/>
        <n v="1347.0"/>
        <n v="1194.0"/>
        <n v="2684.0"/>
        <n v="3910.0"/>
        <n v="239.0"/>
        <n v="481.0"/>
        <n v="2010.0"/>
        <n v="1881.0"/>
        <n v="449.0"/>
        <n v="3150.0"/>
        <n v="3132.0"/>
        <n v="251.0"/>
        <n v="1878.0"/>
        <n v="252.0"/>
        <n v="307.0"/>
        <n v="366.0"/>
        <n v="4632.0"/>
        <n v="4246.0"/>
        <n v="1263.0"/>
        <n v="3974.0"/>
        <n v="1841.0"/>
        <n v="405.0"/>
        <n v="762.0"/>
        <n v="771.0"/>
        <n v="1826.0"/>
        <n v="221.0"/>
        <n v="618.0"/>
        <n v="3912.0"/>
        <n v="2567.0"/>
        <n v="2359.0"/>
        <n v="423.0"/>
        <n v="2163.0"/>
        <n v="2272.0"/>
        <n v="161.0"/>
        <n v="260.0"/>
        <n v="203.0"/>
        <n v="3349.0"/>
        <n v="1382.0"/>
        <n v="420.0"/>
        <n v="2648.0"/>
        <n v="445.0"/>
        <n v="981.0"/>
        <n v="375.0"/>
        <n v="1248.0"/>
        <n v="1523.0"/>
        <n v="3745.0"/>
        <n v="2847.0"/>
        <n v="1556.0"/>
        <n v="3138.0"/>
        <n v="2330.0"/>
        <n v="2762.0"/>
        <n v="2379.0"/>
        <n v="2431.0"/>
        <n v="1949.0"/>
        <n v="2782.0"/>
        <n v="2501.0"/>
        <n v="1278.0"/>
        <n v="1183.0"/>
        <n v="6363.0"/>
        <n v="896.0"/>
        <n v="5112.0"/>
        <n v="2058.0"/>
        <n v="3286.0"/>
        <n v="364.0"/>
        <n v="1579.0"/>
        <n v="2789.0"/>
        <n v="2072.0"/>
        <n v="2127.0"/>
        <n v="1722.0"/>
        <n v="2473.0"/>
        <n v="638.0"/>
        <n v="1071.0"/>
        <n v="1532.0"/>
        <n v="1130.0"/>
        <n v="1333.0"/>
        <n v="522.0"/>
        <n v="979.0"/>
        <n v="1862.0"/>
        <n v="3331.0"/>
        <n v="6071.0"/>
        <n v="4174.0"/>
        <n v="793.0"/>
        <n v="721.0"/>
        <n v="914.0"/>
        <n v="1470.0"/>
        <n v="2274.0"/>
        <n v="1122.0"/>
        <n v="1572.0"/>
        <n v="2613.0"/>
        <n v="707.0"/>
        <n v="350.0"/>
        <n v="390.0"/>
        <n v="935.0"/>
        <n v="1804.0"/>
        <n v="1027.0"/>
        <n v="1699.0"/>
        <n v="7933.0"/>
        <n v="2093.0"/>
        <n v="1667.0"/>
        <n v="1946.0"/>
        <n v="4443.0"/>
        <n v="2312.0"/>
        <n v="1853.0"/>
        <n v="264.0"/>
        <n v="6646.0"/>
        <n v="2565.0"/>
        <n v="7112.0"/>
        <n v="14.0"/>
        <n v="1044.0"/>
        <n v="2079.0"/>
        <n v="1239.0"/>
        <n v="288.0"/>
        <n v="1512.0"/>
        <n v="56.0"/>
        <n v="1197.0"/>
        <n v="3754.0"/>
        <n v="181.0"/>
        <n v="3434.0"/>
        <n v="1525.0"/>
        <n v="3218.0"/>
        <n v="1840.0"/>
        <n v="1650.0"/>
        <n v="883.0"/>
        <n v="1864.0"/>
        <n v="1284.0"/>
        <n v="2186.0"/>
        <n v="6221.0"/>
        <n v="2780.0"/>
        <n v="641.0"/>
        <n v="461.0"/>
        <n v="321.0"/>
        <n v="7475.0"/>
        <n v="1705.0"/>
        <n v="1886.0"/>
        <n v="1754.0"/>
        <n v="1137.0"/>
        <n v="1695.0"/>
        <n v="1186.0"/>
        <n v="479.0"/>
        <n v="2113.0"/>
        <n v="198.0"/>
        <n v="37.0"/>
        <n v="4553.0"/>
        <n v="2232.0"/>
        <n v="7390.0"/>
        <n v="2932.0"/>
        <n v="5087.0"/>
        <n v="4162.0"/>
        <n v="3564.0"/>
        <n v="794.0"/>
        <n v="4893.0"/>
        <n v="2697.0"/>
        <n v="788.0"/>
        <n v="1802.0"/>
        <n v="3635.0"/>
        <n v="2510.0"/>
        <n v="1314.0"/>
        <n v="2661.0"/>
        <n v="3811.0"/>
        <n v="980.0"/>
        <n v="2014.0"/>
        <n v="3403.0"/>
        <n v="401.0"/>
        <n v="4075.0"/>
        <n v="696.0"/>
        <n v="1094.0"/>
        <n v="610.0"/>
        <n v="1580.0"/>
        <n v="1124.0"/>
        <n v="2170.0"/>
        <n v="334.0"/>
        <n v="3355.0"/>
        <n v="1997.0"/>
        <n v="5068.0"/>
        <n v="2158.0"/>
        <n v="1148.0"/>
        <n v="3110.0"/>
        <n v="2360.0"/>
        <n v="5409.0"/>
        <n v="324.0"/>
        <n v="4425.0"/>
        <n v="936.0"/>
        <n v="744.0"/>
        <n v="911.0"/>
        <n v="1786.0"/>
        <n v="126.0"/>
        <n v="1688.0"/>
        <n v="1707.0"/>
        <n v="1390.0"/>
        <n v="371.0"/>
        <n v="607.0"/>
        <n v="1662.0"/>
        <n v="3677.0"/>
        <n v="1533.0"/>
        <n v="574.0"/>
        <n v="4615.0"/>
        <n v="1363.0"/>
        <n v="237.0"/>
        <n v="507.0"/>
        <n v="2953.0"/>
        <n v="1778.0"/>
        <n v="1741.0"/>
        <n v="510.0"/>
        <n v="1162.0"/>
        <n v="530.0"/>
        <n v="1188.0"/>
      </sharedItems>
    </cacheField>
    <cacheField name="dx_Congenital" numFmtId="0">
      <sharedItems containsString="0" containsBlank="1" containsNumber="1" containsInteger="1">
        <m/>
        <n v="6.0"/>
        <n v="405.0"/>
        <n v="8.0"/>
        <n v="15.0"/>
        <n v="9.0"/>
        <n v="11.0"/>
        <n v="1.0"/>
        <n v="3.0"/>
        <n v="205.0"/>
        <n v="13.0"/>
        <n v="2.0"/>
        <n v="27.0"/>
        <n v="36.0"/>
        <n v="10.0"/>
        <n v="76.0"/>
        <n v="18.0"/>
        <n v="4.0"/>
        <n v="5.0"/>
        <n v="1452.0"/>
        <n v="23.0"/>
        <n v="22.0"/>
        <n v="55.0"/>
        <n v="20.0"/>
        <n v="335.0"/>
        <n v="7.0"/>
        <n v="26.0"/>
        <n v="21.0"/>
        <n v="290.0"/>
        <n v="14.0"/>
        <n v="12.0"/>
        <n v="57.0"/>
        <n v="28.0"/>
        <n v="440.0"/>
        <n v="17.0"/>
        <n v="45.0"/>
        <n v="64.0"/>
        <n v="133.0"/>
        <n v="180.0"/>
        <n v="34.0"/>
        <n v="509.0"/>
        <n v="16.0"/>
        <n v="587.0"/>
        <n v="75.0"/>
        <n v="58.0"/>
        <n v="96.0"/>
        <n v="24.0"/>
        <n v="19.0"/>
        <n v="32.0"/>
        <n v="327.0"/>
        <n v="267.0"/>
        <n v="202.0"/>
        <n v="142.0"/>
        <n v="118.0"/>
        <n v="31.0"/>
        <n v="525.0"/>
        <n v="984.0"/>
        <n v="40.0"/>
        <n v="37.0"/>
        <n v="77.0"/>
        <n v="138.0"/>
        <n v="72.0"/>
        <n v="630.0"/>
        <n v="60.0"/>
        <n v="41.0"/>
        <n v="346.0"/>
        <n v="945.0"/>
        <n v="145.0"/>
        <n v="29.0"/>
        <n v="25.0"/>
      </sharedItems>
    </cacheField>
    <cacheField name="dx_Symptoms_Signs_NEC" numFmtId="0">
      <sharedItems containsString="0" containsBlank="1" containsNumber="1" containsInteger="1">
        <n v="128.0"/>
        <n v="136.0"/>
        <n v="243.0"/>
        <m/>
        <n v="332.0"/>
        <n v="198.0"/>
        <n v="115.0"/>
        <n v="55.0"/>
        <n v="59.0"/>
        <n v="135.0"/>
        <n v="140.0"/>
        <n v="553.0"/>
        <n v="152.0"/>
        <n v="41.0"/>
        <n v="18.0"/>
        <n v="597.0"/>
        <n v="352.0"/>
        <n v="13.0"/>
        <n v="33.0"/>
        <n v="104.0"/>
        <n v="117.0"/>
        <n v="214.0"/>
        <n v="244.0"/>
        <n v="134.0"/>
        <n v="97.0"/>
        <n v="147.0"/>
        <n v="25.0"/>
        <n v="19.0"/>
        <n v="48.0"/>
        <n v="253.0"/>
        <n v="40.0"/>
        <n v="798.0"/>
        <n v="44.0"/>
        <n v="489.0"/>
        <n v="51.0"/>
        <n v="204.0"/>
        <n v="71.0"/>
        <n v="9.0"/>
        <n v="7.0"/>
        <n v="95.0"/>
        <n v="29.0"/>
        <n v="30.0"/>
        <n v="24.0"/>
        <n v="167.0"/>
        <n v="137.0"/>
        <n v="4.0"/>
        <n v="20.0"/>
        <n v="61.0"/>
        <n v="66.0"/>
        <n v="159.0"/>
        <n v="32.0"/>
        <n v="5.0"/>
        <n v="10.0"/>
        <n v="8.0"/>
        <n v="228.0"/>
        <n v="273.0"/>
        <n v="3.0"/>
        <n v="211.0"/>
        <n v="194.0"/>
        <n v="160.0"/>
        <n v="278.0"/>
        <n v="26.0"/>
        <n v="180.0"/>
        <n v="645.0"/>
        <n v="511.0"/>
        <n v="6.0"/>
        <n v="73.0"/>
        <n v="192.0"/>
        <n v="109.0"/>
        <n v="359.0"/>
        <n v="46.0"/>
        <n v="35.0"/>
        <n v="2.0"/>
        <n v="150.0"/>
        <n v="320.0"/>
        <n v="1.0"/>
        <n v="80.0"/>
        <n v="90.0"/>
        <n v="294.0"/>
        <n v="286.0"/>
        <n v="488.0"/>
        <n v="153.0"/>
        <n v="861.0"/>
        <n v="419.0"/>
        <n v="281.0"/>
        <n v="86.0"/>
        <n v="126.0"/>
        <n v="353.0"/>
        <n v="84.0"/>
        <n v="280.0"/>
        <n v="172.0"/>
        <n v="182.0"/>
        <n v="406.0"/>
        <n v="329.0"/>
        <n v="480.0"/>
        <n v="279.0"/>
        <n v="125.0"/>
        <n v="157.0"/>
        <n v="785.0"/>
        <n v="277.0"/>
        <n v="101.0"/>
        <n v="96.0"/>
        <n v="301.0"/>
        <n v="146.0"/>
        <n v="68.0"/>
        <n v="234.0"/>
        <n v="143.0"/>
        <n v="265.0"/>
        <n v="383.0"/>
        <n v="434.0"/>
        <n v="37.0"/>
        <n v="175.0"/>
        <n v="310.0"/>
        <n v="154.0"/>
        <n v="169.0"/>
        <n v="697.0"/>
        <n v="804.0"/>
        <n v="141.0"/>
        <n v="53.0"/>
        <n v="131.0"/>
        <n v="129.0"/>
        <n v="110.0"/>
        <n v="233.0"/>
        <n v="262.0"/>
        <n v="43.0"/>
        <n v="283.0"/>
        <n v="47.0"/>
        <n v="151.0"/>
        <n v="52.0"/>
        <n v="22.0"/>
        <n v="17.0"/>
        <n v="138.0"/>
        <n v="216.0"/>
        <n v="240.0"/>
        <n v="70.0"/>
        <n v="532.0"/>
        <n v="206.0"/>
        <n v="318.0"/>
        <n v="544.0"/>
        <n v="34.0"/>
        <n v="118.0"/>
        <n v="202.0"/>
        <n v="31.0"/>
        <n v="139.0"/>
        <n v="242.0"/>
        <n v="82.0"/>
        <n v="229.0"/>
        <n v="45.0"/>
        <n v="337.0"/>
        <n v="57.0"/>
        <n v="75.0"/>
        <n v="402.0"/>
        <n v="357.0"/>
        <n v="338.0"/>
        <n v="89.0"/>
        <n v="114.0"/>
        <n v="362.0"/>
        <n v="39.0"/>
        <n v="296.0"/>
        <n v="196.0"/>
        <n v="63.0"/>
        <n v="258.0"/>
        <n v="223.0"/>
        <n v="166.0"/>
        <n v="454.0"/>
        <n v="183.0"/>
        <n v="133.0"/>
        <n v="193.0"/>
        <n v="76.0"/>
        <n v="28.0"/>
        <n v="468.0"/>
        <n v="106.0"/>
        <n v="224.0"/>
        <n v="132.0"/>
        <n v="324.0"/>
        <n v="380.0"/>
        <n v="78.0"/>
        <n v="256.0"/>
        <n v="335.0"/>
        <n v="15.0"/>
        <n v="394.0"/>
        <n v="124.0"/>
        <n v="612.0"/>
        <n v="103.0"/>
        <n v="409.0"/>
        <n v="655.0"/>
        <n v="395.0"/>
        <n v="349.0"/>
        <n v="144.0"/>
        <n v="227.0"/>
        <n v="457.0"/>
        <n v="85.0"/>
        <n v="222.0"/>
        <n v="16.0"/>
        <n v="14.0"/>
        <n v="576.0"/>
        <n v="226.0"/>
        <n v="250.0"/>
        <n v="50.0"/>
        <n v="284.0"/>
        <n v="62.0"/>
        <n v="87.0"/>
        <n v="77.0"/>
        <n v="156.0"/>
        <n v="79.0"/>
        <n v="11.0"/>
        <n v="179.0"/>
        <n v="306.0"/>
        <n v="319.0"/>
        <n v="170.0"/>
        <n v="408.0"/>
        <n v="504.0"/>
        <n v="217.0"/>
        <n v="302.0"/>
        <n v="316.0"/>
        <n v="176.0"/>
        <n v="54.0"/>
        <n v="113.0"/>
        <n v="171.0"/>
        <n v="142.0"/>
        <n v="116.0"/>
        <n v="188.0"/>
        <n v="200.0"/>
        <n v="92.0"/>
        <n v="177.0"/>
        <n v="340.0"/>
        <n v="522.0"/>
      </sharedItems>
    </cacheField>
    <cacheField name="dx_Injury_Poisoning" numFmtId="0">
      <sharedItems containsString="0" containsBlank="1" containsNumber="1" containsInteger="1">
        <n v="217.0"/>
        <n v="584.0"/>
        <n v="924.0"/>
        <m/>
        <n v="2680.0"/>
        <n v="22.0"/>
        <n v="812.0"/>
        <n v="197.0"/>
        <n v="837.0"/>
        <n v="492.0"/>
        <n v="322.0"/>
        <n v="1523.0"/>
        <n v="1374.0"/>
        <n v="656.0"/>
        <n v="199.0"/>
        <n v="54.0"/>
        <n v="1395.0"/>
        <n v="1965.0"/>
        <n v="67.0"/>
        <n v="45.0"/>
        <n v="179.0"/>
        <n v="331.0"/>
        <n v="3007.0"/>
        <n v="853.0"/>
        <n v="827.0"/>
        <n v="298.0"/>
        <n v="493.0"/>
        <n v="231.0"/>
        <n v="423.0"/>
        <n v="1208.0"/>
        <n v="41.0"/>
        <n v="5366.0"/>
        <n v="34.0"/>
        <n v="1480.0"/>
        <n v="364.0"/>
        <n v="169.0"/>
        <n v="487.0"/>
        <n v="23.0"/>
        <n v="103.0"/>
        <n v="13.0"/>
        <n v="32.0"/>
        <n v="846.0"/>
        <n v="110.0"/>
        <n v="140.0"/>
        <n v="65.0"/>
        <n v="3.0"/>
        <n v="89.0"/>
        <n v="1158.0"/>
        <n v="1795.0"/>
        <n v="623.0"/>
        <n v="11.0"/>
        <n v="75.0"/>
        <n v="1159.0"/>
        <n v="466.0"/>
        <n v="59.0"/>
        <n v="49.0"/>
        <n v="528.0"/>
        <n v="69.0"/>
        <n v="151.0"/>
        <n v="48.0"/>
        <n v="281.0"/>
        <n v="1923.0"/>
        <n v="1.0"/>
        <n v="15.0"/>
        <n v="1095.0"/>
        <n v="590.0"/>
        <n v="639.0"/>
        <n v="1904.0"/>
        <n v="416.0"/>
        <n v="805.0"/>
        <n v="664.0"/>
        <n v="1706.0"/>
        <n v="613.0"/>
        <n v="21.0"/>
        <n v="190.0"/>
        <n v="484.0"/>
        <n v="486.0"/>
        <n v="645.0"/>
        <n v="550.0"/>
        <n v="148.0"/>
        <n v="223.0"/>
        <n v="338.0"/>
        <n v="16.0"/>
        <n v="531.0"/>
        <n v="1368.0"/>
        <n v="66.0"/>
        <n v="363.0"/>
        <n v="870.0"/>
        <n v="1845.0"/>
        <n v="1099.0"/>
        <n v="2409.0"/>
        <n v="407.0"/>
        <n v="1972.0"/>
        <n v="1457.0"/>
        <n v="609.0"/>
        <n v="575.0"/>
        <n v="458.0"/>
        <n v="1283.0"/>
        <n v="433.0"/>
        <n v="785.0"/>
        <n v="388.0"/>
        <n v="481.0"/>
        <n v="357.0"/>
        <n v="2141.0"/>
        <n v="1116.0"/>
        <n v="7.0"/>
        <n v="127.0"/>
        <n v="5313.0"/>
        <n v="1945.0"/>
        <n v="251.0"/>
        <n v="173.0"/>
        <n v="18.0"/>
        <n v="2460.0"/>
        <n v="1958.0"/>
        <n v="661.0"/>
        <n v="174.0"/>
        <n v="210.0"/>
        <n v="384.0"/>
        <n v="27.0"/>
        <n v="1174.0"/>
        <n v="107.0"/>
        <n v="372.0"/>
        <n v="1879.0"/>
        <n v="911.0"/>
        <n v="1186.0"/>
        <n v="126.0"/>
        <n v="3079.0"/>
        <n v="763.0"/>
        <n v="378.0"/>
        <n v="953.0"/>
        <n v="833.0"/>
        <n v="299.0"/>
        <n v="1372.0"/>
        <n v="68.0"/>
        <n v="3147.0"/>
        <n v="4483.0"/>
        <n v="647.0"/>
        <n v="461.0"/>
        <n v="565.0"/>
        <n v="1811.0"/>
        <n v="547.0"/>
        <n v="614.0"/>
        <n v="688.0"/>
        <n v="845.0"/>
        <n v="184.0"/>
        <n v="781.0"/>
        <n v="333.0"/>
        <n v="1085.0"/>
        <n v="183.0"/>
        <n v="12.0"/>
        <n v="35.0"/>
        <n v="202.0"/>
        <n v="288.0"/>
        <n v="82.0"/>
        <n v="568.0"/>
        <n v="195.0"/>
        <n v="1078.0"/>
        <n v="20.0"/>
        <n v="648.0"/>
        <n v="1421.0"/>
        <n v="649.0"/>
        <n v="216.0"/>
        <n v="456.0"/>
        <n v="290.0"/>
        <n v="714.0"/>
        <n v="802.0"/>
        <n v="2.0"/>
        <n v="381.0"/>
        <n v="25.0"/>
        <n v="136.0"/>
        <n v="957.0"/>
        <n v="180.0"/>
        <n v="2679.0"/>
        <n v="166.0"/>
        <n v="939.0"/>
        <n v="124.0"/>
        <n v="2247.0"/>
        <n v="3581.0"/>
        <n v="207.0"/>
        <n v="247.0"/>
        <n v="971.0"/>
        <n v="236.0"/>
        <n v="1367.0"/>
        <n v="1323.0"/>
        <n v="326.0"/>
        <n v="435.0"/>
        <n v="72.0"/>
        <n v="119.0"/>
        <n v="1396.0"/>
        <n v="478.0"/>
        <n v="328.0"/>
        <n v="3282.0"/>
        <n v="1238.0"/>
        <n v="10.0"/>
        <n v="8.0"/>
        <n v="566.0"/>
        <n v="3680.0"/>
        <n v="2059.0"/>
        <n v="701.0"/>
        <n v="544.0"/>
        <n v="17.0"/>
        <n v="296.0"/>
        <n v="2957.0"/>
        <n v="170.0"/>
        <n v="491.0"/>
        <n v="175.0"/>
        <n v="2116.0"/>
        <n v="2858.0"/>
        <n v="249.0"/>
        <n v="773.0"/>
        <n v="766.0"/>
        <n v="276.0"/>
        <n v="1017.0"/>
        <n v="923.0"/>
        <n v="2382.0"/>
        <n v="632.0"/>
        <n v="5474.0"/>
        <n v="1629.0"/>
        <n v="1401.0"/>
        <n v="31.0"/>
        <n v="254.0"/>
        <n v="242.0"/>
        <n v="19.0"/>
        <n v="212.0"/>
        <n v="139.0"/>
        <n v="1621.0"/>
        <n v="3796.0"/>
        <n v="823.0"/>
        <n v="1086.0"/>
        <n v="205.0"/>
        <n v="915.0"/>
        <n v="875.0"/>
        <n v="9.0"/>
        <n v="245.0"/>
        <n v="582.0"/>
        <n v="2997.0"/>
        <n v="125.0"/>
        <n v="1171.0"/>
        <n v="342.0"/>
        <n v="1626.0"/>
        <n v="291.0"/>
        <n v="3755.0"/>
        <n v="2023.0"/>
        <n v="33.0"/>
        <n v="2190.0"/>
        <n v="3609.0"/>
        <n v="300.0"/>
        <n v="2934.0"/>
        <n v="786.0"/>
        <n v="5289.0"/>
        <n v="1309.0"/>
        <n v="476.0"/>
        <n v="607.0"/>
        <n v="1127.0"/>
        <n v="2452.0"/>
        <n v="258.0"/>
        <n v="240.0"/>
        <n v="612.0"/>
        <n v="24.0"/>
        <n v="563.0"/>
        <n v="3017.0"/>
        <n v="583.0"/>
        <n v="359.0"/>
        <n v="3539.0"/>
        <n v="58.0"/>
        <n v="917.0"/>
        <n v="470.0"/>
        <n v="1918.0"/>
        <n v="885.0"/>
        <n v="187.0"/>
        <n v="191.0"/>
        <n v="679.0"/>
        <n v="445.0"/>
        <n v="711.0"/>
        <n v="163.0"/>
        <n v="394.0"/>
        <n v="283.0"/>
        <n v="787.0"/>
        <n v="305.0"/>
        <n v="545.0"/>
        <n v="274.0"/>
        <n v="1310.0"/>
        <n v="1836.0"/>
        <n v="1658.0"/>
        <n v="1444.0"/>
        <n v="1021.0"/>
        <n v="712.0"/>
        <n v="2952.0"/>
        <n v="4260.0"/>
        <n v="715.0"/>
        <n v="589.0"/>
        <n v="876.0"/>
        <n v="857.0"/>
        <n v="467.0"/>
        <n v="1598.0"/>
        <n v="165.0"/>
        <n v="98.0"/>
        <n v="81.0"/>
        <n v="521.0"/>
        <n v="277.0"/>
        <n v="742.0"/>
        <n v="189.0"/>
        <n v="2118.0"/>
        <n v="38.0"/>
        <n v="747.0"/>
        <n v="488.0"/>
        <n v="2168.0"/>
        <n v="600.0"/>
        <n v="2281.0"/>
        <n v="44.0"/>
        <n v="2211.0"/>
        <n v="255.0"/>
        <n v="373.0"/>
        <n v="1237.0"/>
        <n v="1998.0"/>
        <n v="83.0"/>
        <n v="353.0"/>
        <n v="597.0"/>
        <n v="755.0"/>
        <n v="194.0"/>
        <n v="935.0"/>
      </sharedItems>
    </cacheField>
    <cacheField name="dx_Factors_Influencing_Health" numFmtId="0">
      <sharedItems containsString="0" containsBlank="1" containsNumber="1" containsInteger="1">
        <n v="17.0"/>
        <n v="15.0"/>
        <n v="416.0"/>
        <m/>
        <n v="249.0"/>
        <n v="11.0"/>
        <n v="198.0"/>
        <n v="6.0"/>
        <n v="38.0"/>
        <n v="9.0"/>
        <n v="14.0"/>
        <n v="23.0"/>
        <n v="641.0"/>
        <n v="49.0"/>
        <n v="2.0"/>
        <n v="87.0"/>
        <n v="166.0"/>
        <n v="3.0"/>
        <n v="7.0"/>
        <n v="10.0"/>
        <n v="242.0"/>
        <n v="60.0"/>
        <n v="35.0"/>
        <n v="20.0"/>
        <n v="34.0"/>
        <n v="8.0"/>
        <n v="137.0"/>
        <n v="5.0"/>
        <n v="517.0"/>
        <n v="26.0"/>
        <n v="84.0"/>
        <n v="236.0"/>
        <n v="1.0"/>
        <n v="16.0"/>
        <n v="188.0"/>
        <n v="4.0"/>
        <n v="18.0"/>
        <n v="82.0"/>
        <n v="12.0"/>
        <n v="32.0"/>
        <n v="106.0"/>
        <n v="259.0"/>
        <n v="19.0"/>
        <n v="46.0"/>
        <n v="13.0"/>
        <n v="27.0"/>
        <n v="57.0"/>
        <n v="70.0"/>
        <n v="95.0"/>
        <n v="735.0"/>
        <n v="932.0"/>
        <n v="820.0"/>
        <n v="29.0"/>
        <n v="22.0"/>
        <n v="21.0"/>
        <n v="76.0"/>
        <n v="455.0"/>
        <n v="33.0"/>
        <n v="174.0"/>
        <n v="133.0"/>
        <n v="142.0"/>
        <n v="208.0"/>
        <n v="68.0"/>
        <n v="205.0"/>
        <n v="318.0"/>
        <n v="105.0"/>
        <n v="71.0"/>
        <n v="422.0"/>
        <n v="43.0"/>
        <n v="90.0"/>
        <n v="101.0"/>
        <n v="292.0"/>
        <n v="97.0"/>
        <n v="667.0"/>
        <n v="98.0"/>
        <n v="312.0"/>
        <n v="54.0"/>
        <n v="44.0"/>
        <n v="701.0"/>
        <n v="120.0"/>
        <n v="182.0"/>
        <n v="462.0"/>
        <n v="79.0"/>
        <n v="41.0"/>
        <n v="168.0"/>
        <n v="187.0"/>
        <n v="31.0"/>
        <n v="431.0"/>
        <n v="265.0"/>
        <n v="388.0"/>
        <n v="266.0"/>
        <n v="134.0"/>
        <n v="373.0"/>
        <n v="83.0"/>
        <n v="272.0"/>
        <n v="183.0"/>
        <n v="554.0"/>
        <n v="48.0"/>
        <n v="25.0"/>
        <n v="52.0"/>
        <n v="28.0"/>
        <n v="243.0"/>
        <n v="55.0"/>
        <n v="113.0"/>
        <n v="459.0"/>
        <n v="93.0"/>
        <n v="62.0"/>
        <n v="397.0"/>
        <n v="157.0"/>
        <n v="496.0"/>
        <n v="117.0"/>
        <n v="114.0"/>
        <n v="399.0"/>
        <n v="278.0"/>
        <n v="424.0"/>
        <n v="51.0"/>
        <n v="235.0"/>
        <n v="544.0"/>
        <n v="86.0"/>
        <n v="255.0"/>
        <n v="217.0"/>
        <n v="176.0"/>
        <n v="115.0"/>
        <n v="37.0"/>
        <n v="1022.0"/>
        <n v="510.0"/>
        <n v="451.0"/>
        <n v="443.0"/>
        <n v="56.0"/>
        <n v="104.0"/>
        <n v="58.0"/>
        <n v="30.0"/>
        <n v="427.0"/>
        <n v="642.0"/>
        <n v="65.0"/>
        <n v="357.0"/>
        <n v="152.0"/>
        <n v="239.0"/>
        <n v="126.0"/>
        <n v="66.0"/>
        <n v="185.0"/>
        <n v="632.0"/>
        <n v="150.0"/>
        <n v="196.0"/>
        <n v="270.0"/>
        <n v="264.0"/>
        <n v="88.0"/>
        <n v="74.0"/>
        <n v="92.0"/>
        <n v="1761.0"/>
        <n v="203.0"/>
        <n v="140.0"/>
        <n v="201.0"/>
        <n v="69.0"/>
        <n v="112.0"/>
        <n v="77.0"/>
        <n v="59.0"/>
        <n v="207.0"/>
        <n v="351.0"/>
        <n v="334.0"/>
        <n v="222.0"/>
        <n v="1366.0"/>
        <n v="50.0"/>
        <n v="637.0"/>
        <n v="355.0"/>
        <n v="24.0"/>
        <n v="146.0"/>
        <n v="211.0"/>
        <n v="474.0"/>
        <n v="192.0"/>
        <n v="297.0"/>
        <n v="61.0"/>
        <n v="132.0"/>
        <n v="36.0"/>
      </sharedItems>
    </cacheField>
    <cacheField name="dx_Other_Unknown" numFmtId="0">
      <sharedItems containsString="0" containsBlank="1" containsNumber="1" containsInteger="1">
        <n v="3.0"/>
        <m/>
        <n v="2.0"/>
        <n v="8.0"/>
        <n v="4.0"/>
        <n v="1.0"/>
        <n v="10.0"/>
        <n v="7.0"/>
        <n v="13.0"/>
        <n v="6.0"/>
        <n v="9.0"/>
        <n v="5.0"/>
        <n v="17.0"/>
        <n v="12.0"/>
        <n v="14.0"/>
      </sharedItems>
    </cacheField>
    <cacheField name="PR_Diagnostic_Therapeutic" numFmtId="0">
      <sharedItems containsString="0" containsBlank="1" containsNumber="1" containsInteger="1">
        <n v="321.0"/>
        <n v="1265.0"/>
        <n v="1311.0"/>
        <n v="302.0"/>
        <n v="2731.0"/>
        <n v="145.0"/>
        <n v="1555.0"/>
        <n v="728.0"/>
        <n v="2949.0"/>
        <n v="309.0"/>
        <n v="776.0"/>
        <n v="875.0"/>
        <n v="1222.0"/>
        <m/>
        <n v="1233.0"/>
        <n v="6449.0"/>
        <n v="4898.0"/>
        <n v="315.0"/>
        <n v="21.0"/>
        <n v="740.0"/>
        <n v="1425.0"/>
        <n v="509.0"/>
        <n v="2133.0"/>
        <n v="941.0"/>
        <n v="846.0"/>
        <n v="3815.0"/>
        <n v="563.0"/>
        <n v="988.0"/>
        <n v="2732.0"/>
        <n v="308.0"/>
        <n v="375.0"/>
        <n v="953.0"/>
        <n v="1796.0"/>
        <n v="466.0"/>
        <n v="4633.0"/>
        <n v="1313.0"/>
        <n v="3070.0"/>
        <n v="11.0"/>
        <n v="3626.0"/>
        <n v="426.0"/>
        <n v="3.0"/>
        <n v="74.0"/>
        <n v="1.0"/>
        <n v="107.0"/>
        <n v="1549.0"/>
        <n v="299.0"/>
        <n v="221.0"/>
        <n v="440.0"/>
        <n v="220.0"/>
        <n v="10.0"/>
        <n v="1278.0"/>
        <n v="2451.0"/>
        <n v="3970.0"/>
        <n v="285.0"/>
        <n v="1692.0"/>
        <n v="16.0"/>
        <n v="496.0"/>
        <n v="3524.0"/>
        <n v="69.0"/>
        <n v="105.0"/>
        <n v="267.0"/>
        <n v="469.0"/>
        <n v="3327.0"/>
        <n v="487.0"/>
        <n v="216.0"/>
        <n v="30.0"/>
        <n v="641.0"/>
        <n v="1369.0"/>
        <n v="224.0"/>
        <n v="428.0"/>
        <n v="2050.0"/>
        <n v="1347.0"/>
        <n v="949.0"/>
        <n v="5629.0"/>
        <n v="3440.0"/>
        <n v="34.0"/>
        <n v="3019.0"/>
        <n v="783.0"/>
        <n v="2256.0"/>
        <n v="1530.0"/>
        <n v="3559.0"/>
        <n v="146.0"/>
        <n v="347.0"/>
        <n v="365.0"/>
        <n v="1456.0"/>
        <n v="324.0"/>
        <n v="1397.0"/>
        <n v="848.0"/>
        <n v="609.0"/>
        <n v="154.0"/>
        <n v="692.0"/>
        <n v="199.0"/>
        <n v="1040.0"/>
        <n v="336.0"/>
        <n v="3618.0"/>
        <n v="462.0"/>
        <n v="3166.0"/>
        <n v="1874.0"/>
        <n v="1818.0"/>
        <n v="1515.0"/>
        <n v="6679.0"/>
        <n v="811.0"/>
        <n v="3396.0"/>
        <n v="3594.0"/>
        <n v="1332.0"/>
        <n v="1077.0"/>
        <n v="1195.0"/>
        <n v="453.0"/>
        <n v="325.0"/>
        <n v="1523.0"/>
        <n v="209.0"/>
        <n v="955.0"/>
        <n v="842.0"/>
        <n v="2230.0"/>
        <n v="769.0"/>
        <n v="2112.0"/>
        <n v="2126.0"/>
        <n v="67.0"/>
        <n v="386.0"/>
        <n v="3602.0"/>
        <n v="2416.0"/>
        <n v="885.0"/>
        <n v="206.0"/>
        <n v="3458.0"/>
        <n v="2144.0"/>
        <n v="4258.0"/>
        <n v="4303.0"/>
        <n v="823.0"/>
        <n v="1354.0"/>
        <n v="157.0"/>
        <n v="507.0"/>
        <n v="6385.0"/>
        <n v="1023.0"/>
        <n v="1888.0"/>
        <n v="334.0"/>
        <n v="3544.0"/>
        <n v="4600.0"/>
        <n v="2911.0"/>
        <n v="1170.0"/>
        <n v="27.0"/>
        <n v="593.0"/>
        <n v="5655.0"/>
        <n v="1432.0"/>
        <n v="97.0"/>
        <n v="2166.0"/>
        <n v="672.0"/>
        <n v="5735.0"/>
        <n v="5171.0"/>
        <n v="2633.0"/>
        <n v="2628.0"/>
        <n v="1795.0"/>
        <n v="1089.0"/>
        <n v="895.0"/>
        <n v="985.0"/>
        <n v="37.0"/>
        <n v="1097.0"/>
        <n v="4223.0"/>
        <n v="1960.0"/>
        <n v="1772.0"/>
        <n v="992.0"/>
        <n v="3874.0"/>
        <n v="827.0"/>
        <n v="1810.0"/>
        <n v="195.0"/>
        <n v="230.0"/>
        <n v="35.0"/>
        <n v="1175.0"/>
        <n v="380.0"/>
        <n v="245.0"/>
        <n v="2092.0"/>
        <n v="193.0"/>
        <n v="6.0"/>
        <n v="1500.0"/>
        <n v="31.0"/>
        <n v="978.0"/>
        <n v="3077.0"/>
        <n v="1616.0"/>
        <n v="553.0"/>
        <n v="762.0"/>
        <n v="163.0"/>
        <n v="2489.0"/>
        <n v="1930.0"/>
        <n v="1468.0"/>
        <n v="136.0"/>
        <n v="329.0"/>
        <n v="1356.0"/>
        <n v="4497.0"/>
        <n v="323.0"/>
        <n v="8478.0"/>
        <n v="578.0"/>
        <n v="640.0"/>
        <n v="2621.0"/>
        <n v="1872.0"/>
        <n v="3089.0"/>
        <n v="718.0"/>
        <n v="816.0"/>
        <n v="1988.0"/>
        <n v="423.0"/>
        <n v="2018.0"/>
        <n v="2267.0"/>
        <n v="254.0"/>
        <n v="1384.0"/>
        <n v="275.0"/>
        <n v="2721.0"/>
        <n v="295.0"/>
        <n v="2481.0"/>
        <n v="5.0"/>
        <n v="2000.0"/>
        <n v="8.0"/>
        <n v="364.0"/>
        <n v="2859.0"/>
        <n v="9691.0"/>
        <n v="1490.0"/>
        <n v="3531.0"/>
        <n v="2561.0"/>
        <n v="1693.0"/>
        <n v="2442.0"/>
        <n v="2262.0"/>
        <n v="57.0"/>
        <n v="68.0"/>
        <n v="1853.0"/>
        <n v="1899.0"/>
        <n v="165.0"/>
        <n v="1650.0"/>
        <n v="1320.0"/>
        <n v="608.0"/>
        <n v="4337.0"/>
        <n v="6336.0"/>
        <n v="38.0"/>
        <n v="1787.0"/>
        <n v="671.0"/>
        <n v="2741.0"/>
        <n v="2953.0"/>
        <n v="5005.0"/>
        <n v="2124.0"/>
        <n v="6671.0"/>
        <n v="3984.0"/>
        <n v="5132.0"/>
        <n v="894.0"/>
        <n v="228.0"/>
        <n v="1956.0"/>
        <n v="237.0"/>
        <n v="273.0"/>
        <n v="218.0"/>
        <n v="26.0"/>
        <n v="648.0"/>
        <n v="58.0"/>
        <n v="442.0"/>
        <n v="647.0"/>
        <n v="3650.0"/>
        <n v="3090.0"/>
        <n v="231.0"/>
        <n v="2664.0"/>
        <n v="3771.0"/>
        <n v="2890.0"/>
        <n v="2920.0"/>
        <n v="1353.0"/>
        <n v="1815.0"/>
        <n v="12.0"/>
        <n v="599.0"/>
        <n v="410.0"/>
        <n v="20.0"/>
        <n v="2358.0"/>
        <n v="133.0"/>
        <n v="2748.0"/>
        <n v="200.0"/>
        <n v="1018.0"/>
        <n v="5016.0"/>
        <n v="264.0"/>
        <n v="2325.0"/>
        <n v="4330.0"/>
        <n v="5441.0"/>
        <n v="142.0"/>
        <n v="2898.0"/>
        <n v="4770.0"/>
        <n v="3435.0"/>
        <n v="400.0"/>
        <n v="528.0"/>
        <n v="3325.0"/>
        <n v="1269.0"/>
        <n v="6227.0"/>
        <n v="3206.0"/>
        <n v="907.0"/>
        <n v="284.0"/>
        <n v="1791.0"/>
        <n v="767.0"/>
        <n v="3392.0"/>
        <n v="2902.0"/>
        <n v="19.0"/>
        <n v="459.0"/>
        <n v="1007.0"/>
        <n v="908.0"/>
        <n v="822.0"/>
        <n v="6187.0"/>
        <n v="106.0"/>
        <n v="2027.0"/>
        <n v="531.0"/>
        <n v="2232.0"/>
        <n v="3365.0"/>
        <n v="4634.0"/>
        <n v="471.0"/>
        <n v="1690.0"/>
        <n v="1676.0"/>
        <n v="48.0"/>
        <n v="6212.0"/>
        <n v="903.0"/>
        <n v="738.0"/>
        <n v="1383.0"/>
        <n v="1441.0"/>
        <n v="1478.0"/>
        <n v="417.0"/>
        <n v="1625.0"/>
        <n v="910.0"/>
        <n v="2624.0"/>
        <n v="60.0"/>
        <n v="841.0"/>
        <n v="4405.0"/>
        <n v="2326.0"/>
        <n v="17.0"/>
        <n v="1002.0"/>
        <n v="1921.0"/>
        <n v="2003.0"/>
        <n v="2365.0"/>
        <n v="5226.0"/>
        <n v="3624.0"/>
        <n v="3630.0"/>
        <n v="226.0"/>
        <n v="2226.0"/>
        <n v="742.0"/>
        <n v="5719.0"/>
        <n v="25.0"/>
        <n v="2870.0"/>
        <n v="77.0"/>
        <n v="238.0"/>
        <n v="51.0"/>
        <n v="1580.0"/>
        <n v="2206.0"/>
        <n v="167.0"/>
        <n v="42.0"/>
        <n v="3525.0"/>
        <n v="4.0"/>
        <n v="480.0"/>
        <n v="1362.0"/>
        <n v="1832.0"/>
        <n v="181.0"/>
        <n v="120.0"/>
        <n v="577.0"/>
        <n v="1829.0"/>
        <n v="66.0"/>
        <n v="153.0"/>
        <n v="174.0"/>
        <n v="886.0"/>
        <n v="8665.0"/>
        <n v="4326.0"/>
        <n v="2382.0"/>
        <n v="451.0"/>
        <n v="194.0"/>
        <n v="625.0"/>
        <n v="79.0"/>
        <n v="1345.0"/>
        <n v="2211.0"/>
        <n v="457.0"/>
        <n v="790.0"/>
        <n v="371.0"/>
        <n v="888.0"/>
        <n v="1602.0"/>
        <n v="2617.0"/>
        <n v="733.0"/>
        <n v="486.0"/>
        <n v="3306.0"/>
      </sharedItems>
    </cacheField>
    <cacheField name="PR_Obstetrical" numFmtId="0">
      <sharedItems containsString="0" containsBlank="1" containsNumber="1" containsInteger="1">
        <m/>
        <n v="4209.0"/>
        <n v="1476.0"/>
        <n v="309.0"/>
        <n v="1433.0"/>
        <n v="1268.0"/>
        <n v="1185.0"/>
        <n v="2567.0"/>
        <n v="3797.0"/>
        <n v="232.0"/>
        <n v="475.0"/>
        <n v="1907.0"/>
        <n v="1679.0"/>
        <n v="431.0"/>
        <n v="2941.0"/>
        <n v="3077.0"/>
        <n v="245.0"/>
        <n v="1849.0"/>
        <n v="240.0"/>
        <n v="286.0"/>
        <n v="344.0"/>
        <n v="4534.0"/>
        <n v="1.0"/>
        <n v="3951.0"/>
        <n v="1284.0"/>
        <n v="3964.0"/>
        <n v="1768.0"/>
        <n v="397.0"/>
        <n v="729.0"/>
        <n v="757.0"/>
        <n v="1774.0"/>
        <n v="182.0"/>
        <n v="610.0"/>
        <n v="3605.0"/>
        <n v="2499.0"/>
        <n v="2254.0"/>
        <n v="430.0"/>
        <n v="2213.0"/>
        <n v="2312.0"/>
        <n v="163.0"/>
        <n v="195.0"/>
        <n v="3189.0"/>
        <n v="1368.0"/>
        <n v="428.0"/>
        <n v="2738.0"/>
        <n v="731.0"/>
        <n v="7.0"/>
        <n v="1009.0"/>
        <n v="3.0"/>
        <n v="13.0"/>
        <n v="363.0"/>
        <n v="2.0"/>
        <n v="1233.0"/>
        <n v="1485.0"/>
        <n v="3732.0"/>
        <n v="2843.0"/>
        <n v="1519.0"/>
        <n v="3066.0"/>
        <n v="2118.0"/>
        <n v="2610.0"/>
        <n v="2297.0"/>
        <n v="2329.0"/>
        <n v="1908.0"/>
        <n v="2638.0"/>
        <n v="2440.0"/>
        <n v="1173.0"/>
        <n v="28.0"/>
        <n v="1164.0"/>
        <n v="6181.0"/>
        <n v="829.0"/>
        <n v="4936.0"/>
        <n v="1965.0"/>
        <n v="3142.0"/>
        <n v="361.0"/>
        <n v="8.0"/>
        <n v="1383.0"/>
        <n v="2690.0"/>
        <n v="2050.0"/>
        <n v="2033.0"/>
        <n v="1634.0"/>
        <n v="2435.0"/>
        <n v="618.0"/>
        <n v="3949.0"/>
        <n v="1072.0"/>
        <n v="1535.0"/>
        <n v="1066.0"/>
        <n v="1282.0"/>
        <n v="559.0"/>
        <n v="929.0"/>
        <n v="1808.0"/>
        <n v="3206.0"/>
        <n v="5996.0"/>
        <n v="3955.0"/>
        <n v="790.0"/>
        <n v="704.0"/>
        <n v="1450.0"/>
        <n v="755.0"/>
        <n v="593.0"/>
        <n v="1075.0"/>
        <n v="1367.0"/>
        <n v="2558.0"/>
        <n v="687.0"/>
        <n v="330.0"/>
        <n v="379.0"/>
        <n v="1809.0"/>
        <n v="1012.0"/>
        <n v="1691.0"/>
        <n v="7851.0"/>
        <n v="383.0"/>
        <n v="2019.0"/>
        <n v="1780.0"/>
        <n v="1964.0"/>
        <n v="4341.0"/>
        <n v="2183.0"/>
        <n v="5.0"/>
        <n v="1855.0"/>
        <n v="6340.0"/>
        <n v="2387.0"/>
        <n v="6830.0"/>
        <n v="10.0"/>
        <n v="1990.0"/>
        <n v="1207.0"/>
        <n v="285.0"/>
        <n v="1532.0"/>
        <n v="61.0"/>
        <n v="1184.0"/>
        <n v="3220.0"/>
        <n v="178.0"/>
        <n v="3216.0"/>
        <n v="1526.0"/>
        <n v="3139.0"/>
        <n v="1728.0"/>
        <n v="1569.0"/>
        <n v="879.0"/>
        <n v="1577.0"/>
        <n v="1229.0"/>
        <n v="1953.0"/>
        <n v="5795.0"/>
        <n v="2723.0"/>
        <n v="616.0"/>
        <n v="449.0"/>
        <n v="321.0"/>
        <n v="7188.0"/>
        <n v="1668.0"/>
        <n v="1857.0"/>
        <n v="1091.0"/>
        <n v="1603.0"/>
        <n v="1168.0"/>
        <n v="297.0"/>
        <n v="465.0"/>
        <n v="2133.0"/>
        <n v="192.0"/>
        <n v="3930.0"/>
        <n v="7125.0"/>
        <n v="2914.0"/>
        <n v="4854.0"/>
        <n v="4107.0"/>
        <n v="3450.0"/>
        <n v="667.0"/>
        <n v="4825.0"/>
        <n v="2669.0"/>
        <n v="779.0"/>
        <n v="1775.0"/>
        <n v="3693.0"/>
        <n v="2488.0"/>
        <n v="1181.0"/>
        <n v="2433.0"/>
        <n v="3613.0"/>
        <n v="944.0"/>
        <n v="1910.0"/>
        <n v="3197.0"/>
        <n v="468.0"/>
        <n v="403.0"/>
        <n v="3985.0"/>
        <n v="661.0"/>
        <n v="1010.0"/>
        <n v="607.0"/>
        <n v="1512.0"/>
        <n v="1082.0"/>
        <n v="2145.0"/>
        <n v="334.0"/>
        <n v="3230.0"/>
        <n v="1913.0"/>
        <n v="5060.0"/>
        <n v="1551.0"/>
        <n v="1132.0"/>
        <n v="2919.0"/>
        <n v="2285.0"/>
        <n v="4793.0"/>
        <n v="316.0"/>
        <n v="4324.0"/>
        <n v="862.0"/>
        <n v="727.0"/>
        <n v="864.0"/>
        <n v="1646.0"/>
        <n v="112.0"/>
        <n v="179.0"/>
        <n v="1573.0"/>
        <n v="1564.0"/>
        <n v="1351.0"/>
        <n v="357.0"/>
        <n v="531.0"/>
        <n v="1971.0"/>
        <n v="1554.0"/>
        <n v="3596.0"/>
        <n v="1124.0"/>
        <n v="1490.0"/>
        <n v="543.0"/>
        <n v="4622.0"/>
        <n v="1343.0"/>
        <n v="242.0"/>
        <n v="510.0"/>
        <n v="2907.0"/>
        <n v="1705.0"/>
        <n v="1384.0"/>
        <n v="498.0"/>
        <n v="508.0"/>
        <n v="1128.0"/>
        <n v="1812.0"/>
      </sharedItems>
    </cacheField>
    <cacheField name="PR_Cardiovascular_System" numFmtId="0">
      <sharedItems containsString="0" containsBlank="1" containsNumber="1" containsInteger="1">
        <n v="221.0"/>
        <n v="401.0"/>
        <n v="209.0"/>
        <n v="1.0"/>
        <n v="1211.0"/>
        <n v="33.0"/>
        <n v="1740.0"/>
        <n v="579.0"/>
        <n v="1218.0"/>
        <m/>
        <n v="932.0"/>
        <n v="318.0"/>
        <n v="526.0"/>
        <n v="1542.0"/>
        <n v="571.0"/>
        <n v="62.0"/>
        <n v="13.0"/>
        <n v="348.0"/>
        <n v="1607.0"/>
        <n v="56.0"/>
        <n v="80.0"/>
        <n v="779.0"/>
        <n v="1072.0"/>
        <n v="1114.0"/>
        <n v="2137.0"/>
        <n v="286.0"/>
        <n v="390.0"/>
        <n v="23.0"/>
        <n v="24.0"/>
        <n v="217.0"/>
        <n v="1165.0"/>
        <n v="4266.0"/>
        <n v="21.0"/>
        <n v="2393.0"/>
        <n v="44.0"/>
        <n v="487.0"/>
        <n v="26.0"/>
        <n v="818.0"/>
        <n v="255.0"/>
        <n v="145.0"/>
        <n v="5.0"/>
        <n v="119.0"/>
        <n v="2028.0"/>
        <n v="419.0"/>
        <n v="693.0"/>
        <n v="113.0"/>
        <n v="19.0"/>
        <n v="1975.0"/>
        <n v="100.0"/>
        <n v="750.0"/>
        <n v="30.0"/>
        <n v="612.0"/>
        <n v="16.0"/>
        <n v="9.0"/>
        <n v="187.0"/>
        <n v="1362.0"/>
        <n v="83.0"/>
        <n v="90.0"/>
        <n v="913.0"/>
        <n v="613.0"/>
        <n v="858.0"/>
        <n v="1067.0"/>
        <n v="104.0"/>
        <n v="1650.0"/>
        <n v="947.0"/>
        <n v="342.0"/>
        <n v="123.0"/>
        <n v="353.0"/>
        <n v="479.0"/>
        <n v="393.0"/>
        <n v="1230.0"/>
        <n v="1071.0"/>
        <n v="205.0"/>
        <n v="346.0"/>
        <n v="27.0"/>
        <n v="1031.0"/>
        <n v="2469.0"/>
        <n v="202.0"/>
        <n v="433.0"/>
        <n v="1040.0"/>
        <n v="1803.0"/>
        <n v="2071.0"/>
        <n v="1957.0"/>
        <n v="1468.0"/>
        <n v="4149.0"/>
        <n v="829.0"/>
        <n v="529.0"/>
        <n v="601.0"/>
        <n v="200.0"/>
        <n v="1810.0"/>
        <n v="326.0"/>
        <n v="1256.0"/>
        <n v="795.0"/>
        <n v="1075.0"/>
        <n v="439.0"/>
        <n v="2160.0"/>
        <n v="1070.0"/>
        <n v="51.0"/>
        <n v="241.0"/>
        <n v="6195.0"/>
        <n v="1818.0"/>
        <n v="277.0"/>
        <n v="216.0"/>
        <n v="157.0"/>
        <n v="1773.0"/>
        <n v="2259.0"/>
        <n v="852.0"/>
        <n v="181.0"/>
        <n v="367.0"/>
        <n v="736.0"/>
        <n v="48.0"/>
        <n v="641.0"/>
        <n v="1912.0"/>
        <n v="1220.0"/>
        <n v="1637.0"/>
        <n v="244.0"/>
        <n v="3338.0"/>
        <n v="897.0"/>
        <n v="190.0"/>
        <n v="4.0"/>
        <n v="1514.0"/>
        <n v="400.0"/>
        <n v="961.0"/>
        <n v="54.0"/>
        <n v="1439.0"/>
        <n v="2059.0"/>
        <n v="692.0"/>
        <n v="842.0"/>
        <n v="68.0"/>
        <n v="658.0"/>
        <n v="2168.0"/>
        <n v="733.0"/>
        <n v="163.0"/>
        <n v="963.0"/>
        <n v="159.0"/>
        <n v="327.0"/>
        <n v="290.0"/>
        <n v="50.0"/>
        <n v="987.0"/>
        <n v="60.0"/>
        <n v="15.0"/>
        <n v="18.0"/>
        <n v="630.0"/>
        <n v="6.0"/>
        <n v="1143.0"/>
        <n v="3.0"/>
        <n v="1442.0"/>
        <n v="300.0"/>
        <n v="616.0"/>
        <n v="1083.0"/>
        <n v="99.0"/>
        <n v="442.0"/>
        <n v="1409.0"/>
        <n v="905.0"/>
        <n v="49.0"/>
        <n v="1516.0"/>
        <n v="110.0"/>
        <n v="2640.0"/>
        <n v="138.0"/>
        <n v="177.0"/>
        <n v="823.0"/>
        <n v="85.0"/>
        <n v="1729.0"/>
        <n v="2023.0"/>
        <n v="321.0"/>
        <n v="384.0"/>
        <n v="1130.0"/>
        <n v="59.0"/>
        <n v="2284.0"/>
        <n v="1848.0"/>
        <n v="343.0"/>
        <n v="697.0"/>
        <n v="164.0"/>
        <n v="844.0"/>
        <n v="1408.0"/>
        <n v="128.0"/>
        <n v="1893.0"/>
        <n v="1797.0"/>
        <n v="743.0"/>
        <n v="2042.0"/>
        <n v="2923.0"/>
        <n v="509.0"/>
        <n v="551.0"/>
        <n v="387.0"/>
        <n v="3847.0"/>
        <n v="166.0"/>
        <n v="28.0"/>
        <n v="98.0"/>
        <n v="764.0"/>
        <n v="369.0"/>
        <n v="763.0"/>
        <n v="1121.0"/>
        <n v="20.0"/>
        <n v="1701.0"/>
        <n v="2359.0"/>
        <n v="25.0"/>
        <n v="1102.0"/>
        <n v="3608.0"/>
        <n v="1882.0"/>
        <n v="404.0"/>
        <n v="2829.0"/>
        <n v="3527.0"/>
        <n v="1327.0"/>
        <n v="158.0"/>
        <n v="238.0"/>
        <n v="194.0"/>
        <n v="2712.0"/>
        <n v="3811.0"/>
        <n v="36.0"/>
        <n v="528.0"/>
        <n v="2110.0"/>
        <n v="363.0"/>
        <n v="2094.0"/>
        <n v="2461.0"/>
        <n v="173.0"/>
        <n v="2.0"/>
        <n v="84.0"/>
        <n v="1076.0"/>
        <n v="118.0"/>
        <n v="535.0"/>
        <n v="498.0"/>
        <n v="618.0"/>
        <n v="2704.0"/>
        <n v="70.0"/>
        <n v="55.0"/>
        <n v="1356.0"/>
        <n v="2087.0"/>
        <n v="395.0"/>
        <n v="4393.0"/>
        <n v="1305.0"/>
        <n v="4108.0"/>
        <n v="2174.0"/>
        <n v="171.0"/>
        <n v="903.0"/>
        <n v="1732.0"/>
        <n v="2709.0"/>
        <n v="254.0"/>
        <n v="1085.0"/>
        <n v="341.0"/>
        <n v="3598.0"/>
        <n v="66.0"/>
        <n v="1808.0"/>
        <n v="203.0"/>
        <n v="499.0"/>
        <n v="496.0"/>
        <n v="620.0"/>
        <n v="2614.0"/>
        <n v="189.0"/>
        <n v="184.0"/>
        <n v="1062.0"/>
        <n v="96.0"/>
        <n v="953.0"/>
        <n v="193.0"/>
        <n v="139.0"/>
        <n v="101.0"/>
        <n v="263.0"/>
        <n v="520.0"/>
        <n v="1396.0"/>
        <n v="698.0"/>
        <n v="11.0"/>
        <n v="998.0"/>
        <n v="1948.0"/>
        <n v="1661.0"/>
        <n v="1970.0"/>
        <n v="1349.0"/>
        <n v="1131.0"/>
        <n v="1236.0"/>
        <n v="4041.0"/>
        <n v="950.0"/>
        <n v="831.0"/>
        <n v="233.0"/>
        <n v="2763.0"/>
        <n v="1105.0"/>
        <n v="268.0"/>
        <n v="1310.0"/>
        <n v="112.0"/>
        <n v="12.0"/>
        <n v="74.0"/>
        <n v="647.0"/>
        <n v="188.0"/>
        <n v="920.0"/>
        <n v="105.0"/>
        <n v="1438.0"/>
        <n v="46.0"/>
        <n v="325.0"/>
        <n v="681.0"/>
        <n v="2305.0"/>
        <n v="908.0"/>
        <n v="1878.0"/>
        <n v="29.0"/>
        <n v="10.0"/>
        <n v="87.0"/>
        <n v="2818.0"/>
        <n v="329.0"/>
        <n v="306.0"/>
        <n v="1507.0"/>
        <n v="416.0"/>
        <n v="1958.0"/>
        <n v="632.0"/>
        <n v="1453.0"/>
        <n v="88.0"/>
        <n v="973.0"/>
      </sharedItems>
    </cacheField>
    <cacheField name="PR_Digestive_System" numFmtId="0">
      <sharedItems containsString="0" containsBlank="1" containsNumber="1" containsInteger="1">
        <n v="168.0"/>
        <n v="698.0"/>
        <n v="693.0"/>
        <n v="2.0"/>
        <n v="1087.0"/>
        <n v="19.0"/>
        <n v="1227.0"/>
        <n v="480.0"/>
        <n v="850.0"/>
        <m/>
        <n v="741.0"/>
        <n v="538.0"/>
        <n v="713.0"/>
        <n v="2011.0"/>
        <n v="1123.0"/>
        <n v="182.0"/>
        <n v="1.0"/>
        <n v="1030.0"/>
        <n v="1926.0"/>
        <n v="48.0"/>
        <n v="572.0"/>
        <n v="579.0"/>
        <n v="1844.0"/>
        <n v="1174.0"/>
        <n v="1445.0"/>
        <n v="454.0"/>
        <n v="992.0"/>
        <n v="151.0"/>
        <n v="152.0"/>
        <n v="418.0"/>
        <n v="2103.0"/>
        <n v="4974.0"/>
        <n v="2587.0"/>
        <n v="3.0"/>
        <n v="970.0"/>
        <n v="82.0"/>
        <n v="113.0"/>
        <n v="595.0"/>
        <n v="603.0"/>
        <n v="227.0"/>
        <n v="64.0"/>
        <n v="169.0"/>
        <n v="1385.0"/>
        <n v="613.0"/>
        <n v="1465.0"/>
        <n v="43.0"/>
        <n v="143.0"/>
        <n v="2479.0"/>
        <n v="13.0"/>
        <n v="111.0"/>
        <n v="94.0"/>
        <n v="923.0"/>
        <n v="81.0"/>
        <n v="140.0"/>
        <n v="49.0"/>
        <n v="623.0"/>
        <n v="2114.0"/>
        <n v="58.0"/>
        <n v="1013.0"/>
        <n v="1076.0"/>
        <n v="1198.0"/>
        <n v="189.0"/>
        <n v="611.0"/>
        <n v="1488.0"/>
        <n v="1329.0"/>
        <n v="25.0"/>
        <n v="349.0"/>
        <n v="550.0"/>
        <n v="820.0"/>
        <n v="844.0"/>
        <n v="1234.0"/>
        <n v="167.0"/>
        <n v="80.0"/>
        <n v="806.0"/>
        <n v="34.0"/>
        <n v="818.0"/>
        <n v="1567.0"/>
        <n v="255.0"/>
        <n v="403.0"/>
        <n v="1042.0"/>
        <n v="1824.0"/>
        <n v="1165.0"/>
        <n v="2491.0"/>
        <n v="618.0"/>
        <n v="2956.0"/>
        <n v="1937.0"/>
        <n v="1406.0"/>
        <n v="1049.0"/>
        <n v="1514.0"/>
        <n v="89.0"/>
        <n v="1658.0"/>
        <n v="738.0"/>
        <n v="1270.0"/>
        <n v="428.0"/>
        <n v="842.0"/>
        <n v="336.0"/>
        <n v="1971.0"/>
        <n v="1633.0"/>
        <n v="9.0"/>
        <n v="509.0"/>
        <n v="5706.0"/>
        <n v="1233.0"/>
        <n v="281.0"/>
        <n v="264.0"/>
        <n v="1908.0"/>
        <n v="2784.0"/>
        <n v="1435.0"/>
        <n v="137.0"/>
        <n v="330.0"/>
        <n v="619.0"/>
        <n v="1360.0"/>
        <n v="234.0"/>
        <n v="1082.0"/>
        <n v="1084.0"/>
        <n v="2057.0"/>
        <n v="184.0"/>
        <n v="2515.0"/>
        <n v="1386.0"/>
        <n v="508.0"/>
        <n v="7.0"/>
        <n v="907.0"/>
        <n v="1683.0"/>
        <n v="750.0"/>
        <n v="1016.0"/>
        <n v="86.0"/>
        <n v="1928.0"/>
        <n v="2950.0"/>
        <n v="1122.0"/>
        <n v="1417.0"/>
        <n v="24.0"/>
        <n v="873.0"/>
        <n v="2084.0"/>
        <n v="1260.0"/>
        <n v="715.0"/>
        <n v="1755.0"/>
        <n v="1145.0"/>
        <n v="477.0"/>
        <n v="849.0"/>
        <n v="546.0"/>
        <n v="5.0"/>
        <n v="620.0"/>
        <n v="171.0"/>
        <n v="57.0"/>
        <n v="371.0"/>
        <n v="121.0"/>
        <n v="78.0"/>
        <n v="1127.0"/>
        <n v="4.0"/>
        <n v="31.0"/>
        <n v="1734.0"/>
        <n v="37.0"/>
        <n v="1255.0"/>
        <n v="694.0"/>
        <n v="650.0"/>
        <n v="235.0"/>
        <n v="323.0"/>
        <n v="110.0"/>
        <n v="919.0"/>
        <n v="2196.0"/>
        <n v="717.0"/>
        <n v="17.0"/>
        <n v="302.0"/>
        <n v="2065.0"/>
        <n v="211.0"/>
        <n v="3760.0"/>
        <n v="181.0"/>
        <n v="317.0"/>
        <n v="904.0"/>
        <n v="279.0"/>
        <n v="1495.0"/>
        <n v="2379.0"/>
        <n v="384.0"/>
        <n v="464.0"/>
        <n v="1011.0"/>
        <n v="2085.0"/>
        <n v="1939.0"/>
        <n v="949.0"/>
        <n v="580.0"/>
        <n v="27.0"/>
        <n v="539.0"/>
        <n v="60.0"/>
        <n v="3121.0"/>
        <n v="370.0"/>
        <n v="3248.0"/>
        <n v="2192.0"/>
        <n v="35.0"/>
        <n v="1463.0"/>
        <n v="1729.0"/>
        <n v="2951.0"/>
        <n v="655.0"/>
        <n v="471.0"/>
        <n v="38.0"/>
        <n v="2883.0"/>
        <n v="266.0"/>
        <n v="1105.0"/>
        <n v="487.0"/>
        <n v="1878.0"/>
        <n v="1938.0"/>
        <n v="1071.0"/>
        <n v="1183.0"/>
        <n v="1077.0"/>
        <n v="1421.0"/>
        <n v="862.0"/>
        <n v="2523.0"/>
        <n v="2393.0"/>
        <n v="1946.0"/>
        <n v="664.0"/>
        <n v="45.0"/>
        <n v="555.0"/>
        <n v="240.0"/>
        <n v="3432.0"/>
        <n v="3297.0"/>
        <n v="40.0"/>
        <n v="985.0"/>
        <n v="566.0"/>
        <n v="1732.0"/>
        <n v="1156.0"/>
        <n v="298.0"/>
        <n v="732.0"/>
        <n v="23.0"/>
        <n v="1323.0"/>
        <n v="209.0"/>
        <n v="883.0"/>
        <n v="424.0"/>
        <n v="1561.0"/>
        <n v="379.0"/>
        <n v="3006.0"/>
        <n v="2582.0"/>
        <n v="28.0"/>
        <n v="3026.0"/>
        <n v="3882.0"/>
        <n v="315.0"/>
        <n v="2280.0"/>
        <n v="733.0"/>
        <n v="3932.0"/>
        <n v="1684.0"/>
        <n v="559.0"/>
        <n v="1468.0"/>
        <n v="1334.0"/>
        <n v="1462.0"/>
        <n v="1387.0"/>
        <n v="1118.0"/>
        <n v="191.0"/>
        <n v="305.0"/>
        <n v="3742.0"/>
        <n v="115.0"/>
        <n v="1780.0"/>
        <n v="321.0"/>
        <n v="503.0"/>
        <n v="755.0"/>
        <n v="832.0"/>
        <n v="1317.0"/>
        <n v="375.0"/>
        <n v="1420.0"/>
        <n v="275.0"/>
        <n v="415.0"/>
        <n v="431.0"/>
        <n v="364.0"/>
        <n v="311.0"/>
        <n v="1040.0"/>
        <n v="337.0"/>
        <n v="1215.0"/>
        <n v="449.0"/>
        <n v="1470.0"/>
        <n v="2199.0"/>
        <n v="1172.0"/>
        <n v="1865.0"/>
        <n v="1573.0"/>
        <n v="1059.0"/>
        <n v="1590.0"/>
        <n v="4251.0"/>
        <n v="1336.0"/>
        <n v="746.0"/>
        <n v="472.0"/>
        <n v="1348.0"/>
        <n v="858.0"/>
        <n v="52.0"/>
        <n v="331.0"/>
        <n v="684.0"/>
        <n v="1225.0"/>
        <n v="6.0"/>
        <n v="63.0"/>
        <n v="70.0"/>
        <n v="848.0"/>
        <n v="366.0"/>
        <n v="790.0"/>
        <n v="475.0"/>
        <n v="132.0"/>
        <n v="1101.0"/>
        <n v="968.0"/>
        <n v="980.0"/>
        <n v="1768.0"/>
        <n v="966.0"/>
        <n v="2803.0"/>
        <n v="51.0"/>
        <n v="164.0"/>
        <n v="1792.0"/>
        <n v="569.0"/>
        <n v="160.0"/>
        <n v="333.0"/>
        <n v="1524.0"/>
        <n v="1079.0"/>
        <n v="1316.0"/>
        <n v="367.0"/>
        <n v="789.0"/>
        <n v="1204.0"/>
        <n v="256.0"/>
        <n v="319.0"/>
        <n v="920.0"/>
      </sharedItems>
    </cacheField>
    <cacheField name="PR_Ear" numFmtId="0">
      <sharedItems containsString="0" containsBlank="1" containsNumber="1" containsInteger="1">
        <m/>
        <n v="3.0"/>
        <n v="30.0"/>
        <n v="20.0"/>
        <n v="1.0"/>
        <n v="6.0"/>
        <n v="2.0"/>
        <n v="5.0"/>
        <n v="28.0"/>
        <n v="14.0"/>
        <n v="16.0"/>
        <n v="4.0"/>
        <n v="12.0"/>
        <n v="27.0"/>
        <n v="10.0"/>
        <n v="9.0"/>
        <n v="8.0"/>
        <n v="95.0"/>
        <n v="15.0"/>
        <n v="19.0"/>
        <n v="17.0"/>
        <n v="7.0"/>
        <n v="35.0"/>
        <n v="13.0"/>
        <n v="11.0"/>
        <n v="91.0"/>
        <n v="80.0"/>
        <n v="72.0"/>
        <n v="42.0"/>
        <n v="34.0"/>
        <n v="33.0"/>
        <n v="44.0"/>
        <n v="39.0"/>
        <n v="63.0"/>
        <n v="31.0"/>
        <n v="22.0"/>
        <n v="50.0"/>
        <n v="45.0"/>
        <n v="71.0"/>
        <n v="29.0"/>
        <n v="66.0"/>
        <n v="23.0"/>
        <n v="123.0"/>
        <n v="68.0"/>
      </sharedItems>
    </cacheField>
    <cacheField name="PR_Endocrine_System" numFmtId="0">
      <sharedItems containsString="0" containsBlank="1" containsNumber="1" containsInteger="1">
        <m/>
        <n v="5.0"/>
        <n v="14.0"/>
        <n v="18.0"/>
        <n v="23.0"/>
        <n v="1.0"/>
        <n v="6.0"/>
        <n v="31.0"/>
        <n v="27.0"/>
        <n v="22.0"/>
        <n v="3.0"/>
        <n v="4.0"/>
        <n v="10.0"/>
        <n v="52.0"/>
        <n v="12.0"/>
        <n v="2.0"/>
        <n v="7.0"/>
        <n v="30.0"/>
        <n v="15.0"/>
        <n v="13.0"/>
        <n v="9.0"/>
        <n v="32.0"/>
        <n v="36.0"/>
        <n v="8.0"/>
        <n v="29.0"/>
        <n v="24.0"/>
        <n v="90.0"/>
        <n v="25.0"/>
        <n v="17.0"/>
        <n v="107.0"/>
        <n v="130.0"/>
        <n v="11.0"/>
        <n v="16.0"/>
        <n v="99.0"/>
        <n v="175.0"/>
        <n v="35.0"/>
        <n v="64.0"/>
        <n v="111.0"/>
        <n v="71.0"/>
        <n v="131.0"/>
        <n v="46.0"/>
        <n v="21.0"/>
        <n v="106.0"/>
        <n v="80.0"/>
        <n v="75.0"/>
        <n v="98.0"/>
        <n v="33.0"/>
        <n v="68.0"/>
        <n v="141.0"/>
        <n v="26.0"/>
        <n v="45.0"/>
        <n v="39.0"/>
        <n v="37.0"/>
        <n v="325.0"/>
        <n v="20.0"/>
        <n v="95.0"/>
        <n v="40.0"/>
        <n v="38.0"/>
        <n v="257.0"/>
      </sharedItems>
    </cacheField>
    <cacheField name="PR_Eye" numFmtId="0">
      <sharedItems containsString="0" containsBlank="1" containsNumber="1" containsInteger="1">
        <n v="1.0"/>
        <n v="4.0"/>
        <n v="16.0"/>
        <m/>
        <n v="12.0"/>
        <n v="7.0"/>
        <n v="3.0"/>
        <n v="2.0"/>
        <n v="19.0"/>
        <n v="23.0"/>
        <n v="13.0"/>
        <n v="137.0"/>
        <n v="5.0"/>
        <n v="11.0"/>
        <n v="10.0"/>
        <n v="9.0"/>
        <n v="105.0"/>
        <n v="85.0"/>
        <n v="191.0"/>
        <n v="30.0"/>
        <n v="6.0"/>
        <n v="72.0"/>
        <n v="15.0"/>
        <n v="63.0"/>
        <n v="14.0"/>
        <n v="57.0"/>
        <n v="20.0"/>
        <n v="36.0"/>
        <n v="17.0"/>
        <n v="54.0"/>
        <n v="41.0"/>
        <n v="64.0"/>
        <n v="8.0"/>
        <n v="22.0"/>
        <n v="50.0"/>
      </sharedItems>
    </cacheField>
    <cacheField name="PR_Reproductive_System" numFmtId="0">
      <sharedItems containsString="0" containsBlank="1" containsNumber="1" containsInteger="1">
        <n v="19.0"/>
        <n v="227.0"/>
        <n v="62.0"/>
        <m/>
        <n v="154.0"/>
        <n v="82.0"/>
        <n v="41.0"/>
        <n v="95.0"/>
        <n v="56.0"/>
        <n v="116.0"/>
        <n v="582.0"/>
        <n v="879.0"/>
        <n v="6.0"/>
        <n v="208.0"/>
        <n v="219.0"/>
        <n v="1.0"/>
        <n v="193.0"/>
        <n v="50.0"/>
        <n v="790.0"/>
        <n v="870.0"/>
        <n v="88.0"/>
        <n v="22.0"/>
        <n v="538.0"/>
        <n v="43.0"/>
        <n v="23.0"/>
        <n v="21.0"/>
        <n v="180.0"/>
        <n v="471.0"/>
        <n v="38.0"/>
        <n v="344.0"/>
        <n v="11.0"/>
        <n v="179.0"/>
        <n v="64.0"/>
        <n v="8.0"/>
        <n v="35.0"/>
        <n v="206.0"/>
        <n v="205.0"/>
        <n v="202.0"/>
        <n v="20.0"/>
        <n v="122.0"/>
        <n v="83.0"/>
        <n v="5.0"/>
        <n v="10.0"/>
        <n v="188.0"/>
        <n v="160.0"/>
        <n v="197.0"/>
        <n v="358.0"/>
        <n v="46.0"/>
        <n v="172.0"/>
        <n v="134.0"/>
        <n v="28.0"/>
        <n v="29.0"/>
        <n v="298.0"/>
        <n v="61.0"/>
        <n v="85.0"/>
        <n v="54.0"/>
        <n v="51.0"/>
        <n v="326.0"/>
        <n v="228.0"/>
        <n v="15.0"/>
        <n v="439.0"/>
        <n v="931.0"/>
        <n v="906.0"/>
        <n v="719.0"/>
        <n v="635.0"/>
        <n v="716.0"/>
        <n v="590.0"/>
        <n v="576.0"/>
        <n v="2.0"/>
        <n v="817.0"/>
        <n v="718.0"/>
        <n v="237.0"/>
        <n v="3.0"/>
        <n v="412.0"/>
        <n v="314.0"/>
        <n v="37.0"/>
        <n v="1912.0"/>
        <n v="7.0"/>
        <n v="257.0"/>
        <n v="477.0"/>
        <n v="307.0"/>
        <n v="376.0"/>
        <n v="688.0"/>
        <n v="536.0"/>
        <n v="374.0"/>
        <n v="312.0"/>
        <n v="221.0"/>
        <n v="140.0"/>
        <n v="545.0"/>
        <n v="14.0"/>
        <n v="328.0"/>
        <n v="851.0"/>
        <n v="275.0"/>
        <n v="16.0"/>
        <n v="423.0"/>
        <n v="321.0"/>
        <n v="949.0"/>
        <n v="797.0"/>
        <n v="242.0"/>
        <n v="53.0"/>
        <n v="34.0"/>
        <n v="17.0"/>
        <n v="203.0"/>
        <n v="68.0"/>
        <n v="58.0"/>
        <n v="110.0"/>
        <n v="204.0"/>
        <n v="87.0"/>
        <n v="12.0"/>
        <n v="39.0"/>
        <n v="57.0"/>
        <n v="65.0"/>
        <n v="401.0"/>
        <n v="225.0"/>
        <n v="47.0"/>
        <n v="2341.0"/>
        <n v="9.0"/>
        <n v="86.0"/>
        <n v="100.0"/>
        <n v="593.0"/>
        <n v="479.0"/>
        <n v="24.0"/>
        <n v="30.0"/>
        <n v="650.0"/>
        <n v="914.0"/>
        <n v="570.0"/>
        <n v="207.0"/>
        <n v="2103.0"/>
        <n v="564.0"/>
        <n v="1130.0"/>
        <n v="176.0"/>
        <n v="107.0"/>
        <n v="224.0"/>
        <n v="137.0"/>
        <n v="342.0"/>
        <n v="1030.0"/>
        <n v="393.0"/>
        <n v="289.0"/>
        <n v="74.0"/>
        <n v="142.0"/>
        <n v="244.0"/>
        <n v="108.0"/>
        <n v="301.0"/>
        <n v="585.0"/>
        <n v="1454.0"/>
        <n v="436.0"/>
        <n v="135.0"/>
        <n v="558.0"/>
        <n v="131.0"/>
        <n v="240.0"/>
        <n v="139.0"/>
        <n v="4.0"/>
        <n v="18.0"/>
        <n v="329.0"/>
        <n v="216.0"/>
        <n v="119.0"/>
        <n v="266.0"/>
        <n v="175.0"/>
        <n v="230.0"/>
        <n v="223.0"/>
        <n v="522.0"/>
        <n v="557.0"/>
        <n v="220.0"/>
        <n v="166.0"/>
        <n v="102.0"/>
        <n v="690.0"/>
        <n v="120.0"/>
        <n v="333.0"/>
        <n v="130.0"/>
        <n v="951.0"/>
        <n v="1011.0"/>
        <n v="94.0"/>
        <n v="305.0"/>
        <n v="908.0"/>
        <n v="92.0"/>
        <n v="533.0"/>
        <n v="499.0"/>
        <n v="1018.0"/>
        <n v="552.0"/>
        <n v="69.0"/>
        <n v="285.0"/>
        <n v="392.0"/>
        <n v="450.0"/>
        <n v="825.0"/>
        <n v="40.0"/>
        <n v="874.0"/>
        <n v="42.0"/>
        <n v="32.0"/>
        <n v="388.0"/>
        <n v="442.0"/>
        <n v="377.0"/>
        <n v="31.0"/>
        <n v="386.0"/>
        <n v="181.0"/>
        <n v="187.0"/>
        <n v="49.0"/>
        <n v="143.0"/>
        <n v="77.0"/>
        <n v="73.0"/>
        <n v="600.0"/>
        <n v="656.0"/>
        <n v="126.0"/>
        <n v="84.0"/>
        <n v="138.0"/>
      </sharedItems>
    </cacheField>
    <cacheField name="PR_Hemic_Lymph_System" numFmtId="0">
      <sharedItems containsString="0" containsBlank="1" containsNumber="1" containsInteger="1">
        <m/>
        <n v="17.0"/>
        <n v="60.0"/>
        <n v="46.0"/>
        <n v="81.0"/>
        <n v="7.0"/>
        <n v="26.0"/>
        <n v="23.0"/>
        <n v="11.0"/>
        <n v="36.0"/>
        <n v="158.0"/>
        <n v="3.0"/>
        <n v="15.0"/>
        <n v="38.0"/>
        <n v="1.0"/>
        <n v="20.0"/>
        <n v="8.0"/>
        <n v="171.0"/>
        <n v="27.0"/>
        <n v="72.0"/>
        <n v="4.0"/>
        <n v="18.0"/>
        <n v="2.0"/>
        <n v="114.0"/>
        <n v="174.0"/>
        <n v="70.0"/>
        <n v="14.0"/>
        <n v="12.0"/>
        <n v="25.0"/>
        <n v="49.0"/>
        <n v="13.0"/>
        <n v="45.0"/>
        <n v="31.0"/>
        <n v="10.0"/>
        <n v="54.0"/>
        <n v="122.0"/>
        <n v="790.0"/>
        <n v="24.0"/>
        <n v="21.0"/>
        <n v="22.0"/>
        <n v="41.0"/>
        <n v="78.0"/>
        <n v="48.0"/>
        <n v="93.0"/>
        <n v="116.0"/>
        <n v="108.0"/>
        <n v="30.0"/>
        <n v="28.0"/>
        <n v="74.0"/>
        <n v="5.0"/>
        <n v="58.0"/>
        <n v="458.0"/>
        <n v="89.0"/>
        <n v="29.0"/>
        <n v="65.0"/>
        <n v="59.0"/>
        <n v="374.0"/>
        <n v="176.0"/>
        <n v="107.0"/>
        <n v="148.0"/>
        <n v="47.0"/>
        <n v="56.0"/>
        <n v="96.0"/>
        <n v="19.0"/>
        <n v="44.0"/>
        <n v="35.0"/>
        <n v="16.0"/>
        <n v="9.0"/>
        <n v="115.0"/>
        <n v="57.0"/>
        <n v="159.0"/>
        <n v="39.0"/>
        <n v="76.0"/>
        <n v="239.0"/>
        <n v="43.0"/>
        <n v="82.0"/>
        <n v="6.0"/>
        <n v="126.0"/>
        <n v="95.0"/>
        <n v="42.0"/>
        <n v="136.0"/>
        <n v="124.0"/>
        <n v="32.0"/>
        <n v="52.0"/>
        <n v="364.0"/>
        <n v="189.0"/>
        <n v="80.0"/>
        <n v="164.0"/>
        <n v="199.0"/>
        <n v="69.0"/>
        <n v="73.0"/>
        <n v="87.0"/>
        <n v="129.0"/>
        <n v="71.0"/>
        <n v="105.0"/>
        <n v="68.0"/>
        <n v="452.0"/>
        <n v="139.0"/>
        <n v="40.0"/>
        <n v="638.0"/>
        <n v="90.0"/>
        <n v="50.0"/>
        <n v="33.0"/>
        <n v="106.0"/>
        <n v="92.0"/>
        <n v="698.0"/>
        <n v="94.0"/>
        <n v="67.0"/>
        <n v="66.0"/>
      </sharedItems>
    </cacheField>
    <cacheField name="PR_Integumentary_System" numFmtId="0">
      <sharedItems containsString="0" containsBlank="1" containsNumber="1" containsInteger="1">
        <n v="39.0"/>
        <n v="189.0"/>
        <n v="154.0"/>
        <n v="2.0"/>
        <n v="614.0"/>
        <n v="13.0"/>
        <n v="293.0"/>
        <n v="52.0"/>
        <n v="220.0"/>
        <m/>
        <n v="102.0"/>
        <n v="106.0"/>
        <n v="313.0"/>
        <n v="404.0"/>
        <n v="206.0"/>
        <n v="31.0"/>
        <n v="4.0"/>
        <n v="260.0"/>
        <n v="343.0"/>
        <n v="17.0"/>
        <n v="8.0"/>
        <n v="100.0"/>
        <n v="86.0"/>
        <n v="527.0"/>
        <n v="216.0"/>
        <n v="190.0"/>
        <n v="49.0"/>
        <n v="168.0"/>
        <n v="60.0"/>
        <n v="35.0"/>
        <n v="383.0"/>
        <n v="1212.0"/>
        <n v="7.0"/>
        <n v="543.0"/>
        <n v="10.0"/>
        <n v="144.0"/>
        <n v="26.0"/>
        <n v="19.0"/>
        <n v="182.0"/>
        <n v="62.0"/>
        <n v="64.0"/>
        <n v="27.0"/>
        <n v="32.0"/>
        <n v="409.0"/>
        <n v="292.0"/>
        <n v="161.0"/>
        <n v="76.0"/>
        <n v="20.0"/>
        <n v="321.0"/>
        <n v="24.0"/>
        <n v="12.0"/>
        <n v="237.0"/>
        <n v="25.0"/>
        <n v="93.0"/>
        <n v="465.0"/>
        <n v="11.0"/>
        <n v="226.0"/>
        <n v="233.0"/>
        <n v="175.0"/>
        <n v="503.0"/>
        <n v="273.0"/>
        <n v="320.0"/>
        <n v="263.0"/>
        <n v="69.0"/>
        <n v="113.0"/>
        <n v="167.0"/>
        <n v="198.0"/>
        <n v="215.0"/>
        <n v="44.0"/>
        <n v="59.0"/>
        <n v="136.0"/>
        <n v="3.0"/>
        <n v="129.0"/>
        <n v="335.0"/>
        <n v="38.0"/>
        <n v="67.0"/>
        <n v="146.0"/>
        <n v="442.0"/>
        <n v="231.0"/>
        <n v="597.0"/>
        <n v="155.0"/>
        <n v="649.0"/>
        <n v="301.0"/>
        <n v="271.0"/>
        <n v="130.0"/>
        <n v="217.0"/>
        <n v="43.0"/>
        <n v="353.0"/>
        <n v="96.0"/>
        <n v="170.0"/>
        <n v="133.0"/>
        <n v="119.0"/>
        <n v="63.0"/>
        <n v="588.0"/>
        <n v="222.0"/>
        <n v="80.0"/>
        <n v="1194.0"/>
        <n v="338.0"/>
        <n v="47.0"/>
        <n v="51.0"/>
        <n v="14.0"/>
        <n v="425.0"/>
        <n v="490.0"/>
        <n v="28.0"/>
        <n v="97.0"/>
        <n v="1.0"/>
        <n v="290.0"/>
        <n v="120.0"/>
        <n v="500.0"/>
        <n v="196.0"/>
        <n v="225.0"/>
        <n v="48.0"/>
        <n v="541.0"/>
        <n v="357.0"/>
        <n v="118.0"/>
        <n v="328.0"/>
        <n v="311.0"/>
        <n v="5.0"/>
        <n v="241.0"/>
        <n v="761.0"/>
        <n v="1193.0"/>
        <n v="356.0"/>
        <n v="345.0"/>
        <n v="46.0"/>
        <n v="264.0"/>
        <n v="213.0"/>
        <n v="79.0"/>
        <n v="291.0"/>
        <n v="186.0"/>
        <n v="208.0"/>
        <n v="70.0"/>
        <n v="9.0"/>
        <n v="173.0"/>
        <n v="193.0"/>
        <n v="327.0"/>
        <n v="6.0"/>
        <n v="278.0"/>
        <n v="124.0"/>
        <n v="61.0"/>
        <n v="85.0"/>
        <n v="201.0"/>
        <n v="214.0"/>
        <n v="111.0"/>
        <n v="128.0"/>
        <n v="316.0"/>
        <n v="68.0"/>
        <n v="553.0"/>
        <n v="42.0"/>
        <n v="58.0"/>
        <n v="202.0"/>
        <n v="66.0"/>
        <n v="839.0"/>
        <n v="57.0"/>
        <n v="419.0"/>
        <n v="296.0"/>
        <n v="440.0"/>
        <n v="456.0"/>
        <n v="554.0"/>
        <n v="304.0"/>
        <n v="163.0"/>
        <n v="587.0"/>
        <n v="578.0"/>
        <n v="99.0"/>
        <n v="108.0"/>
        <n v="18.0"/>
        <n v="633.0"/>
        <n v="160.0"/>
        <n v="603.0"/>
        <n v="15.0"/>
        <n v="132.0"/>
        <n v="367.0"/>
        <n v="205.0"/>
        <n v="619.0"/>
        <n v="115.0"/>
        <n v="1088.0"/>
        <n v="443.0"/>
        <n v="326.0"/>
        <n v="84.0"/>
        <n v="657.0"/>
        <n v="780.0"/>
        <n v="16.0"/>
        <n v="294.0"/>
        <n v="137.0"/>
        <n v="332.0"/>
        <n v="333.0"/>
        <n v="72.0"/>
        <n v="22.0"/>
        <n v="569.0"/>
        <n v="36.0"/>
        <n v="219.0"/>
        <n v="91.0"/>
        <n v="283.0"/>
        <n v="726.0"/>
        <n v="462.0"/>
        <n v="632.0"/>
        <n v="802.0"/>
        <n v="428.0"/>
        <n v="135.0"/>
        <n v="1412.0"/>
        <n v="248.0"/>
        <n v="125.0"/>
        <n v="396.0"/>
        <n v="227.0"/>
        <n v="262.0"/>
        <n v="700.0"/>
        <n v="299.0"/>
        <n v="74.0"/>
        <n v="817.0"/>
        <n v="197.0"/>
        <n v="116.0"/>
        <n v="355.0"/>
        <n v="361.0"/>
        <n v="242.0"/>
        <n v="83.0"/>
        <n v="218.0"/>
        <n v="81.0"/>
        <n v="255.0"/>
        <n v="421.0"/>
        <n v="250.0"/>
        <n v="775.0"/>
        <n v="893.0"/>
        <n v="65.0"/>
        <n v="272.0"/>
        <n v="194.0"/>
        <n v="82.0"/>
        <n v="29.0"/>
        <n v="158.0"/>
        <n v="112.0"/>
        <n v="37.0"/>
        <n v="402.0"/>
        <n v="187.0"/>
        <n v="169.0"/>
        <n v="378.0"/>
        <n v="178.0"/>
        <n v="449.0"/>
        <n v="21.0"/>
        <n v="53.0"/>
        <n v="434.0"/>
        <n v="286.0"/>
        <n v="448.0"/>
        <n v="73.0"/>
        <n v="180.0"/>
        <n v="50.0"/>
        <n v="212.0"/>
      </sharedItems>
    </cacheField>
    <cacheField name="PR_Musculoskeletal_System" numFmtId="0">
      <sharedItems containsString="0" containsBlank="1" containsNumber="1" containsInteger="1">
        <n v="123.0"/>
        <n v="663.0"/>
        <n v="518.0"/>
        <n v="1.0"/>
        <n v="914.0"/>
        <n v="10.0"/>
        <n v="509.0"/>
        <n v="255.0"/>
        <n v="743.0"/>
        <m/>
        <n v="472.0"/>
        <n v="200.0"/>
        <n v="729.0"/>
        <n v="1702.0"/>
        <n v="715.0"/>
        <n v="7.0"/>
        <n v="553.0"/>
        <n v="1446.0"/>
        <n v="51.0"/>
        <n v="2.0"/>
        <n v="204.0"/>
        <n v="194.0"/>
        <n v="2661.0"/>
        <n v="610.0"/>
        <n v="1008.0"/>
        <n v="432.0"/>
        <n v="418.0"/>
        <n v="219.0"/>
        <n v="218.0"/>
        <n v="306.0"/>
        <n v="1121.0"/>
        <n v="2608.0"/>
        <n v="1184.0"/>
        <n v="881.0"/>
        <n v="469.0"/>
        <n v="111.0"/>
        <n v="15.0"/>
        <n v="629.0"/>
        <n v="132.0"/>
        <n v="129.0"/>
        <n v="65.0"/>
        <n v="106.0"/>
        <n v="989.0"/>
        <n v="946.0"/>
        <n v="607.0"/>
        <n v="33.0"/>
        <n v="162.0"/>
        <n v="986.0"/>
        <n v="3.0"/>
        <n v="9.0"/>
        <n v="508.0"/>
        <n v="21.0"/>
        <n v="137.0"/>
        <n v="202.0"/>
        <n v="1202.0"/>
        <n v="8.0"/>
        <n v="5.0"/>
        <n v="477.0"/>
        <n v="708.0"/>
        <n v="436.0"/>
        <n v="925.0"/>
        <n v="230.0"/>
        <n v="395.0"/>
        <n v="1298.0"/>
        <n v="253.0"/>
        <n v="14.0"/>
        <n v="124.0"/>
        <n v="278.0"/>
        <n v="566.0"/>
        <n v="440.0"/>
        <n v="421.0"/>
        <n v="100.0"/>
        <n v="77.0"/>
        <n v="229.0"/>
        <n v="46.0"/>
        <n v="335.0"/>
        <n v="1037.0"/>
        <n v="1419.0"/>
        <n v="749.0"/>
        <n v="2131.0"/>
        <n v="362.0"/>
        <n v="2183.0"/>
        <n v="1294.0"/>
        <n v="537.0"/>
        <n v="561.0"/>
        <n v="441.0"/>
        <n v="29.0"/>
        <n v="862.0"/>
        <n v="718.0"/>
        <n v="562.0"/>
        <n v="156.0"/>
        <n v="644.0"/>
        <n v="1649.0"/>
        <n v="1073.0"/>
        <n v="11.0"/>
        <n v="4147.0"/>
        <n v="977.0"/>
        <n v="90.0"/>
        <n v="54.0"/>
        <n v="1620.0"/>
        <n v="1224.0"/>
        <n v="782.0"/>
        <n v="170.0"/>
        <n v="131.0"/>
        <n v="154.0"/>
        <n v="1640.0"/>
        <n v="23.0"/>
        <n v="674.0"/>
        <n v="2034.0"/>
        <n v="792.0"/>
        <n v="83.0"/>
        <n v="890.0"/>
        <n v="1000.0"/>
        <n v="43.0"/>
        <n v="448.0"/>
        <n v="1021.0"/>
        <n v="242.0"/>
        <n v="713.0"/>
        <n v="1672.0"/>
        <n v="1976.0"/>
        <n v="314.0"/>
        <n v="359.0"/>
        <n v="304.0"/>
        <n v="575.0"/>
        <n v="1373.0"/>
        <n v="582.0"/>
        <n v="326.0"/>
        <n v="1022.0"/>
        <n v="638.0"/>
        <n v="183.0"/>
        <n v="468.0"/>
        <n v="342.0"/>
        <n v="521.0"/>
        <n v="136.0"/>
        <n v="583.0"/>
        <n v="485.0"/>
        <n v="4.0"/>
        <n v="178.0"/>
        <n v="1217.0"/>
        <n v="687.0"/>
        <n v="328.0"/>
        <n v="155.0"/>
        <n v="420.0"/>
        <n v="214.0"/>
        <n v="358.0"/>
        <n v="820.0"/>
        <n v="290.0"/>
        <n v="433.0"/>
        <n v="812.0"/>
        <n v="79.0"/>
        <n v="1460.0"/>
        <n v="94.0"/>
        <n v="102.0"/>
        <n v="619.0"/>
        <n v="71.0"/>
        <n v="1338.0"/>
        <n v="2103.0"/>
        <n v="121.0"/>
        <n v="226.0"/>
        <n v="807.0"/>
        <n v="252.0"/>
        <n v="1893.0"/>
        <n v="1200.0"/>
        <n v="429.0"/>
        <n v="232.0"/>
        <n v="624.0"/>
        <n v="35.0"/>
        <n v="1836.0"/>
        <n v="1843.0"/>
        <n v="302.0"/>
        <n v="2190.0"/>
        <n v="1112.0"/>
        <n v="449.0"/>
        <n v="1606.0"/>
        <n v="2241.0"/>
        <n v="364.0"/>
        <n v="267.0"/>
        <n v="239.0"/>
        <n v="1875.0"/>
        <n v="87.0"/>
        <n v="108.0"/>
        <n v="536.0"/>
        <n v="1080.0"/>
        <n v="2626.0"/>
        <n v="467.0"/>
        <n v="535.0"/>
        <n v="1426.0"/>
        <n v="1013.0"/>
        <n v="1562.0"/>
        <n v="473.0"/>
        <n v="2876.0"/>
        <n v="1992.0"/>
        <n v="947.0"/>
        <n v="514.0"/>
        <n v="480.0"/>
        <n v="112.0"/>
        <n v="52.0"/>
        <n v="1607.0"/>
        <n v="2231.0"/>
        <n v="22.0"/>
        <n v="1232.0"/>
        <n v="747.0"/>
        <n v="666.0"/>
        <n v="704.0"/>
        <n v="382.0"/>
        <n v="6.0"/>
        <n v="69.0"/>
        <n v="396.0"/>
        <n v="16.0"/>
        <n v="1308.0"/>
        <n v="75.0"/>
        <n v="524.0"/>
        <n v="297.0"/>
        <n v="1365.0"/>
        <n v="319.0"/>
        <n v="2169.0"/>
        <n v="12.0"/>
        <n v="1291.0"/>
        <n v="2507.0"/>
        <n v="2545.0"/>
        <n v="163.0"/>
        <n v="1778.0"/>
        <n v="763.0"/>
        <n v="3200.0"/>
        <n v="773.0"/>
        <n v="240.0"/>
        <n v="1589.0"/>
        <n v="1017.0"/>
        <n v="1497.0"/>
        <n v="530.0"/>
        <n v="504.0"/>
        <n v="1261.0"/>
        <n v="4250.0"/>
        <n v="53.0"/>
        <n v="367.0"/>
        <n v="1014.0"/>
        <n v="254.0"/>
        <n v="374.0"/>
        <n v="1084.0"/>
        <n v="612.0"/>
        <n v="243.0"/>
        <n v="120.0"/>
        <n v="618.0"/>
        <n v="329.0"/>
        <n v="528.0"/>
        <n v="285.0"/>
        <n v="164.0"/>
        <n v="407.0"/>
        <n v="180.0"/>
        <n v="873.0"/>
        <n v="616.0"/>
        <n v="363.0"/>
        <n v="554.0"/>
        <n v="186.0"/>
        <n v="918.0"/>
        <n v="987.0"/>
        <n v="853.0"/>
        <n v="1174.0"/>
        <n v="958.0"/>
        <n v="481.0"/>
        <n v="3305.0"/>
        <n v="838.0"/>
        <n v="125.0"/>
        <n v="540.0"/>
        <n v="107.0"/>
        <n v="169.0"/>
        <n v="693.0"/>
        <n v="89.0"/>
        <n v="95.0"/>
        <n v="547.0"/>
        <n v="642.0"/>
        <n v="810.0"/>
        <n v="42.0"/>
        <n v="1328.0"/>
        <n v="589.0"/>
        <n v="866.0"/>
        <n v="1238.0"/>
        <n v="478.0"/>
        <n v="1747.0"/>
        <n v="103.0"/>
        <n v="173.0"/>
        <n v="1530.0"/>
        <n v="234.0"/>
        <n v="212.0"/>
        <n v="476.0"/>
        <n v="889.0"/>
        <n v="755.0"/>
        <n v="1650.0"/>
        <n v="265.0"/>
        <n v="386.0"/>
        <n v="310.0"/>
        <n v="640.0"/>
      </sharedItems>
    </cacheField>
    <cacheField name="PR_Nervous_System" numFmtId="0">
      <sharedItems containsString="0" containsBlank="1" containsNumber="1" containsInteger="1">
        <n v="28.0"/>
        <n v="247.0"/>
        <n v="338.0"/>
        <m/>
        <n v="400.0"/>
        <n v="98.0"/>
        <n v="13.0"/>
        <n v="181.0"/>
        <n v="82.0"/>
        <n v="42.0"/>
        <n v="217.0"/>
        <n v="697.0"/>
        <n v="52.0"/>
        <n v="8.0"/>
        <n v="35.0"/>
        <n v="187.0"/>
        <n v="7.0"/>
        <n v="39.0"/>
        <n v="33.0"/>
        <n v="507.0"/>
        <n v="83.0"/>
        <n v="51.0"/>
        <n v="56.0"/>
        <n v="54.0"/>
        <n v="5.0"/>
        <n v="21.0"/>
        <n v="131.0"/>
        <n v="983.0"/>
        <n v="4.0"/>
        <n v="108.0"/>
        <n v="2.0"/>
        <n v="139.0"/>
        <n v="89.0"/>
        <n v="32.0"/>
        <n v="3.0"/>
        <n v="9.0"/>
        <n v="425.0"/>
        <n v="236.0"/>
        <n v="307.0"/>
        <n v="77.0"/>
        <n v="6.0"/>
        <n v="37.0"/>
        <n v="337.0"/>
        <n v="1.0"/>
        <n v="60.0"/>
        <n v="156.0"/>
        <n v="85.0"/>
        <n v="646.0"/>
        <n v="271.0"/>
        <n v="10.0"/>
        <n v="46.0"/>
        <n v="78.0"/>
        <n v="91.0"/>
        <n v="301.0"/>
        <n v="178.0"/>
        <n v="283.0"/>
        <n v="489.0"/>
        <n v="24.0"/>
        <n v="511.0"/>
        <n v="1026.0"/>
        <n v="67.0"/>
        <n v="50.0"/>
        <n v="371.0"/>
        <n v="107.0"/>
        <n v="121.0"/>
        <n v="74.0"/>
        <n v="111.0"/>
        <n v="447.0"/>
        <n v="184.0"/>
        <n v="1721.0"/>
        <n v="183.0"/>
        <n v="293.0"/>
        <n v="346.0"/>
        <n v="192.0"/>
        <n v="53.0"/>
        <n v="23.0"/>
        <n v="49.0"/>
        <n v="285.0"/>
        <n v="138.0"/>
        <n v="396.0"/>
        <n v="179.0"/>
        <n v="1152.0"/>
        <n v="172.0"/>
        <n v="47.0"/>
        <n v="185.0"/>
        <n v="17.0"/>
        <n v="171.0"/>
        <n v="15.0"/>
        <n v="436.0"/>
        <n v="759.0"/>
        <n v="109.0"/>
        <n v="27.0"/>
        <n v="336.0"/>
        <n v="622.0"/>
        <n v="64.0"/>
        <n v="186.0"/>
        <n v="298.0"/>
        <n v="142.0"/>
        <n v="422.0"/>
        <n v="16.0"/>
        <n v="204.0"/>
        <n v="19.0"/>
        <n v="20.0"/>
        <n v="31.0"/>
        <n v="261.0"/>
        <n v="208.0"/>
        <n v="80.0"/>
        <n v="44.0"/>
        <n v="644.0"/>
        <n v="199.0"/>
        <n v="149.0"/>
        <n v="750.0"/>
        <n v="344.0"/>
        <n v="850.0"/>
        <n v="147.0"/>
        <n v="322.0"/>
        <n v="343.0"/>
        <n v="63.0"/>
        <n v="12.0"/>
        <n v="100.0"/>
        <n v="38.0"/>
        <n v="612.0"/>
        <n v="22.0"/>
        <n v="545.0"/>
        <n v="61.0"/>
        <n v="256.0"/>
        <n v="11.0"/>
        <n v="43.0"/>
        <n v="473.0"/>
        <n v="18.0"/>
        <n v="55.0"/>
        <n v="211.0"/>
        <n v="369.0"/>
        <n v="117.0"/>
        <n v="94.0"/>
        <n v="814.0"/>
        <n v="264.0"/>
        <n v="266.0"/>
        <n v="1153.0"/>
        <n v="800.0"/>
        <n v="190.0"/>
        <n v="783.0"/>
        <n v="746.0"/>
        <n v="127.0"/>
        <n v="191.0"/>
        <n v="75.0"/>
        <n v="467.0"/>
        <n v="59.0"/>
        <n v="608.0"/>
        <n v="562.0"/>
        <n v="14.0"/>
        <n v="418.0"/>
        <n v="277.0"/>
        <n v="393.0"/>
        <n v="115.0"/>
        <n v="1174.0"/>
        <n v="342.0"/>
        <n v="194.0"/>
        <n v="68.0"/>
        <n v="207.0"/>
        <n v="287.0"/>
        <n v="1878.0"/>
        <n v="311.0"/>
        <n v="30.0"/>
        <n v="36.0"/>
        <n v="145.0"/>
        <n v="26.0"/>
        <n v="128.0"/>
        <n v="221.0"/>
        <n v="34.0"/>
        <n v="154.0"/>
        <n v="66.0"/>
        <n v="1154.0"/>
        <n v="168.0"/>
        <n v="245.0"/>
        <n v="246.0"/>
        <n v="390.0"/>
        <n v="1482.0"/>
        <n v="444.0"/>
        <n v="345.0"/>
        <n v="170.0"/>
        <n v="226.0"/>
        <n v="158.0"/>
        <n v="231.0"/>
        <n v="195.0"/>
        <n v="413.0"/>
        <n v="248.0"/>
        <n v="45.0"/>
        <n v="180.0"/>
        <n v="69.0"/>
        <n v="163.0"/>
      </sharedItems>
    </cacheField>
    <cacheField name="PR_Nose_Mouth_Pharynx" numFmtId="0">
      <sharedItems containsString="0" containsBlank="1" containsNumber="1" containsInteger="1">
        <n v="3.0"/>
        <n v="33.0"/>
        <n v="199.0"/>
        <n v="1.0"/>
        <n v="85.0"/>
        <n v="2.0"/>
        <n v="22.0"/>
        <n v="12.0"/>
        <n v="19.0"/>
        <m/>
        <n v="11.0"/>
        <n v="20.0"/>
        <n v="21.0"/>
        <n v="174.0"/>
        <n v="69.0"/>
        <n v="53.0"/>
        <n v="188.0"/>
        <n v="30.0"/>
        <n v="17.0"/>
        <n v="119.0"/>
        <n v="90.0"/>
        <n v="16.0"/>
        <n v="6.0"/>
        <n v="39.0"/>
        <n v="8.0"/>
        <n v="23.0"/>
        <n v="137.0"/>
        <n v="81.0"/>
        <n v="25.0"/>
        <n v="13.0"/>
        <n v="18.0"/>
        <n v="15.0"/>
        <n v="48.0"/>
        <n v="4.0"/>
        <n v="70.0"/>
        <n v="125.0"/>
        <n v="5.0"/>
        <n v="34.0"/>
        <n v="37.0"/>
        <n v="518.0"/>
        <n v="49.0"/>
        <n v="10.0"/>
        <n v="7.0"/>
        <n v="83.0"/>
        <n v="36.0"/>
        <n v="87.0"/>
        <n v="56.0"/>
        <n v="9.0"/>
        <n v="61.0"/>
        <n v="43.0"/>
        <n v="237.0"/>
        <n v="35.0"/>
        <n v="28.0"/>
        <n v="273.0"/>
        <n v="24.0"/>
        <n v="128.0"/>
        <n v="218.0"/>
        <n v="67.0"/>
        <n v="160.0"/>
        <n v="14.0"/>
        <n v="228.0"/>
        <n v="105.0"/>
        <n v="26.0"/>
        <n v="46.0"/>
        <n v="27.0"/>
        <n v="141.0"/>
        <n v="82.0"/>
        <n v="64.0"/>
        <n v="124.0"/>
        <n v="80.0"/>
        <n v="97.0"/>
        <n v="96.0"/>
        <n v="42.0"/>
        <n v="45.0"/>
        <n v="184.0"/>
        <n v="84.0"/>
        <n v="40.0"/>
        <n v="55.0"/>
        <n v="245.0"/>
        <n v="116.0"/>
        <n v="144.0"/>
        <n v="62.0"/>
        <n v="195.0"/>
        <n v="542.0"/>
        <n v="104.0"/>
        <n v="52.0"/>
        <n v="205.0"/>
        <n v="89.0"/>
        <n v="57.0"/>
        <n v="211.0"/>
        <n v="29.0"/>
        <n v="38.0"/>
        <n v="92.0"/>
        <n v="113.0"/>
        <n v="371.0"/>
        <n v="120.0"/>
        <n v="32.0"/>
        <n v="41.0"/>
        <n v="54.0"/>
        <n v="127.0"/>
        <n v="234.0"/>
        <n v="303.0"/>
        <n v="255.0"/>
        <n v="131.0"/>
        <n v="86.0"/>
        <n v="284.0"/>
      </sharedItems>
    </cacheField>
    <cacheField name="PR_Respiratory_System" numFmtId="0">
      <sharedItems containsString="0" containsBlank="1" containsNumber="1" containsInteger="1">
        <n v="78.0"/>
        <n v="167.0"/>
        <n v="94.0"/>
        <m/>
        <n v="291.0"/>
        <n v="3.0"/>
        <n v="332.0"/>
        <n v="45.0"/>
        <n v="247.0"/>
        <n v="219.0"/>
        <n v="89.0"/>
        <n v="232.0"/>
        <n v="793.0"/>
        <n v="175.0"/>
        <n v="27.0"/>
        <n v="312.0"/>
        <n v="447.0"/>
        <n v="4.0"/>
        <n v="58.0"/>
        <n v="26.0"/>
        <n v="100.0"/>
        <n v="564.0"/>
        <n v="212.0"/>
        <n v="427.0"/>
        <n v="95.0"/>
        <n v="40.0"/>
        <n v="28.0"/>
        <n v="85.0"/>
        <n v="437.0"/>
        <n v="12.0"/>
        <n v="931.0"/>
        <n v="466.0"/>
        <n v="224.0"/>
        <n v="15.0"/>
        <n v="9.0"/>
        <n v="137.0"/>
        <n v="102.0"/>
        <n v="41.0"/>
        <n v="207.0"/>
        <n v="231.0"/>
        <n v="7.0"/>
        <n v="136.0"/>
        <n v="8.0"/>
        <n v="162.0"/>
        <n v="407.0"/>
        <n v="14.0"/>
        <n v="63.0"/>
        <n v="240.0"/>
        <n v="19.0"/>
        <n v="69.0"/>
        <n v="398.0"/>
        <n v="17.0"/>
        <n v="42.0"/>
        <n v="143.0"/>
        <n v="90.0"/>
        <n v="274.0"/>
        <n v="20.0"/>
        <n v="101.0"/>
        <n v="221.0"/>
        <n v="586.0"/>
        <n v="31.0"/>
        <n v="61.0"/>
        <n v="159.0"/>
        <n v="191.0"/>
        <n v="139.0"/>
        <n v="21.0"/>
        <n v="111.0"/>
        <n v="11.0"/>
        <n v="215.0"/>
        <n v="429.0"/>
        <n v="18.0"/>
        <n v="32.0"/>
        <n v="253.0"/>
        <n v="335.0"/>
        <n v="654.0"/>
        <n v="92.0"/>
        <n v="594.0"/>
        <n v="449.0"/>
        <n v="170.0"/>
        <n v="251.0"/>
        <n v="238.0"/>
        <n v="235.0"/>
        <n v="261.0"/>
        <n v="116.0"/>
        <n v="436.0"/>
        <n v="149.0"/>
        <n v="1603.0"/>
        <n v="309.0"/>
        <n v="526.0"/>
        <n v="383.0"/>
        <n v="56.0"/>
        <n v="482.0"/>
        <n v="43.0"/>
        <n v="250.0"/>
        <n v="402.0"/>
        <n v="337.0"/>
        <n v="33.0"/>
        <n v="711.0"/>
        <n v="285.0"/>
        <n v="113.0"/>
        <n v="165.0"/>
        <n v="395.0"/>
        <n v="109.0"/>
        <n v="471.0"/>
        <n v="322.0"/>
        <n v="642.0"/>
        <n v="114.0"/>
        <n v="112.0"/>
        <n v="450.0"/>
        <n v="158.0"/>
        <n v="230.0"/>
        <n v="164.0"/>
        <n v="64.0"/>
        <n v="917.0"/>
        <n v="120.0"/>
        <n v="157.0"/>
        <n v="16.0"/>
        <n v="66.0"/>
        <n v="199.0"/>
        <n v="282.0"/>
        <n v="2.0"/>
        <n v="244.0"/>
        <n v="86.0"/>
        <n v="110.0"/>
        <n v="169.0"/>
        <n v="24.0"/>
        <n v="554.0"/>
        <n v="370.0"/>
        <n v="295.0"/>
        <n v="941.0"/>
        <n v="44.0"/>
        <n v="495.0"/>
        <n v="573.0"/>
        <n v="77.0"/>
        <n v="71.0"/>
        <n v="505.0"/>
        <n v="394.0"/>
        <n v="49.0"/>
        <n v="145.0"/>
        <n v="13.0"/>
        <n v="559.0"/>
        <n v="99.0"/>
        <n v="753.0"/>
        <n v="396.0"/>
        <n v="176.0"/>
        <n v="820.0"/>
        <n v="142.0"/>
        <n v="108.0"/>
        <n v="5.0"/>
        <n v="699.0"/>
        <n v="47.0"/>
        <n v="206.0"/>
        <n v="223.0"/>
        <n v="464.0"/>
        <n v="198.0"/>
        <n v="321.0"/>
        <n v="152.0"/>
        <n v="134.0"/>
        <n v="788.0"/>
        <n v="462.0"/>
        <n v="498.0"/>
        <n v="122.0"/>
        <n v="54.0"/>
        <n v="23.0"/>
        <n v="704.0"/>
        <n v="744.0"/>
        <n v="1.0"/>
        <n v="216.0"/>
        <n v="84.0"/>
        <n v="302.0"/>
        <n v="271.0"/>
        <n v="30.0"/>
        <n v="311.0"/>
        <n v="127.0"/>
        <n v="210.0"/>
        <n v="545.0"/>
        <n v="25.0"/>
        <n v="563.0"/>
        <n v="523.0"/>
        <n v="796.0"/>
        <n v="529.0"/>
        <n v="182.0"/>
        <n v="331.0"/>
        <n v="412.0"/>
        <n v="316.0"/>
        <n v="55.0"/>
        <n v="242.0"/>
        <n v="964.0"/>
        <n v="365.0"/>
        <n v="46.0"/>
        <n v="411.0"/>
        <n v="268.0"/>
        <n v="121.0"/>
        <n v="96.0"/>
        <n v="53.0"/>
        <n v="166.0"/>
        <n v="65.0"/>
        <n v="202.0"/>
        <n v="93.0"/>
        <n v="171.0"/>
        <n v="518.0"/>
        <n v="189.0"/>
        <n v="340.0"/>
        <n v="358.0"/>
        <n v="324.0"/>
        <n v="1276.0"/>
        <n v="163.0"/>
        <n v="548.0"/>
        <n v="160.0"/>
        <n v="290.0"/>
        <n v="6.0"/>
        <n v="172.0"/>
        <n v="51.0"/>
        <n v="132.0"/>
        <n v="362.0"/>
        <n v="397.0"/>
        <n v="177.0"/>
        <n v="34.0"/>
        <n v="347.0"/>
        <n v="317.0"/>
        <n v="150.0"/>
        <n v="228.0"/>
        <n v="80.0"/>
        <n v="183.0"/>
        <n v="144.0"/>
        <n v="369.0"/>
      </sharedItems>
    </cacheField>
    <cacheField name="PR_Urinary_System" numFmtId="0">
      <sharedItems containsString="0" containsBlank="1" containsNumber="1" containsInteger="1">
        <n v="11.0"/>
        <n v="122.0"/>
        <n v="31.0"/>
        <m/>
        <n v="209.0"/>
        <n v="1.0"/>
        <n v="134.0"/>
        <n v="25.0"/>
        <n v="143.0"/>
        <n v="99.0"/>
        <n v="185.0"/>
        <n v="123.0"/>
        <n v="510.0"/>
        <n v="299.0"/>
        <n v="4.0"/>
        <n v="244.0"/>
        <n v="393.0"/>
        <n v="12.0"/>
        <n v="29.0"/>
        <n v="78.0"/>
        <n v="179.0"/>
        <n v="279.0"/>
        <n v="316.0"/>
        <n v="84.0"/>
        <n v="238.0"/>
        <n v="5.0"/>
        <n v="7.0"/>
        <n v="276.0"/>
        <n v="296.0"/>
        <n v="496.0"/>
        <n v="412.0"/>
        <n v="15.0"/>
        <n v="287.0"/>
        <n v="102.0"/>
        <n v="83.0"/>
        <n v="46.0"/>
        <n v="195.0"/>
        <n v="240.0"/>
        <n v="249.0"/>
        <n v="3.0"/>
        <n v="55.0"/>
        <n v="34.0"/>
        <n v="269.0"/>
        <n v="8.0"/>
        <n v="162.0"/>
        <n v="104.0"/>
        <n v="128.0"/>
        <n v="13.0"/>
        <n v="56.0"/>
        <n v="225.0"/>
        <n v="62.0"/>
        <n v="76.0"/>
        <n v="129.0"/>
        <n v="6.0"/>
        <n v="190.0"/>
        <n v="256.0"/>
        <n v="71.0"/>
        <n v="255.0"/>
        <n v="153.0"/>
        <n v="324.0"/>
        <n v="323.0"/>
        <n v="500.0"/>
        <n v="309.0"/>
        <n v="257.0"/>
        <n v="141.0"/>
        <n v="60.0"/>
        <n v="184.0"/>
        <n v="61.0"/>
        <n v="94.0"/>
        <n v="283.0"/>
        <n v="98.0"/>
        <n v="1089.0"/>
        <n v="130.0"/>
        <n v="336.0"/>
        <n v="49.0"/>
        <n v="81.0"/>
        <n v="343.0"/>
        <n v="2.0"/>
        <n v="10.0"/>
        <n v="251.0"/>
        <n v="270.0"/>
        <n v="996.0"/>
        <n v="170.0"/>
        <n v="186.0"/>
        <n v="58.0"/>
        <n v="168.0"/>
        <n v="69.0"/>
        <n v="239.0"/>
        <n v="93.0"/>
        <n v="351.0"/>
        <n v="560.0"/>
        <n v="156.0"/>
        <n v="217.0"/>
        <n v="26.0"/>
        <n v="241.0"/>
        <n v="936.0"/>
        <n v="246.0"/>
        <n v="399.0"/>
        <n v="92.0"/>
        <n v="173.0"/>
        <n v="17.0"/>
        <n v="132.0"/>
        <n v="14.0"/>
        <n v="72.0"/>
        <n v="118.0"/>
        <n v="40.0"/>
        <n v="51.0"/>
        <n v="106.0"/>
        <n v="205.0"/>
        <n v="65.0"/>
        <n v="151.0"/>
        <n v="579.0"/>
        <n v="233.0"/>
        <n v="737.0"/>
        <n v="9.0"/>
        <n v="338.0"/>
        <n v="200.0"/>
        <n v="41.0"/>
        <n v="59.0"/>
        <n v="730.0"/>
        <n v="20.0"/>
        <n v="451.0"/>
        <n v="642.0"/>
        <n v="19.0"/>
        <n v="139.0"/>
        <n v="504.0"/>
        <n v="136.0"/>
        <n v="27.0"/>
        <n v="317.0"/>
        <n v="36.0"/>
        <n v="116.0"/>
        <n v="220.0"/>
        <n v="286.0"/>
        <n v="381.0"/>
        <n v="285.0"/>
        <n v="113.0"/>
        <n v="680.0"/>
        <n v="387.0"/>
        <n v="515.0"/>
        <n v="77.0"/>
        <n v="52.0"/>
        <n v="651.0"/>
        <n v="842.0"/>
        <n v="388.0"/>
        <n v="300.0"/>
        <n v="221.0"/>
        <n v="121.0"/>
        <n v="197.0"/>
        <n v="54.0"/>
        <n v="149.0"/>
        <n v="35.0"/>
        <n v="620.0"/>
        <n v="377.0"/>
        <n v="846.0"/>
        <n v="431.0"/>
        <n v="206.0"/>
        <n v="914.0"/>
        <n v="231.0"/>
        <n v="260.0"/>
        <n v="44.0"/>
        <n v="1339.0"/>
        <n v="24.0"/>
        <n v="486.0"/>
        <n v="112.0"/>
        <n v="114.0"/>
        <n v="38.0"/>
        <n v="370.0"/>
        <n v="43.0"/>
        <n v="100.0"/>
        <n v="48.0"/>
        <n v="30.0"/>
        <n v="157.0"/>
        <n v="199.0"/>
        <n v="320.0"/>
        <n v="488.0"/>
        <n v="154.0"/>
        <n v="288.0"/>
        <n v="835.0"/>
        <n v="384.0"/>
        <n v="191.0"/>
        <n v="263.0"/>
        <n v="32.0"/>
        <n v="294.0"/>
        <n v="392.0"/>
        <n v="446.0"/>
        <n v="171.0"/>
        <n v="271.0"/>
        <n v="164.0"/>
        <n v="110.0"/>
        <n v="178.0"/>
        <n v="125.0"/>
        <n v="105.0"/>
        <n v="28.0"/>
        <n v="91.0"/>
      </sharedItems>
    </cacheField>
    <cacheField name="PR_None" numFmtId="0">
      <sharedItems containsString="0" containsBlank="1" containsNumber="1" containsInteger="1">
        <n v="1743.0"/>
        <n v="6484.0"/>
        <n v="3415.0"/>
        <n v="1265.0"/>
        <n v="8098.0"/>
        <n v="100.0"/>
        <n v="4016.0"/>
        <n v="1587.0"/>
        <n v="3108.0"/>
        <n v="33.0"/>
        <n v="4636.0"/>
        <n v="3008.0"/>
        <n v="1675.0"/>
        <n v="1149.0"/>
        <n v="447.0"/>
        <n v="3958.0"/>
        <n v="5204.0"/>
        <n v="2412.0"/>
        <n v="1228.0"/>
        <n v="460.0"/>
        <n v="7533.0"/>
        <n v="9288.0"/>
        <n v="273.0"/>
        <n v="433.0"/>
        <n v="198.0"/>
        <n v="2976.0"/>
        <n v="2837.0"/>
        <n v="9138.0"/>
        <n v="3078.0"/>
        <n v="3995.0"/>
        <n v="1011.0"/>
        <n v="3099.0"/>
        <n v="2624.0"/>
        <n v="1170.0"/>
        <n v="722.0"/>
        <n v="1876.0"/>
        <n v="299.0"/>
        <n v="9783.0"/>
        <n v="239.0"/>
        <n v="18469.0"/>
        <n v="362.0"/>
        <n v="10788.0"/>
        <n v="1335.0"/>
        <n v="2.0"/>
        <n v="1518.0"/>
        <n v="210.0"/>
        <m/>
        <n v="851.0"/>
        <n v="72.0"/>
        <n v="372.0"/>
        <n v="2112.0"/>
        <n v="2737.0"/>
        <n v="2947.0"/>
        <n v="418.0"/>
        <n v="325.0"/>
        <n v="7393.0"/>
        <n v="2738.0"/>
        <n v="41.0"/>
        <n v="5212.0"/>
        <n v="2131.0"/>
        <n v="648.0"/>
        <n v="4827.0"/>
        <n v="267.0"/>
        <n v="1526.0"/>
        <n v="2718.0"/>
        <n v="830.0"/>
        <n v="308.0"/>
        <n v="217.0"/>
        <n v="2852.0"/>
        <n v="971.0"/>
        <n v="667.0"/>
        <n v="1975.0"/>
        <n v="5117.0"/>
        <n v="9264.0"/>
        <n v="20.0"/>
        <n v="290.0"/>
        <n v="55.0"/>
        <n v="3966.0"/>
        <n v="12.0"/>
        <n v="3322.0"/>
        <n v="3653.0"/>
        <n v="5839.0"/>
        <n v="1337.0"/>
        <n v="6275.0"/>
        <n v="840.0"/>
        <n v="3338.0"/>
        <n v="5731.0"/>
        <n v="8418.0"/>
        <n v="1124.0"/>
        <n v="1.0"/>
        <n v="95.0"/>
        <n v="1952.0"/>
        <n v="3750.0"/>
        <n v="2975.0"/>
        <n v="6698.0"/>
        <n v="2681.0"/>
        <n v="5118.0"/>
        <n v="1131.0"/>
        <n v="1209.0"/>
        <n v="1951.0"/>
        <n v="160.0"/>
        <n v="3490.0"/>
        <n v="6974.0"/>
        <n v="1167.0"/>
        <n v="1030.0"/>
        <n v="2514.0"/>
        <n v="7718.0"/>
        <n v="6788.0"/>
        <n v="5844.0"/>
        <n v="6976.0"/>
        <n v="3737.0"/>
        <n v="10823.0"/>
        <n v="10255.0"/>
        <n v="6012.0"/>
        <n v="3704.0"/>
        <n v="3833.0"/>
        <n v="429.0"/>
        <n v="2645.0"/>
        <n v="8562.0"/>
        <n v="2293.0"/>
        <n v="5976.0"/>
        <n v="3020.0"/>
        <n v="4074.0"/>
        <n v="3695.0"/>
        <n v="4576.0"/>
        <n v="3860.0"/>
        <n v="1388.0"/>
        <n v="161.0"/>
        <n v="14549.0"/>
        <n v="5547.0"/>
        <n v="1682.0"/>
        <n v="6616.0"/>
        <n v="183.0"/>
        <n v="8646.0"/>
        <n v="10398.0"/>
        <n v="3890.0"/>
        <n v="1350.0"/>
        <n v="1656.0"/>
        <n v="2509.0"/>
        <n v="4518.0"/>
        <n v="3682.0"/>
        <n v="2240.0"/>
        <n v="4594.0"/>
        <n v="4366.0"/>
        <n v="6938.0"/>
        <n v="1037.0"/>
        <n v="4401.0"/>
        <n v="5178.0"/>
        <n v="2325.0"/>
        <n v="228.0"/>
        <n v="3496.0"/>
        <n v="5810.0"/>
        <n v="2055.0"/>
        <n v="1523.0"/>
        <n v="4137.0"/>
        <n v="252.0"/>
        <n v="4141.0"/>
        <n v="11609.0"/>
        <n v="3562.0"/>
        <n v="237.0"/>
        <n v="4299.0"/>
        <n v="1448.0"/>
        <n v="58.0"/>
        <n v="4984.0"/>
        <n v="4889.0"/>
        <n v="8604.0"/>
        <n v="241.0"/>
        <n v="3582.0"/>
        <n v="166.0"/>
        <n v="1042.0"/>
        <n v="991.0"/>
        <n v="2526.0"/>
        <n v="992.0"/>
        <n v="88.0"/>
        <n v="3962.0"/>
        <n v="31.0"/>
        <n v="655.0"/>
        <n v="1104.0"/>
        <n v="445.0"/>
        <n v="1179.0"/>
        <n v="5620.0"/>
        <n v="333.0"/>
        <n v="28.0"/>
        <n v="59.0"/>
        <n v="236.0"/>
        <n v="6846.0"/>
        <n v="5986.0"/>
        <n v="3040.0"/>
        <n v="1928.0"/>
        <n v="1255.0"/>
        <n v="2080.0"/>
        <n v="876.0"/>
        <n v="5853.0"/>
        <n v="3098.0"/>
        <n v="238.0"/>
        <n v="2532.0"/>
        <n v="251.0"/>
        <n v="779.0"/>
        <n v="2500.0"/>
        <n v="3230.0"/>
        <n v="2585.0"/>
        <n v="10608.0"/>
        <n v="1579.0"/>
        <n v="1604.0"/>
        <n v="2256.0"/>
        <n v="878.0"/>
        <n v="5023.0"/>
        <n v="5343.0"/>
        <n v="1457.0"/>
        <n v="975.0"/>
        <n v="163.0"/>
        <n v="3566.0"/>
        <n v="1421.0"/>
        <n v="9001.0"/>
        <n v="6050.0"/>
        <n v="1878.0"/>
        <n v="2768.0"/>
        <n v="176.0"/>
        <n v="3357.0"/>
        <n v="370.0"/>
        <n v="920.0"/>
        <n v="37.0"/>
        <n v="11020.0"/>
        <n v="24.0"/>
        <n v="5.0"/>
        <n v="985.0"/>
        <n v="1110.0"/>
        <n v="1534.0"/>
        <n v="10758.0"/>
        <n v="4686.0"/>
        <n v="335.0"/>
        <n v="129.0"/>
        <n v="229.0"/>
        <n v="96.0"/>
        <n v="6.0"/>
        <n v="2931.0"/>
        <n v="6541.0"/>
        <n v="9066.0"/>
        <n v="3202.0"/>
        <n v="2031.0"/>
        <n v="1711.0"/>
        <n v="145.0"/>
        <n v="1995.0"/>
        <n v="12913.0"/>
        <n v="74.0"/>
        <n v="1017.0"/>
        <n v="4032.0"/>
        <n v="2628.0"/>
        <n v="6097.0"/>
        <n v="387.0"/>
        <n v="6662.0"/>
        <n v="661.0"/>
        <n v="3376.0"/>
        <n v="5621.0"/>
        <n v="931.0"/>
        <n v="82.0"/>
        <n v="3394.0"/>
        <n v="3600.0"/>
        <n v="7470.0"/>
        <n v="4538.0"/>
        <n v="7231.0"/>
        <n v="12235.0"/>
        <n v="3465.0"/>
        <n v="4431.0"/>
        <n v="2222.0"/>
        <n v="3222.0"/>
        <n v="15.0"/>
        <n v="93.0"/>
        <n v="14.0"/>
        <n v="868.0"/>
        <n v="1411.0"/>
        <n v="132.0"/>
        <n v="2258.0"/>
        <n v="1376.0"/>
        <n v="13359.0"/>
        <n v="7816.0"/>
        <n v="171.0"/>
        <n v="112.0"/>
        <n v="4236.0"/>
        <n v="5347.0"/>
        <n v="4395.0"/>
        <n v="6745.0"/>
        <n v="1761.0"/>
        <n v="223.0"/>
        <n v="1016.0"/>
        <n v="2615.0"/>
        <n v="6423.0"/>
        <n v="810.0"/>
        <n v="4632.0"/>
        <n v="149.0"/>
        <n v="10495.0"/>
        <n v="1135.0"/>
        <n v="212.0"/>
        <n v="9041.0"/>
        <n v="758.0"/>
        <n v="2841.0"/>
        <n v="7811.0"/>
        <n v="1545.0"/>
        <n v="8229.0"/>
        <n v="3573.0"/>
        <n v="12471.0"/>
        <n v="142.0"/>
        <n v="11168.0"/>
        <n v="12208.0"/>
        <n v="298.0"/>
        <n v="7196.0"/>
        <n v="3726.0"/>
        <n v="10286.0"/>
        <n v="7899.0"/>
        <n v="3606.0"/>
        <n v="2212.0"/>
        <n v="6495.0"/>
        <n v="1364.0"/>
        <n v="1737.0"/>
        <n v="240.0"/>
        <n v="8804.0"/>
        <n v="693.0"/>
        <n v="1151.0"/>
        <n v="2493.0"/>
        <n v="505.0"/>
        <n v="473.0"/>
        <n v="2052.0"/>
        <n v="6919.0"/>
        <n v="2079.0"/>
        <n v="1899.0"/>
        <n v="8136.0"/>
        <n v="638.0"/>
        <n v="5639.0"/>
        <n v="2564.0"/>
        <n v="2991.0"/>
        <n v="7459.0"/>
        <n v="1502.0"/>
        <n v="49.0"/>
        <n v="463.0"/>
        <n v="159.0"/>
        <n v="2684.0"/>
        <n v="1356.0"/>
        <n v="1969.0"/>
        <n v="1310.0"/>
        <n v="367.0"/>
        <n v="1006.0"/>
        <n v="1554.0"/>
        <n v="1825.0"/>
        <n v="66.0"/>
        <n v="5429.0"/>
        <n v="1311.0"/>
        <n v="1306.0"/>
        <n v="260.0"/>
        <n v="733.0"/>
        <n v="4800.0"/>
        <n v="6898.0"/>
        <n v="92.0"/>
        <n v="286.0"/>
        <n v="5824.0"/>
        <n v="11311.0"/>
        <n v="7175.0"/>
        <n v="3520.0"/>
        <n v="7659.0"/>
        <n v="9188.0"/>
        <n v="2510.0"/>
        <n v="2858.0"/>
        <n v="6597.0"/>
        <n v="1330.0"/>
        <n v="472.0"/>
        <n v="3262.0"/>
        <n v="668.0"/>
        <n v="2579.0"/>
        <n v="235.0"/>
        <n v="1646.0"/>
        <n v="5488.0"/>
        <n v="354.0"/>
        <n v="407.0"/>
        <n v="502.0"/>
        <n v="829.0"/>
        <n v="1496.0"/>
        <n v="1999.0"/>
        <n v="1410.0"/>
        <n v="5001.0"/>
        <n v="1152.0"/>
        <n v="371.0"/>
        <n v="375.0"/>
        <n v="4067.0"/>
        <n v="542.0"/>
        <n v="99.0"/>
        <n v="2824.0"/>
        <n v="2375.0"/>
        <n v="3079.0"/>
        <n v="7073.0"/>
        <n v="1028.0"/>
        <n v="7296.0"/>
        <n v="17.0"/>
        <n v="431.0"/>
        <n v="915.0"/>
        <n v="706.0"/>
        <n v="225.0"/>
        <n v="270.0"/>
        <n v="274.0"/>
        <n v="1727.0"/>
        <n v="497.0"/>
        <n v="152.0"/>
        <n v="13712.0"/>
        <n v="1469.0"/>
        <n v="935.0"/>
        <n v="1409.0"/>
        <n v="1855.0"/>
        <n v="5571.0"/>
        <n v="6369.0"/>
        <n v="6924.0"/>
        <n v="191.0"/>
        <n v="1422.0"/>
        <n v="2915.0"/>
        <n v="3309.0"/>
        <n v="2478.0"/>
        <n v="2268.0"/>
        <n v="3464.0"/>
      </sharedItems>
    </cacheField>
    <cacheField name="PR_No_Group_Assigned" numFmtId="0">
      <sharedItems containsString="0" containsBlank="1" containsNumber="1" containsInteger="1">
        <n v="23.0"/>
        <n v="273.0"/>
        <n v="188.0"/>
        <n v="35.0"/>
        <n v="454.0"/>
        <n v="4.0"/>
        <n v="265.0"/>
        <n v="76.0"/>
        <n v="251.0"/>
        <n v="1.0"/>
        <m/>
        <n v="161.0"/>
        <n v="203.0"/>
        <n v="175.0"/>
        <n v="602.0"/>
        <n v="310.0"/>
        <n v="115.0"/>
        <n v="7.0"/>
        <n v="328.0"/>
        <n v="212.0"/>
        <n v="3.0"/>
        <n v="200.0"/>
        <n v="269.0"/>
        <n v="553.0"/>
        <n v="319.0"/>
        <n v="462.0"/>
        <n v="108.0"/>
        <n v="2.0"/>
        <n v="298.0"/>
        <n v="52.0"/>
        <n v="27.0"/>
        <n v="62.0"/>
        <n v="450.0"/>
        <n v="5.0"/>
        <n v="773.0"/>
        <n v="9.0"/>
        <n v="372.0"/>
        <n v="169.0"/>
        <n v="32.0"/>
        <n v="66.0"/>
        <n v="162.0"/>
        <n v="89.0"/>
        <n v="80.0"/>
        <n v="13.0"/>
        <n v="224.0"/>
        <n v="112.0"/>
        <n v="29.0"/>
        <n v="159.0"/>
        <n v="6.0"/>
        <n v="258.0"/>
        <n v="61.0"/>
        <n v="247.0"/>
        <n v="45.0"/>
        <n v="434.0"/>
        <n v="12.0"/>
        <n v="25.0"/>
        <n v="155.0"/>
        <n v="70.0"/>
        <n v="24.0"/>
        <n v="58.0"/>
        <n v="158.0"/>
        <n v="427.0"/>
        <n v="15.0"/>
        <n v="136.0"/>
        <n v="72.0"/>
        <n v="168.0"/>
        <n v="20.0"/>
        <n v="166.0"/>
        <n v="142.0"/>
        <n v="452.0"/>
        <n v="54.0"/>
        <n v="14.0"/>
        <n v="42.0"/>
        <n v="277.0"/>
        <n v="85.0"/>
        <n v="321.0"/>
        <n v="525.0"/>
        <n v="534.0"/>
        <n v="307.0"/>
        <n v="185.0"/>
        <n v="348.0"/>
        <n v="37.0"/>
        <n v="386.0"/>
        <n v="95.0"/>
        <n v="40.0"/>
        <n v="253.0"/>
        <n v="75.0"/>
        <n v="222.0"/>
        <n v="664.0"/>
        <n v="49.0"/>
        <n v="880.0"/>
        <n v="36.0"/>
        <n v="868.0"/>
        <n v="815.0"/>
        <n v="192.0"/>
        <n v="50.0"/>
        <n v="141.0"/>
        <n v="512.0"/>
        <n v="30.0"/>
        <n v="51.0"/>
        <n v="154.0"/>
        <n v="131.0"/>
        <n v="285.0"/>
        <n v="807.0"/>
        <n v="171.0"/>
        <n v="242.0"/>
        <n v="156.0"/>
        <n v="215.0"/>
        <n v="53.0"/>
        <n v="248.0"/>
        <n v="21.0"/>
        <n v="867.0"/>
        <n v="556.0"/>
        <n v="213.0"/>
        <n v="16.0"/>
        <n v="373.0"/>
        <n v="105.0"/>
        <n v="193.0"/>
        <n v="183.0"/>
        <n v="413.0"/>
        <n v="239.0"/>
        <n v="38.0"/>
        <n v="63.0"/>
        <n v="100.0"/>
        <n v="10.0"/>
        <n v="290.0"/>
        <n v="109.0"/>
        <n v="26.0"/>
        <n v="630.0"/>
        <n v="349.0"/>
        <n v="129.0"/>
        <n v="39.0"/>
        <n v="8.0"/>
        <n v="48.0"/>
        <n v="574.0"/>
        <n v="60.0"/>
        <n v="226.0"/>
        <n v="18.0"/>
        <n v="240.0"/>
        <n v="661.0"/>
        <n v="33.0"/>
        <n v="254.0"/>
        <n v="343.0"/>
        <n v="270.0"/>
        <n v="118.0"/>
        <n v="84.0"/>
        <n v="472.0"/>
        <n v="135.0"/>
        <n v="501.0"/>
        <n v="813.0"/>
        <n v="289.0"/>
        <n v="384.0"/>
        <n v="28.0"/>
        <n v="324.0"/>
        <n v="17.0"/>
        <n v="93.0"/>
        <n v="503.0"/>
        <n v="357.0"/>
        <n v="335.0"/>
        <n v="132.0"/>
        <n v="195.0"/>
        <n v="934.0"/>
        <n v="675.0"/>
        <n v="633.0"/>
        <n v="56.0"/>
        <n v="103.0"/>
        <n v="59.0"/>
        <n v="460.0"/>
        <n v="491.0"/>
        <n v="455.0"/>
        <n v="83.0"/>
        <n v="236.0"/>
        <n v="264.0"/>
        <n v="19.0"/>
        <n v="22.0"/>
        <n v="218.0"/>
        <n v="198.0"/>
        <n v="65.0"/>
        <n v="1005.0"/>
        <n v="1763.0"/>
        <n v="968.0"/>
        <n v="1039.0"/>
        <n v="458.0"/>
        <n v="276.0"/>
        <n v="186.0"/>
        <n v="390.0"/>
        <n v="1317.0"/>
        <n v="847.0"/>
        <n v="73.0"/>
        <n v="177.0"/>
        <n v="333.0"/>
        <n v="437.0"/>
        <n v="88.0"/>
        <n v="899.0"/>
        <n v="337.0"/>
        <n v="143.0"/>
        <n v="120.0"/>
        <n v="71.0"/>
        <n v="69.0"/>
        <n v="209.0"/>
        <n v="306.0"/>
        <n v="246.0"/>
        <n v="31.0"/>
        <n v="223.0"/>
        <n v="107.0"/>
        <n v="227.0"/>
        <n v="266.0"/>
        <n v="548.0"/>
        <n v="426.0"/>
        <n v="268.0"/>
        <n v="363.0"/>
        <n v="1131.0"/>
        <n v="433.0"/>
        <n v="573.0"/>
        <n v="139.0"/>
        <n v="565.0"/>
        <n v="43.0"/>
        <n v="170.0"/>
        <n v="217.0"/>
        <n v="121.0"/>
        <n v="79.0"/>
        <n v="163.0"/>
        <n v="220.0"/>
        <n v="199.0"/>
        <n v="342.0"/>
        <n v="225.0"/>
        <n v="55.0"/>
        <n v="44.0"/>
        <n v="114.0"/>
        <n v="151.0"/>
        <n v="181.0"/>
        <n v="164.0"/>
        <n v="123.0"/>
        <n v="77.0"/>
        <n v="99.0"/>
      </sharedItems>
    </cacheField>
    <cacheField name="Zip_Unk_Inv_Bl" numFmtId="0">
      <sharedItems containsString="0" containsBlank="1" containsNumber="1" containsInteger="1">
        <n v="1.0"/>
        <n v="32.0"/>
        <m/>
        <n v="5.0"/>
        <n v="4.0"/>
        <n v="11.0"/>
        <n v="35.0"/>
        <n v="10.0"/>
        <n v="23.0"/>
        <n v="3.0"/>
        <n v="17.0"/>
        <n v="25.0"/>
        <n v="2.0"/>
        <n v="8.0"/>
        <n v="6.0"/>
        <n v="59.0"/>
        <n v="9.0"/>
        <n v="16.0"/>
        <n v="75.0"/>
        <n v="26.0"/>
        <n v="19.0"/>
        <n v="7.0"/>
        <n v="107.0"/>
        <n v="15.0"/>
        <n v="20.0"/>
        <n v="22.0"/>
        <n v="13.0"/>
        <n v="12.0"/>
        <n v="93.0"/>
        <n v="27.0"/>
        <n v="36.0"/>
        <n v="18.0"/>
        <n v="68.0"/>
        <n v="43.0"/>
        <n v="34.0"/>
        <n v="38.0"/>
        <n v="53.0"/>
        <n v="272.0"/>
        <n v="195.0"/>
        <n v="180.0"/>
        <n v="61.0"/>
        <n v="123.0"/>
        <n v="99.0"/>
        <n v="62.0"/>
        <n v="141.0"/>
        <n v="14.0"/>
        <n v="29.0"/>
        <n v="31.0"/>
        <n v="50.0"/>
        <n v="47.0"/>
        <n v="52.0"/>
        <n v="46.0"/>
        <n v="86.0"/>
        <n v="202.0"/>
        <n v="21.0"/>
        <n v="30.0"/>
        <n v="54.0"/>
        <n v="42.0"/>
        <n v="37.0"/>
        <n v="71.0"/>
        <n v="41.0"/>
        <n v="91.0"/>
        <n v="230.0"/>
        <n v="182.0"/>
        <n v="76.0"/>
        <n v="48.0"/>
        <n v="90.0"/>
        <n v="28.0"/>
        <n v="187.0"/>
        <n v="24.0"/>
        <n v="88.0"/>
      </sharedItems>
    </cacheField>
    <cacheField name="Zip_Homeless" numFmtId="0">
      <sharedItems containsString="0" containsBlank="1" containsNumber="1" containsInteger="1">
        <n v="141.0"/>
        <n v="381.0"/>
        <n v="22.0"/>
        <n v="270.0"/>
        <n v="1937.0"/>
        <n v="8.0"/>
        <n v="549.0"/>
        <n v="126.0"/>
        <n v="149.0"/>
        <n v="18.0"/>
        <n v="548.0"/>
        <n v="90.0"/>
        <n v="55.0"/>
        <n v="3.0"/>
        <m/>
        <n v="254.0"/>
        <n v="239.0"/>
        <n v="69.0"/>
        <n v="26.0"/>
        <n v="292.0"/>
        <n v="402.0"/>
        <n v="6.0"/>
        <n v="24.0"/>
        <n v="393.0"/>
        <n v="244.0"/>
        <n v="291.0"/>
        <n v="38.0"/>
        <n v="317.0"/>
        <n v="1.0"/>
        <n v="91.0"/>
        <n v="61.0"/>
        <n v="46.0"/>
        <n v="123.0"/>
        <n v="167.0"/>
        <n v="2.0"/>
        <n v="2347.0"/>
        <n v="475.0"/>
        <n v="21.0"/>
        <n v="16.0"/>
        <n v="27.0"/>
        <n v="5.0"/>
        <n v="44.0"/>
        <n v="400.0"/>
        <n v="83.0"/>
        <n v="124.0"/>
        <n v="40.0"/>
        <n v="17.0"/>
        <n v="351.0"/>
        <n v="268.0"/>
        <n v="321.0"/>
        <n v="430.0"/>
        <n v="220.0"/>
        <n v="56.0"/>
        <n v="11.0"/>
        <n v="110.0"/>
        <n v="23.0"/>
        <n v="10.0"/>
        <n v="50.0"/>
        <n v="1275.0"/>
        <n v="262.0"/>
        <n v="7.0"/>
        <n v="639.0"/>
        <n v="185.0"/>
        <n v="195.0"/>
        <n v="572.0"/>
        <n v="1713.0"/>
        <n v="14.0"/>
        <n v="496.0"/>
        <n v="2115.0"/>
        <n v="15.0"/>
        <n v="322.0"/>
        <n v="47.0"/>
        <n v="184.0"/>
        <n v="28.0"/>
        <n v="677.0"/>
        <n v="128.0"/>
        <n v="147.0"/>
        <n v="207.0"/>
        <n v="105.0"/>
        <n v="100.0"/>
        <n v="42.0"/>
        <n v="98.0"/>
        <n v="451.0"/>
        <n v="277.0"/>
        <n v="658.0"/>
        <n v="323.0"/>
        <n v="198.0"/>
        <n v="690.0"/>
        <n v="1011.0"/>
        <n v="587.0"/>
        <n v="74.0"/>
        <n v="491.0"/>
        <n v="127.0"/>
        <n v="65.0"/>
        <n v="82.0"/>
        <n v="177.0"/>
        <n v="275.0"/>
        <n v="97.0"/>
        <n v="260.0"/>
        <n v="816.0"/>
        <n v="836.0"/>
        <n v="66.0"/>
        <n v="879.0"/>
        <n v="713.0"/>
        <n v="2960.0"/>
        <n v="390.0"/>
        <n v="160.0"/>
        <n v="898.0"/>
        <n v="53.0"/>
        <n v="366.0"/>
        <n v="290.0"/>
        <n v="1008.0"/>
        <n v="223.0"/>
        <n v="934.0"/>
        <n v="312.0"/>
        <n v="266.0"/>
        <n v="1503.0"/>
        <n v="453.0"/>
        <n v="397.0"/>
        <n v="106.0"/>
        <n v="989.0"/>
        <n v="172.0"/>
        <n v="189.0"/>
        <n v="376.0"/>
        <n v="1113.0"/>
        <n v="2842.0"/>
        <n v="720.0"/>
        <n v="745.0"/>
        <n v="109.0"/>
        <n v="48.0"/>
        <n v="460.0"/>
        <n v="60.0"/>
        <n v="35.0"/>
        <n v="99.0"/>
        <n v="213.0"/>
        <n v="34.0"/>
        <n v="95.0"/>
        <n v="39.0"/>
        <n v="103.0"/>
        <n v="37.0"/>
        <n v="41.0"/>
        <n v="476.0"/>
        <n v="13.0"/>
        <n v="385.0"/>
        <n v="446.0"/>
        <n v="166.0"/>
        <n v="237.0"/>
        <n v="162.0"/>
        <n v="187.0"/>
        <n v="199.0"/>
        <n v="57.0"/>
        <n v="651.0"/>
        <n v="287.0"/>
        <n v="1012.0"/>
        <n v="219.0"/>
        <n v="235.0"/>
        <n v="96.0"/>
        <n v="143.0"/>
        <n v="115.0"/>
        <n v="831.0"/>
        <n v="144.0"/>
        <n v="25.0"/>
        <n v="85.0"/>
        <n v="347.0"/>
        <n v="111.0"/>
        <n v="319.0"/>
        <n v="442.0"/>
        <n v="19.0"/>
        <n v="218.0"/>
        <n v="415.0"/>
        <n v="480.0"/>
        <n v="500.0"/>
        <n v="224.0"/>
        <n v="215.0"/>
        <n v="434.0"/>
        <n v="183.0"/>
        <n v="518.0"/>
        <n v="79.0"/>
        <n v="52.0"/>
        <n v="12.0"/>
        <n v="246.0"/>
        <n v="1396.0"/>
        <n v="108.0"/>
        <n v="481.0"/>
        <n v="814.0"/>
        <n v="286.0"/>
        <n v="1246.0"/>
        <n v="1106.0"/>
        <n v="251.0"/>
        <n v="1183.0"/>
        <n v="1082.0"/>
        <n v="175.0"/>
        <n v="101.0"/>
        <n v="75.0"/>
        <n v="92.0"/>
        <n v="190.0"/>
        <n v="719.0"/>
        <n v="197.0"/>
        <n v="2251.0"/>
        <n v="654.0"/>
        <n v="174.0"/>
        <n v="4.0"/>
        <n v="200.0"/>
        <n v="2100.0"/>
        <n v="398.0"/>
        <n v="1080.0"/>
        <n v="2282.0"/>
        <n v="569.0"/>
        <n v="726.0"/>
        <n v="301.0"/>
        <n v="2408.0"/>
        <n v="340.0"/>
        <n v="146.0"/>
        <n v="308.0"/>
        <n v="81.0"/>
        <n v="653.0"/>
        <n v="20.0"/>
        <n v="383.0"/>
        <n v="9.0"/>
        <n v="36.0"/>
        <n v="2929.0"/>
        <n v="568.0"/>
        <n v="208.0"/>
        <n v="467.0"/>
        <n v="353.0"/>
        <n v="245.0"/>
        <n v="767.0"/>
        <n v="271.0"/>
        <n v="43.0"/>
        <n v="31.0"/>
        <n v="54.0"/>
        <n v="133.0"/>
        <n v="117.0"/>
        <n v="29.0"/>
        <n v="338.0"/>
        <n v="76.0"/>
        <n v="324.0"/>
        <n v="373.0"/>
        <n v="139.0"/>
        <n v="531.0"/>
        <n v="1077.0"/>
        <n v="664.0"/>
        <n v="529.0"/>
        <n v="156.0"/>
        <n v="30.0"/>
        <n v="87.0"/>
        <n v="188.0"/>
        <n v="86.0"/>
        <n v="125.0"/>
        <n v="297.0"/>
        <n v="1734.0"/>
        <n v="179.0"/>
        <n v="557.0"/>
        <n v="841.0"/>
        <n v="234.0"/>
        <n v="192.0"/>
        <n v="740.0"/>
        <n v="32.0"/>
        <n v="278.0"/>
        <n v="389.0"/>
        <n v="89.0"/>
        <n v="315.0"/>
      </sharedItems>
    </cacheField>
    <cacheField name="Zip_Foreign" numFmtId="0">
      <sharedItems containsString="0" containsBlank="1" containsNumber="1" containsInteger="1">
        <m/>
        <n v="6.0"/>
        <n v="1.0"/>
        <n v="3.0"/>
        <n v="30.0"/>
        <n v="5.0"/>
        <n v="2.0"/>
        <n v="4.0"/>
        <n v="12.0"/>
        <n v="98.0"/>
        <n v="383.0"/>
        <n v="10.0"/>
        <n v="7.0"/>
        <n v="14.0"/>
        <n v="69.0"/>
        <n v="23.0"/>
        <n v="25.0"/>
        <n v="95.0"/>
        <n v="15.0"/>
        <n v="21.0"/>
        <n v="26.0"/>
        <n v="88.0"/>
        <n v="49.0"/>
        <n v="8.0"/>
        <n v="71.0"/>
        <n v="20.0"/>
        <n v="11.0"/>
        <n v="41.0"/>
        <n v="9.0"/>
        <n v="28.0"/>
        <n v="55.0"/>
        <n v="107.0"/>
        <n v="31.0"/>
        <n v="86.0"/>
        <n v="13.0"/>
        <n v="118.0"/>
        <n v="361.0"/>
        <n v="943.0"/>
        <n v="56.0"/>
        <n v="82.0"/>
        <n v="881.0"/>
        <n v="18.0"/>
        <n v="24.0"/>
        <n v="19.0"/>
      </sharedItems>
    </cacheField>
    <cacheField name="Zip_Out_of_State" numFmtId="0">
      <sharedItems containsString="0" containsBlank="1" containsNumber="1" containsInteger="1">
        <n v="27.0"/>
        <n v="69.0"/>
        <n v="72.0"/>
        <n v="17.0"/>
        <n v="95.0"/>
        <n v="2.0"/>
        <n v="76.0"/>
        <n v="11.0"/>
        <n v="59.0"/>
        <n v="4.0"/>
        <n v="64.0"/>
        <n v="15.0"/>
        <m/>
        <n v="52.0"/>
        <n v="61.0"/>
        <n v="26.0"/>
        <n v="79.0"/>
        <n v="99.0"/>
        <n v="1.0"/>
        <n v="12.0"/>
        <n v="8.0"/>
        <n v="24.0"/>
        <n v="49.0"/>
        <n v="136.0"/>
        <n v="36.0"/>
        <n v="66.0"/>
        <n v="28.0"/>
        <n v="326.0"/>
        <n v="341.0"/>
        <n v="19.0"/>
        <n v="60.0"/>
        <n v="5.0"/>
        <n v="163.0"/>
        <n v="119.0"/>
        <n v="9.0"/>
        <n v="3.0"/>
        <n v="18.0"/>
        <n v="16.0"/>
        <n v="62.0"/>
        <n v="129.0"/>
        <n v="51.0"/>
        <n v="44.0"/>
        <n v="53.0"/>
        <n v="46.0"/>
        <n v="10.0"/>
        <n v="7.0"/>
        <n v="6.0"/>
        <n v="47.0"/>
        <n v="142.0"/>
        <n v="122.0"/>
        <n v="84.0"/>
        <n v="35.0"/>
        <n v="218.0"/>
        <n v="58.0"/>
        <n v="131.0"/>
        <n v="128.0"/>
        <n v="29.0"/>
        <n v="214.0"/>
        <n v="282.0"/>
        <n v="50.0"/>
        <n v="34.0"/>
        <n v="32.0"/>
        <n v="31.0"/>
        <n v="23.0"/>
        <n v="116.0"/>
        <n v="56.0"/>
        <n v="200.0"/>
        <n v="248.0"/>
        <n v="207.0"/>
        <n v="70.0"/>
        <n v="22.0"/>
        <n v="149.0"/>
        <n v="164.0"/>
        <n v="96.0"/>
        <n v="78.0"/>
        <n v="1204.0"/>
        <n v="113.0"/>
        <n v="118.0"/>
        <n v="83.0"/>
        <n v="38.0"/>
        <n v="20.0"/>
        <n v="267.0"/>
        <n v="42.0"/>
        <n v="228.0"/>
        <n v="151.0"/>
        <n v="784.0"/>
        <n v="156.0"/>
        <n v="40.0"/>
        <n v="30.0"/>
        <n v="92.0"/>
        <n v="87.0"/>
        <n v="123.0"/>
        <n v="14.0"/>
        <n v="33.0"/>
        <n v="390.0"/>
        <n v="39.0"/>
        <n v="91.0"/>
        <n v="181.0"/>
        <n v="57.0"/>
        <n v="67.0"/>
        <n v="85.0"/>
        <n v="236.0"/>
        <n v="147.0"/>
        <n v="100.0"/>
        <n v="65.0"/>
        <n v="525.0"/>
        <n v="89.0"/>
        <n v="219.0"/>
        <n v="288.0"/>
        <n v="37.0"/>
        <n v="93.0"/>
        <n v="148.0"/>
        <n v="71.0"/>
        <n v="43.0"/>
        <n v="80.0"/>
        <n v="98.0"/>
        <n v="224.0"/>
        <n v="243.0"/>
        <n v="586.0"/>
        <n v="81.0"/>
        <n v="576.0"/>
        <n v="787.0"/>
        <n v="115.0"/>
        <n v="45.0"/>
        <n v="367.0"/>
        <n v="21.0"/>
        <n v="126.0"/>
        <n v="94.0"/>
        <n v="105.0"/>
        <n v="459.0"/>
        <n v="171.0"/>
        <n v="48.0"/>
        <n v="73.0"/>
        <n v="306.0"/>
        <n v="54.0"/>
        <n v="25.0"/>
        <n v="117.0"/>
        <n v="41.0"/>
        <n v="371.0"/>
        <n v="349.0"/>
        <n v="101.0"/>
        <n v="321.0"/>
        <n v="430.0"/>
        <n v="153.0"/>
        <n v="590.0"/>
        <n v="190.0"/>
        <n v="1093.0"/>
        <n v="280.0"/>
        <n v="127.0"/>
        <n v="246.0"/>
        <n v="197.0"/>
        <n v="108.0"/>
        <n v="187.0"/>
        <n v="836.0"/>
        <n v="233.0"/>
        <n v="13.0"/>
        <n v="193.0"/>
        <n v="165.0"/>
        <n v="199.0"/>
        <n v="124.0"/>
        <n v="1074.0"/>
        <n v="591.0"/>
        <n v="150.0"/>
        <n v="109.0"/>
        <n v="114.0"/>
        <n v="308.0"/>
        <n v="77.0"/>
      </sharedItems>
    </cacheField>
    <cacheField name="Zip_CA_Resident" numFmtId="0">
      <sharedItems containsSemiMixedTypes="0" containsString="0" containsNumber="1" containsInteger="1">
        <n v="2609.0"/>
        <n v="14519.0"/>
        <n v="7237.0"/>
        <n v="1317.0"/>
        <n v="15788.0"/>
        <n v="320.0"/>
        <n v="9745.0"/>
        <n v="4066.0"/>
        <n v="11258.0"/>
        <n v="4812.0"/>
        <n v="7891.0"/>
        <n v="4566.0"/>
        <n v="1142.0"/>
        <n v="447.0"/>
        <n v="9278.0"/>
        <n v="23138.0"/>
        <n v="15435.0"/>
        <n v="2370.0"/>
        <n v="493.0"/>
        <n v="11810.0"/>
        <n v="19137.0"/>
        <n v="266.0"/>
        <n v="749.0"/>
        <n v="761.0"/>
        <n v="7873.0"/>
        <n v="6091.0"/>
        <n v="21502.0"/>
        <n v="14903.0"/>
        <n v="10389.0"/>
        <n v="3781.0"/>
        <n v="2980.0"/>
        <n v="10453.0"/>
        <n v="1949.0"/>
        <n v="1550.0"/>
        <n v="4548.0"/>
        <n v="293.0"/>
        <n v="22305.0"/>
        <n v="722.0"/>
        <n v="41595.0"/>
        <n v="3027.0"/>
        <n v="25795.0"/>
        <n v="1383.0"/>
        <n v="918.0"/>
        <n v="9984.0"/>
        <n v="188.0"/>
        <n v="424.0"/>
        <n v="1604.0"/>
        <n v="68.0"/>
        <n v="683.0"/>
        <n v="6746.0"/>
        <n v="213.0"/>
        <n v="4767.0"/>
        <n v="5487.0"/>
        <n v="957.0"/>
        <n v="10.0"/>
        <n v="2696.0"/>
        <n v="19133.0"/>
        <n v="12216.0"/>
        <n v="361.0"/>
        <n v="12590.0"/>
        <n v="1977.0"/>
        <n v="2103.0"/>
        <n v="17438.0"/>
        <n v="296.0"/>
        <n v="1700.0"/>
        <n v="2731.0"/>
        <n v="2044.0"/>
        <n v="251.0"/>
        <n v="963.0"/>
        <n v="11477.0"/>
        <n v="1291.0"/>
        <n v="1824.0"/>
        <n v="999.0"/>
        <n v="3939.0"/>
        <n v="3780.0"/>
        <n v="20308.0"/>
        <n v="20.0"/>
        <n v="692.0"/>
        <n v="665.0"/>
        <n v="10059.0"/>
        <n v="1149.0"/>
        <n v="7636.0"/>
        <n v="11506.0"/>
        <n v="15185.0"/>
        <n v="2065.0"/>
        <n v="12648.0"/>
        <n v="830.0"/>
        <n v="3228.0"/>
        <n v="4370.0"/>
        <n v="16819.0"/>
        <n v="7090.0"/>
        <n v="3156.0"/>
        <n v="411.0"/>
        <n v="3220.0"/>
        <n v="5492.0"/>
        <n v="8051.0"/>
        <n v="6280.0"/>
        <n v="7142.0"/>
        <n v="9370.0"/>
        <n v="2472.0"/>
        <n v="1829.0"/>
        <n v="4597.0"/>
        <n v="478.0"/>
        <n v="9019.0"/>
        <n v="235.0"/>
        <n v="18597.0"/>
        <n v="862.0"/>
        <n v="2031.0"/>
        <n v="6130.0"/>
        <n v="17027.0"/>
        <n v="18881.0"/>
        <n v="13188.0"/>
        <n v="25498.0"/>
        <n v="6841.0"/>
        <n v="27103.0"/>
        <n v="27032.0"/>
        <n v="14164.0"/>
        <n v="10669.0"/>
        <n v="11114.0"/>
        <n v="1284.0"/>
        <n v="2646.0"/>
        <n v="19084.0"/>
        <n v="4314.0"/>
        <n v="14127.0"/>
        <n v="5344.0"/>
        <n v="9907.0"/>
        <n v="5337.0"/>
        <n v="14631.0"/>
        <n v="12617.0"/>
        <n v="2982.0"/>
        <n v="160.0"/>
        <n v="47464.0"/>
        <n v="13370.0"/>
        <n v="2650.0"/>
        <n v="4910.0"/>
        <n v="664.0"/>
        <n v="24416.0"/>
        <n v="23122.0"/>
        <n v="15472.0"/>
        <n v="5336.0"/>
        <n v="3612.0"/>
        <n v="5029.0"/>
        <n v="469.0"/>
        <n v="14877.0"/>
        <n v="3059.0"/>
        <n v="3831.0"/>
        <n v="17763.0"/>
        <n v="13544.0"/>
        <n v="16845.0"/>
        <n v="1984.0"/>
        <n v="2038.0"/>
        <n v="21712.0"/>
        <n v="14773.0"/>
        <n v="5909.0"/>
        <n v="309.0"/>
        <n v="7331.0"/>
        <n v="20026.0"/>
        <n v="6243.0"/>
        <n v="1423.0"/>
        <n v="12188.0"/>
        <n v="1373.0"/>
        <n v="18235.0"/>
        <n v="27246.0"/>
        <n v="9051.0"/>
        <n v="11440.0"/>
        <n v="2479.0"/>
        <n v="10936.0"/>
        <n v="436.0"/>
        <n v="10805.0"/>
        <n v="37.0"/>
        <n v="58.0"/>
        <n v="13685.0"/>
        <n v="18081.0"/>
        <n v="20352.0"/>
        <n v="241.0"/>
        <n v="9548.0"/>
        <n v="130.0"/>
        <n v="885.0"/>
        <n v="3618.0"/>
        <n v="10265.0"/>
        <n v="3501.0"/>
        <n v="617.0"/>
        <n v="10308.0"/>
        <n v="1863.0"/>
        <n v="263.0"/>
        <n v="757.0"/>
        <n v="3863.0"/>
        <n v="1644.0"/>
        <n v="2353.0"/>
        <n v="12444.0"/>
        <n v="318.0"/>
        <n v="23.0"/>
        <n v="267.0"/>
        <n v="452.0"/>
        <n v="14585.0"/>
        <n v="384.0"/>
        <n v="12708.0"/>
        <n v="10558.0"/>
        <n v="6233.0"/>
        <n v="3289.0"/>
        <n v="4213.0"/>
        <n v="1668.0"/>
        <n v="12404.0"/>
        <n v="12842.0"/>
        <n v="200.0"/>
        <n v="7234.0"/>
        <n v="512.0"/>
        <n v="1982.0"/>
        <n v="3153.0"/>
        <n v="14715.0"/>
        <n v="2360.0"/>
        <n v="40071.0"/>
        <n v="2405.0"/>
        <n v="2768.0"/>
        <n v="8114.0"/>
        <n v="2455.0"/>
        <n v="15633.0"/>
        <n v="20287.0"/>
        <n v="3077.0"/>
        <n v="3047.0"/>
        <n v="163.0"/>
        <n v="12113.0"/>
        <n v="2265.0"/>
        <n v="24098.0"/>
        <n v="17406.0"/>
        <n v="3938.0"/>
        <n v="5652.0"/>
        <n v="706.0"/>
        <n v="10399.0"/>
        <n v="365.0"/>
        <n v="1481.0"/>
        <n v="31217.0"/>
        <n v="1916.0"/>
        <n v="1756.0"/>
        <n v="960.0"/>
        <n v="886.0"/>
        <n v="2931.0"/>
        <n v="26256.0"/>
        <n v="29827.0"/>
        <n v="327.0"/>
        <n v="131.0"/>
        <n v="333.0"/>
        <n v="97.0"/>
        <n v="900.0"/>
        <n v="10357.0"/>
        <n v="17203.0"/>
        <n v="22046.0"/>
        <n v="7764.0"/>
        <n v="7417.0"/>
        <n v="1313.0"/>
        <n v="319.0"/>
        <n v="6655.0"/>
        <n v="28696.0"/>
        <n v="2395.0"/>
        <n v="299.0"/>
        <n v="2974.0"/>
        <n v="12910.0"/>
        <n v="6469.0"/>
        <n v="18310.0"/>
        <n v="383.0"/>
        <n v="21567.0"/>
        <n v="702.0"/>
        <n v="8872.0"/>
        <n v="12889.0"/>
        <n v="943.0"/>
        <n v="55.0"/>
        <n v="11841.0"/>
        <n v="13526.0"/>
        <n v="19986.0"/>
        <n v="10018.0"/>
        <n v="28159.0"/>
        <n v="32054.0"/>
        <n v="18201.0"/>
        <n v="4119.0"/>
        <n v="146.0"/>
        <n v="1912.0"/>
        <n v="2358.0"/>
        <n v="7249.0"/>
        <n v="410.0"/>
        <n v="756.0"/>
        <n v="254.0"/>
        <n v="211.0"/>
        <n v="787.0"/>
        <n v="2905.0"/>
        <n v="190.0"/>
        <n v="3830.0"/>
        <n v="2909.0"/>
        <n v="36805.0"/>
        <n v="23847.0"/>
        <n v="426.0"/>
        <n v="11257.0"/>
        <n v="16824.0"/>
        <n v="9171.0"/>
        <n v="13776.0"/>
        <n v="15147.0"/>
        <n v="5781.0"/>
        <n v="208.0"/>
        <n v="2246.0"/>
        <n v="2809.0"/>
        <n v="6105.0"/>
        <n v="865.0"/>
        <n v="9364.0"/>
        <n v="378.0"/>
        <n v="18545.0"/>
        <n v="1987.0"/>
        <n v="20034.0"/>
        <n v="826.0"/>
        <n v="4994.0"/>
        <n v="19683.0"/>
        <n v="2712.0"/>
        <n v="21597.0"/>
        <n v="14887.0"/>
        <n v="28967.0"/>
        <n v="29203.0"/>
        <n v="28789.0"/>
        <n v="3101.0"/>
        <n v="1812.0"/>
        <n v="4512.0"/>
        <n v="23889.0"/>
        <n v="9201.0"/>
        <n v="36180.0"/>
        <n v="18826.0"/>
        <n v="6488.0"/>
        <n v="6942.0"/>
        <n v="14229.0"/>
        <n v="1850.0"/>
        <n v="240.0"/>
        <n v="1073.0"/>
        <n v="642.0"/>
        <n v="21731.0"/>
        <n v="675.0"/>
        <n v="1137.0"/>
        <n v="14268.0"/>
        <n v="496.0"/>
        <n v="451.0"/>
        <n v="3884.0"/>
        <n v="11948.0"/>
        <n v="3358.0"/>
        <n v="3959.0"/>
        <n v="35384.0"/>
        <n v="1143.0"/>
        <n v="17530.0"/>
        <n v="4013.0"/>
        <n v="2759.0"/>
        <n v="7771.0"/>
        <n v="11695.0"/>
        <n v="20816.0"/>
        <n v="3607.0"/>
        <n v="1439.0"/>
        <n v="3649.0"/>
        <n v="176.0"/>
        <n v="18229.0"/>
        <n v="3043.0"/>
        <n v="5394.0"/>
        <n v="5677.0"/>
        <n v="4365.0"/>
        <n v="246.0"/>
        <n v="2197.0"/>
        <n v="5535.0"/>
        <n v="3494.0"/>
        <n v="65.0"/>
        <n v="13087.0"/>
        <n v="5326.0"/>
        <n v="9860.0"/>
        <n v="953.0"/>
        <n v="2662.0"/>
        <n v="16718.0"/>
        <n v="18102.0"/>
        <n v="116.0"/>
        <n v="283.0"/>
        <n v="11150.0"/>
        <n v="25861.0"/>
        <n v="16308.0"/>
        <n v="10192.0"/>
        <n v="21358.0"/>
        <n v="29956.0"/>
        <n v="13498.0"/>
        <n v="2537.0"/>
        <n v="17714.0"/>
        <n v="14.0"/>
        <n v="3345.0"/>
        <n v="21355.0"/>
        <n v="520.0"/>
        <n v="225.0"/>
        <n v="9741.0"/>
        <n v="1697.0"/>
        <n v="4498.0"/>
        <n v="425.0"/>
        <n v="302.0"/>
        <n v="5410.0"/>
        <n v="13774.0"/>
        <n v="763.0"/>
        <n v="56.0"/>
        <n v="379.0"/>
        <n v="890.0"/>
        <n v="1323.0"/>
        <n v="9456.0"/>
        <n v="1865.0"/>
        <n v="3227.0"/>
        <n v="11263.0"/>
        <n v="6986.0"/>
        <n v="95.0"/>
        <n v="583.0"/>
        <n v="2597.0"/>
        <n v="11086.0"/>
        <n v="882.0"/>
        <n v="359.0"/>
        <n v="11682.0"/>
        <n v="2431.0"/>
        <n v="8557.0"/>
        <n v="24786.0"/>
        <n v="9215.0"/>
        <n v="19232.0"/>
        <n v="727.0"/>
        <n v="730.0"/>
        <n v="230.0"/>
        <n v="917.0"/>
        <n v="444.0"/>
        <n v="195.0"/>
        <n v="265.0"/>
        <n v="219.0"/>
        <n v="3396.0"/>
        <n v="465.0"/>
        <n v="26943.0"/>
        <n v="6801.0"/>
        <n v="2211.0"/>
        <n v="4326.0"/>
        <n v="1746.0"/>
        <n v="14963.0"/>
        <n v="11618.0"/>
        <n v="16631.0"/>
        <n v="564.0"/>
        <n v="3443.0"/>
        <n v="7416.0"/>
        <n v="10484.0"/>
        <n v="4353.0"/>
        <n v="4624.0"/>
        <n v="11663.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cacheId="0" dataOnRows="1" dataCaption="" compact="0" compactData="0">
  <location ref="A9:B138" firstHeaderRow="0" firstDataRow="1" firstDataCol="0" rowPageCount="5" colPageCount="1"/>
  <pivotFields>
    <pivotField name="oshpd_id9"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name="OSHPD_ID" axis="axisPage"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name="COUNTY" axis="axisPag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FACILITY_NAME" axis="axisPag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t="default"/>
      </items>
    </pivotField>
    <pivotField name="ADDRESS"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t="default"/>
      </items>
    </pivotField>
    <pivotField name="CITY"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t="default"/>
      </items>
    </pivotField>
    <pivotField name="DBA_ZIP_COD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name="CONTROL_TYPE_DESC" axis="axisPage" compact="0" numFmtId="49" outline="0" multipleItemSelectionAllowed="1" showAll="0">
      <items>
        <item x="0"/>
        <item x="1"/>
        <item x="2"/>
        <item x="3"/>
        <item x="4"/>
        <item x="5"/>
        <item x="6"/>
        <item x="7"/>
        <item t="default"/>
      </items>
    </pivotField>
    <pivotField name="teach_rural" compact="0" numFmtId="49" outline="0" multipleItemSelectionAllowed="1" showAll="0">
      <items>
        <item x="0"/>
        <item x="1"/>
        <item x="2"/>
        <item t="default"/>
      </items>
    </pivotField>
    <pivotField name="licensed_bed_size" axis="axisPage" compact="0" numFmtId="49" outline="0" multipleItemSelectionAllowed="1" showAll="0">
      <items>
        <item x="0"/>
        <item x="1"/>
        <item x="2"/>
        <item x="3"/>
        <item x="4"/>
        <item x="5"/>
        <item x="6"/>
        <item t="default"/>
      </items>
    </pivotField>
    <pivotField name="senate_district_des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assembly_district_desc"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mssa_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name="mssa_designation" compact="0" numFmtId="49" outline="0" multipleItemSelectionAllowed="1" showAll="0">
      <items>
        <item x="0"/>
        <item x="1"/>
        <item x="2"/>
        <item t="default"/>
      </items>
    </pivotField>
    <pivotField name="TOC_Acu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t="default"/>
      </items>
    </pivotField>
    <pivotField name="TOC_SN_I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OC_Psyc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t="default"/>
      </items>
    </pivotField>
    <pivotField name="TOC_Chem_Dep"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OC_Rehab"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TOC_Unknown" dataField="1" compact="0" outline="0" multipleItemSelectionAllowed="1" showAll="0">
      <items>
        <item x="0"/>
        <item x="1"/>
        <item x="2"/>
        <item x="3"/>
        <item x="4"/>
        <item x="5"/>
        <item x="6"/>
        <item x="7"/>
        <item t="default"/>
      </items>
    </pivotField>
    <pivotField name="Sex_M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t="default"/>
      </items>
    </pivotField>
    <pivotField name="Sex_Fem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Sex_Other_Unknown" dataField="1" compact="0" outline="0" multipleItemSelectionAllowed="1" showAll="0">
      <items>
        <item x="0"/>
        <item x="1"/>
        <item x="2"/>
        <item x="3"/>
        <item x="4"/>
        <item x="5"/>
        <item x="6"/>
        <item x="7"/>
        <item x="8"/>
        <item x="9"/>
        <item x="10"/>
        <item x="11"/>
        <item x="12"/>
        <item x="13"/>
        <item x="14"/>
        <item x="15"/>
        <item t="default"/>
      </items>
    </pivotField>
    <pivotField name="Age_0_09"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t="default"/>
      </items>
    </pivotField>
    <pivotField name="Age_10_19"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Age_20_29"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t="default"/>
      </items>
    </pivotField>
    <pivotField name="Age_30_39"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name="Age_40_49"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name="Age_50_59"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Age_60_69"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t="default"/>
      </items>
    </pivotField>
    <pivotField name="Age_70_79"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Age_80_"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name="Age_Other_Unknown"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eth_Hispani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 name="eth_NonHispani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t="default"/>
      </items>
    </pivotField>
    <pivotField name="eth_Other_Unknow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t="default"/>
      </items>
    </pivotField>
    <pivotField name="racegrp_ama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racegrp_asia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name="racegrp_nhpi"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racegrp_blac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t="default"/>
      </items>
    </pivotField>
    <pivotField name="racegrp_whi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t="default"/>
      </items>
    </pivotField>
    <pivotField name="racegrp_unknow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racegrp_oth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name="racegrp_multira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Admt_Non_HCF"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t="default"/>
      </items>
    </pivotField>
    <pivotField name="Admt_Clinic_D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Admt_Hosp_Dif"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t="default"/>
      </items>
    </pivotField>
    <pivotField name="Admt_SNF_ICF_ALF"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Admt_Another_HCF"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Admt_DistinctPartXf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Admt_Amb_Surger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dmt_HospiceFacility" dataField="1" compact="0" outline="0" multipleItemSelectionAllowed="1" showAll="0">
      <items>
        <item x="0"/>
        <item x="1"/>
        <item x="2"/>
        <item x="3"/>
        <item x="4"/>
        <item x="5"/>
        <item x="6"/>
        <item x="7"/>
        <item x="8"/>
        <item x="9"/>
        <item x="10"/>
        <item x="11"/>
        <item x="12"/>
        <item x="13"/>
        <item x="14"/>
        <item x="15"/>
        <item x="16"/>
        <item t="default"/>
      </items>
    </pivotField>
    <pivotField name="Admt_Court_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Admt_N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Admt_Newbor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name="admt_disaster_care_site" dataField="1" compact="0" outline="0" multipleItemSelectionAllowed="1" showAll="0">
      <items>
        <item x="0"/>
        <item x="1"/>
        <item x="2"/>
        <item x="3"/>
        <item x="4"/>
        <item x="5"/>
        <item x="6"/>
        <item t="default"/>
      </items>
    </pivotField>
    <pivotField name="Route_Your_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t="default"/>
      </items>
    </pivotField>
    <pivotField name="Route_Another_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name="Route_No_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Route_N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dsch_day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name="Adm_Emergenc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t="default"/>
      </items>
    </pivotField>
    <pivotField name="Adm_Urge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ame="Adm_Electiv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t="default"/>
      </items>
    </pivotField>
    <pivotField name="Adm_Newbor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name="Adm_Traum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Adm_N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disp_Routin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t="default"/>
      </items>
    </pivotField>
    <pivotField name="disp_Acute_Ca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name="disp_Rehab"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disp_SN_IC_Ca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disp_Residential_Ca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disp_Prison_Jai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disp_Against_Medical_Adv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disp_Di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name="disp_Home_Health_Serv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t="default"/>
      </items>
    </pivotField>
    <pivotField name="disp_Disaster_Care_Site" dataField="1" compact="0" outline="0" multipleItemSelectionAllowed="1" showAll="0">
      <items>
        <item x="0"/>
        <item x="1"/>
        <item x="2"/>
        <item x="3"/>
        <item x="4"/>
        <item x="5"/>
        <item x="6"/>
        <item x="7"/>
        <item x="8"/>
        <item t="default"/>
      </items>
    </pivotField>
    <pivotField name="disp_Childrens_or_Canc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disp_Hospice_Ca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disp_Psychiatric_Ca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disp_CAH" dataField="1" compact="0" outline="0" multipleItemSelectionAllowed="1" showAll="0">
      <items>
        <item x="0"/>
        <item x="1"/>
        <item x="2"/>
        <item x="3"/>
        <item x="4"/>
        <item x="5"/>
        <item x="6"/>
        <item x="7"/>
        <item x="8"/>
        <item x="9"/>
        <item x="10"/>
        <item x="11"/>
        <item x="12"/>
        <item x="13"/>
        <item x="14"/>
        <item x="15"/>
        <item t="default"/>
      </items>
    </pivotField>
    <pivotField name="disp_Not_Defined_Elsewhe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disp_Oth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disp_Invalid_Blank" dataField="1" compact="0" outline="0" multipleItemSelectionAllowed="1" showAll="0">
      <items>
        <item x="0"/>
        <item x="1"/>
        <item x="2"/>
        <item x="3"/>
        <item x="4"/>
        <item x="5"/>
        <item x="6"/>
        <item x="7"/>
        <item x="8"/>
        <item x="9"/>
        <item x="10"/>
        <item x="11"/>
        <item x="12"/>
        <item x="13"/>
        <item t="default"/>
      </items>
    </pivotField>
    <pivotField name="DNR_Y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t="default"/>
      </items>
    </pivotField>
    <pivotField name="DNR_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t="default"/>
      </items>
    </pivotField>
    <pivotField name="DNR_Unknown" dataField="1" compact="0" outline="0" multipleItemSelectionAllowed="1" showAll="0">
      <items>
        <item x="0"/>
        <item x="1"/>
        <item x="2"/>
        <item x="3"/>
        <item x="4"/>
        <item x="5"/>
        <item x="6"/>
        <item x="7"/>
        <item x="8"/>
        <item x="9"/>
        <item x="10"/>
        <item x="11"/>
        <item x="12"/>
        <item x="13"/>
        <item x="14"/>
        <item x="15"/>
        <item t="default"/>
      </items>
    </pivotField>
    <pivotField name="Payer_Medica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name="Payer_Medi_C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name="Payer_Priv_Cover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t="default"/>
      </items>
    </pivotField>
    <pivotField name="Payer_Workers_Comp"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name="Payer_County_Indigent_Pro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ayer_Other_Governme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Payer_Other_Indige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ayer_Self_Pa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Payer_Other_Pay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Payer_Unknow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dx_Infectiou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dx_Neoplasm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x_Diseases_of_the_Bloo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dx_Endocrin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dx_MentalHealt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dx_Nervous_Sys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dx_Ey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x_Ea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x_Circulator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dx_Respirator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name="dx_Digestiv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t="default"/>
      </items>
    </pivotField>
    <pivotField name="dx_Ski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 name="dx_Musculoskele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dx_Genitourinar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dx_Pregnancy_Childbirt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t="default"/>
      </items>
    </pivotField>
    <pivotField name="dx_Certain_Perinatal_Condit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name="dx_Congeni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dx_Symptoms_Signs_NE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t="default"/>
      </items>
    </pivotField>
    <pivotField name="dx_Injury_Poison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t="default"/>
      </items>
    </pivotField>
    <pivotField name="dx_Factors_Influencing_Healt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ame="dx_Other_Unknown" dataField="1" compact="0" outline="0" multipleItemSelectionAllowed="1" showAll="0">
      <items>
        <item x="0"/>
        <item x="1"/>
        <item x="2"/>
        <item x="3"/>
        <item x="4"/>
        <item x="5"/>
        <item x="6"/>
        <item x="7"/>
        <item x="8"/>
        <item x="9"/>
        <item x="10"/>
        <item x="11"/>
        <item x="12"/>
        <item x="13"/>
        <item x="14"/>
        <item t="default"/>
      </items>
    </pivotField>
    <pivotField name="PR_Diagnostic_Therapeuti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name="PR_Obstetric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name="PR_Cardiovascular_Sys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name="PR_Digestive_Sys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t="default"/>
      </items>
    </pivotField>
    <pivotField name="PR_Ea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PR_Endocrine_Sys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R_Ey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PR_Reproductive_Sys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PR_Hemic_Lymph_Sys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PR_Integumentary_Sys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PR_Musculoskeletal_Sys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PR_Nervous_Sys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PR_Nose_Mouth_Pharynx"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PR_Respiratory_Sys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PR_Urinary_Syste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ame="PR_Non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ame="PR_No_Group_Assig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t="default"/>
      </items>
    </pivotField>
    <pivotField name="Zip_Unk_Inv_B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Zip_Homele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t="default"/>
      </items>
    </pivotField>
    <pivotField name="Zip_Foreig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Zip_Out_of_St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Zip_CA_Reside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t="default"/>
      </items>
    </pivotField>
  </pivotFields>
  <rowFields>
    <field x="-2"/>
  </rowFields>
  <pageFields>
    <pageField fld="1"/>
    <pageField fld="2"/>
    <pageField fld="3"/>
    <pageField fld="7"/>
    <pageField fld="9"/>
  </pageFields>
  <dataFields>
    <dataField name="Count of oshpd_id" fld="1" subtotal="count" baseField="0"/>
    <dataField name="Sum of oshpd_id9" fld="0" baseField="0"/>
    <dataField name="Sum of dsch_days" fld="60" baseField="0"/>
    <dataField name="Sum of Sex_Female" fld="21" baseField="0"/>
    <dataField name="Sum of Sex_Male" fld="20" baseField="0"/>
    <dataField name="Sum of Sex_Other_Unknown" fld="22" baseField="0"/>
    <dataField name="Sum of Age_0_09" fld="23" baseField="0"/>
    <dataField name="Sum of Age_10_19" fld="24" baseField="0"/>
    <dataField name="Sum of Age_20_29" fld="25" baseField="0"/>
    <dataField name="Sum of Age_30_39" fld="26" baseField="0"/>
    <dataField name="Sum of Age_40_49" fld="27" baseField="0"/>
    <dataField name="Sum of Age_50_59" fld="28" baseField="0"/>
    <dataField name="Sum of Age_60_69" fld="29" baseField="0"/>
    <dataField name="Sum of Age_70_79" fld="30" baseField="0"/>
    <dataField name="Sum of Age_80_" fld="31" baseField="0"/>
    <dataField name="Sum of Age_Other_Unknown" fld="32" baseField="0"/>
    <dataField name="Sum of racegrp_aman" fld="36" baseField="0"/>
    <dataField name="Sum of racegrp_asian" fld="37" baseField="0"/>
    <dataField name="Sum of racegrp_black" fld="39" baseField="0"/>
    <dataField name="Sum of racegrp_multirace" fld="43" baseField="0"/>
    <dataField name="Sum of racegrp_nhpi" fld="38" baseField="0"/>
    <dataField name="Sum of racegrp_other" fld="42" baseField="0"/>
    <dataField name="Sum of racegrp_white" fld="40" baseField="0"/>
    <dataField name="Sum of racegrp_unknown" fld="41" baseField="0"/>
    <dataField name="Sum of eth_Hispanic" fld="33" baseField="0"/>
    <dataField name="Sum of eth_NonHispanic" fld="34" baseField="0"/>
    <dataField name="Sum of eth_Other_Unknown" fld="35" baseField="0"/>
    <dataField name="Sum of DX_Congenital" fld="113" baseField="0"/>
    <dataField name="Sum of DX_Genitourinary" fld="110" baseField="0"/>
    <dataField name="Sum of dx_Diseases_of_the_Blood" fld="99" baseField="0"/>
    <dataField name="Sum of dx_Eye" fld="103" baseField="0"/>
    <dataField name="Sum of dx_Factors_Influencing_Health" fld="116" baseField="0"/>
    <dataField name="Sum of dx_Infectious" fld="97" baseField="0"/>
    <dataField name="Sum of dx_MentalHealth" fld="101" baseField="0"/>
    <dataField name="Sum of dx_Symptoms_Signs_NEC" fld="114" baseField="0"/>
    <dataField name="Sum of dx_Certain_Perinatal_Conditions" fld="112" baseField="0"/>
    <dataField name="Sum of dx_Musculoskeletal" fld="109" baseField="0"/>
    <dataField name="Sum of dx_Pregnancy_Childbirth" fld="111" baseField="0"/>
    <dataField name="Sum of dx_Ear" fld="104" baseField="0"/>
    <dataField name="Sum of dx_Nervous_System" fld="102" baseField="0"/>
    <dataField name="Sum of DX_Skin" fld="108" baseField="0"/>
    <dataField name="Sum of DX_Respiratory" fld="106" baseField="0"/>
    <dataField name="Sum of DX_Injury_Poisoning" fld="115" baseField="0"/>
    <dataField name="Sum of dx_Other_Unknown" fld="117" baseField="0"/>
    <dataField name="Sum of DX_Neoplasms" fld="98" baseField="0"/>
    <dataField name="Sum of DX_Digestive" fld="107" baseField="0"/>
    <dataField name="Sum of DX_Circulatory" fld="105" baseField="0"/>
    <dataField name="Sum of DX_Endocrine" fld="100" baseField="0"/>
    <dataField name="Sum of PR_Urinary_System" fld="132" baseField="0"/>
    <dataField name="Sum of PR_Nose_Mouth_Pharynx" fld="130" baseField="0"/>
    <dataField name="Sum of PR_Respiratory_System" fld="131" baseField="0"/>
    <dataField name="Sum of PR_Integumentary_System" fld="127" baseField="0"/>
    <dataField name="Sum of PR_Obstetrical" fld="119" baseField="0"/>
    <dataField name="Sum of PR_Nervous_System" fld="129" baseField="0"/>
    <dataField name="Sum of PR_No_Group_Assigned" fld="134" baseField="0"/>
    <dataField name="Sum of PR_Musculoskeletal_System" fld="128" baseField="0"/>
    <dataField name="Sum of PR_Hemic_Lymph_System" fld="126" baseField="0"/>
    <dataField name="Sum of PR_Ear" fld="122" baseField="0"/>
    <dataField name="Sum of PR_None" fld="133" baseField="0"/>
    <dataField name="Sum of PR_Eye" fld="124" baseField="0"/>
    <dataField name="Sum of PR_Endocrine_System" fld="123" baseField="0"/>
    <dataField name="Sum of PR_Reproductive_System" fld="125" baseField="0"/>
    <dataField name="Sum of PR_Digestive_System" fld="121" baseField="0"/>
    <dataField name="Sum of PR_Diagnostic_Therapeutic" fld="118" baseField="0"/>
    <dataField name="Sum of PR_Cardiovascular_System" fld="120" baseField="0"/>
    <dataField name="Sum of OSHPD_ID2" fld="1" baseField="0"/>
    <dataField name="Sum of Admt_NA" fld="53" baseField="0"/>
    <dataField name="Sum of Admt_Another_HCF" fld="48" baseField="0"/>
    <dataField name="Sum of Admt_Disaster_Care_Site" fld="55" baseField="0"/>
    <dataField name="Sum of Admt_Clinic_Dr" fld="45" baseField="0"/>
    <dataField name="Sum of Admt_Newborn" fld="54" baseField="0"/>
    <dataField name="Sum of Admt_HospiceFacility" fld="51" baseField="0"/>
    <dataField name="Sum of Admt_SNF_ICF_ALF" fld="47" baseField="0"/>
    <dataField name="Sum of Admt_Non_HCF" fld="44" baseField="0"/>
    <dataField name="Sum of Admt_Hosp_Dif" fld="46" baseField="0"/>
    <dataField name="Sum of Admt_DistinctPartXfer" fld="49" baseField="0"/>
    <dataField name="Sum of Admt_Court_LE" fld="52" baseField="0"/>
    <dataField name="Sum of Admt_Amb_Surgery" fld="50" baseField="0"/>
    <dataField name="Sum of Adm_Urgent" fld="62" baseField="0"/>
    <dataField name="Sum of Adm_Elective" fld="63" baseField="0"/>
    <dataField name="Sum of Adm_Newborn" fld="64" baseField="0"/>
    <dataField name="Sum of Adm_Trauma" fld="65" baseField="0"/>
    <dataField name="Sum of Adm_Emergency" fld="61" baseField="0"/>
    <dataField name="Sum of Adm_NA" fld="66" baseField="0"/>
    <dataField name="Sum of disp_Acute_Care" fld="68" baseField="0"/>
    <dataField name="Sum of disp_Against_Medical_Advice" fld="73" baseField="0"/>
    <dataField name="Sum of disp_Died" fld="74" baseField="0"/>
    <dataField name="Sum of disp_Home_Health_Service" fld="75" baseField="0"/>
    <dataField name="Sum of disp_Hospice_Care" fld="78" baseField="0"/>
    <dataField name="Sum of disp_Not_Defined_Elsewhere" fld="81" baseField="0"/>
    <dataField name="Sum of disp_Prison_Jail" fld="72" baseField="0"/>
    <dataField name="Sum of disp_Psychiatric_Care" fld="79" baseField="0"/>
    <dataField name="Sum of disp_Rehab" fld="69" baseField="0"/>
    <dataField name="Sum of disp_Residential_Care" fld="71" baseField="0"/>
    <dataField name="Sum of disp_Routine" fld="67" baseField="0"/>
    <dataField name="Sum of disp_SN_IC_Care" fld="70" baseField="0"/>
    <dataField name="Sum of disp_CAH" fld="80" baseField="0"/>
    <dataField name="Sum of disp_Childrens_or_Cancer" fld="77" baseField="0"/>
    <dataField name="Sum of disp_Disaster_Care_Site" fld="76" baseField="0"/>
    <dataField name="Sum of disp_Other" fld="82" baseField="0"/>
    <dataField name="Sum of disp_Invalid_Blank" fld="83" baseField="0"/>
    <dataField name="Sum of Payer_County_Indigent_Prog" fld="91" baseField="0"/>
    <dataField name="Sum of Payer_Medi_Cal" fld="88" baseField="0"/>
    <dataField name="Sum of Payer_Medicare" fld="87" baseField="0"/>
    <dataField name="Sum of Payer_Priv_Coverage" fld="89" baseField="0"/>
    <dataField name="Sum of Payer_Other_Government" fld="92" baseField="0"/>
    <dataField name="Sum of Payer_Self_Pay" fld="94" baseField="0"/>
    <dataField name="Sum of Payer_Workers_Comp" fld="90" baseField="0"/>
    <dataField name="Sum of Payer_Other_Payer" fld="95" baseField="0"/>
    <dataField name="Sum of Payer_Other_Indigent" fld="93" baseField="0"/>
    <dataField name="Sum of Payer_Unknown" fld="96" baseField="0"/>
    <dataField name="Sum of Zip_CA_Resident" fld="139" baseField="0"/>
    <dataField name="Sum of Zip_Homeless" fld="136" baseField="0"/>
    <dataField name="Sum of Zip_Out_of_State" fld="138" baseField="0"/>
    <dataField name="Sum of Zip_Foreign" fld="137" baseField="0"/>
    <dataField name="Sum of Zip_Unk_Inv_Bl" fld="135" baseField="0"/>
    <dataField name="Sum of Route_Your_ER" fld="56" baseField="0"/>
    <dataField name="Sum of Route_Another_ER" fld="57" baseField="0"/>
    <dataField name="Sum of Route_No_ER" fld="58" baseField="0"/>
    <dataField name="Sum of Route_NA" fld="59" baseField="0"/>
    <dataField name="Sum of TOC_Acute" fld="14" baseField="0"/>
    <dataField name="Sum of TOC_SN_IC" fld="15" baseField="0"/>
    <dataField name="Sum of TOC_Psych" fld="16" baseField="0"/>
    <dataField name="Sum of TOC_Chem_Dep" fld="17" baseField="0"/>
    <dataField name="Sum of TOC_Rehab" fld="18" baseField="0"/>
    <dataField name="Sum of TOC_Unknown" fld="19" baseField="0"/>
    <dataField name="Sum of DNR_Yes" fld="84" baseField="0"/>
    <dataField name="Sum of DNR_No" fld="85" baseField="0"/>
    <dataField name="Sum of DNR_Unknown" fld="86"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hhsdata.github.io/dataplaybook/documents/CHHS-DDG-V1.0-092316.pdf"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9.14"/>
    <col customWidth="1" min="2" max="2" width="9.43"/>
    <col customWidth="1" min="3" max="3" width="6.29"/>
    <col customWidth="1" min="4" max="4" width="1.29"/>
    <col customWidth="1" min="5" max="5" width="30.71"/>
    <col customWidth="1" min="6" max="6" width="10.0"/>
    <col customWidth="1" min="7" max="7" width="6.29"/>
    <col customWidth="1" min="8" max="8" width="0.71"/>
    <col customWidth="1" min="9" max="9" width="39.29"/>
    <col customWidth="1" min="10" max="10" width="8.86"/>
    <col customWidth="1" min="11" max="11" width="6.29"/>
    <col customWidth="1" min="12" max="12" width="9.14"/>
    <col customWidth="1" min="13" max="13" width="12.86"/>
    <col customWidth="1" min="14" max="26" width="9.14"/>
  </cols>
  <sheetData>
    <row r="1" ht="9.75" customHeight="1">
      <c r="A1" s="1" t="s">
        <v>0</v>
      </c>
      <c r="B1" s="2"/>
      <c r="C1" s="2"/>
      <c r="D1" s="2"/>
      <c r="E1" s="2"/>
      <c r="F1" s="2"/>
      <c r="G1" s="2"/>
      <c r="H1" s="2"/>
      <c r="I1" s="2"/>
      <c r="J1" s="2"/>
      <c r="K1" s="3"/>
      <c r="L1" s="4"/>
      <c r="M1" s="4"/>
      <c r="N1" s="4"/>
      <c r="O1" s="4"/>
      <c r="P1" s="4"/>
      <c r="Q1" s="4"/>
      <c r="R1" s="4"/>
      <c r="S1" s="4"/>
      <c r="T1" s="4"/>
      <c r="U1" s="4"/>
      <c r="V1" s="4"/>
      <c r="W1" s="4"/>
      <c r="X1" s="4"/>
      <c r="Y1" s="4"/>
      <c r="Z1" s="4"/>
    </row>
    <row r="2" ht="10.5" customHeight="1">
      <c r="A2" s="5"/>
      <c r="B2" s="6"/>
      <c r="C2" s="6"/>
      <c r="D2" s="6"/>
      <c r="E2" s="6"/>
      <c r="F2" s="6"/>
      <c r="G2" s="6"/>
      <c r="H2" s="6"/>
      <c r="I2" s="6"/>
      <c r="J2" s="7"/>
      <c r="K2" s="4"/>
      <c r="L2" s="4"/>
      <c r="M2" s="4"/>
      <c r="N2" s="4"/>
      <c r="O2" s="4"/>
      <c r="P2" s="4"/>
      <c r="Q2" s="4"/>
      <c r="R2" s="4"/>
      <c r="S2" s="4"/>
      <c r="T2" s="4"/>
      <c r="U2" s="4"/>
      <c r="V2" s="4"/>
      <c r="W2" s="4"/>
      <c r="X2" s="4"/>
      <c r="Y2" s="4"/>
      <c r="Z2" s="4"/>
    </row>
    <row r="3" ht="5.25" customHeight="1">
      <c r="A3" s="4"/>
      <c r="B3" s="7"/>
      <c r="C3" s="7"/>
      <c r="D3" s="4"/>
      <c r="E3" s="4"/>
      <c r="F3" s="7"/>
      <c r="G3" s="7"/>
      <c r="H3" s="4"/>
      <c r="I3" s="4"/>
      <c r="J3" s="7"/>
      <c r="K3" s="4"/>
      <c r="L3" s="4"/>
      <c r="M3" s="4"/>
      <c r="N3" s="4"/>
      <c r="O3" s="4"/>
      <c r="P3" s="4"/>
      <c r="Q3" s="4"/>
      <c r="R3" s="4"/>
      <c r="S3" s="4"/>
      <c r="T3" s="4"/>
      <c r="U3" s="4"/>
      <c r="V3" s="4"/>
      <c r="W3" s="4"/>
      <c r="X3" s="4"/>
      <c r="Y3" s="4"/>
      <c r="Z3" s="4"/>
    </row>
    <row r="4" ht="9.75" customHeight="1">
      <c r="A4" s="8" t="s">
        <v>1</v>
      </c>
      <c r="B4" s="9"/>
      <c r="C4" s="9"/>
      <c r="D4" s="9"/>
      <c r="E4" s="9"/>
      <c r="F4" s="9"/>
      <c r="G4" s="7"/>
      <c r="H4" s="4"/>
      <c r="I4" s="4"/>
      <c r="J4" s="7"/>
      <c r="K4" s="4"/>
      <c r="L4" s="4"/>
      <c r="M4" s="4"/>
      <c r="N4" s="4"/>
      <c r="O4" s="4"/>
      <c r="P4" s="4"/>
      <c r="Q4" s="4"/>
      <c r="R4" s="4"/>
      <c r="S4" s="4"/>
      <c r="T4" s="4"/>
      <c r="U4" s="4"/>
      <c r="V4" s="4"/>
      <c r="W4" s="4"/>
      <c r="X4" s="4"/>
      <c r="Y4" s="4"/>
      <c r="Z4" s="4"/>
    </row>
    <row r="5" ht="9.75" customHeight="1">
      <c r="A5" s="8"/>
      <c r="B5" s="9"/>
      <c r="C5" s="9"/>
      <c r="D5" s="9"/>
      <c r="E5" s="9"/>
      <c r="F5" s="9"/>
      <c r="G5" s="7"/>
      <c r="H5" s="4"/>
      <c r="I5" s="4"/>
      <c r="J5" s="7"/>
      <c r="K5" s="4"/>
      <c r="L5" s="4"/>
      <c r="M5" s="4"/>
      <c r="N5" s="4"/>
      <c r="O5" s="4"/>
      <c r="P5" s="4"/>
      <c r="Q5" s="4"/>
      <c r="R5" s="4"/>
      <c r="S5" s="4"/>
      <c r="T5" s="4"/>
      <c r="U5" s="4"/>
      <c r="V5" s="4"/>
      <c r="W5" s="4"/>
      <c r="X5" s="4"/>
      <c r="Y5" s="4"/>
      <c r="Z5" s="4"/>
    </row>
    <row r="6" ht="9.75" customHeight="1">
      <c r="A6" s="10" t="s">
        <v>2</v>
      </c>
      <c r="B6" s="11" t="str">
        <f>IF($F$21=1,Pivot!B11,"")</f>
        <v>#REF!</v>
      </c>
      <c r="C6" s="2"/>
      <c r="D6" s="2"/>
      <c r="E6" s="3"/>
      <c r="F6" s="9"/>
      <c r="G6" s="7"/>
      <c r="H6" s="4"/>
      <c r="I6" s="4"/>
      <c r="J6" s="7"/>
      <c r="K6" s="4"/>
      <c r="L6" s="4"/>
      <c r="M6" s="4"/>
      <c r="N6" s="4"/>
      <c r="O6" s="4"/>
      <c r="P6" s="4"/>
      <c r="Q6" s="4"/>
      <c r="R6" s="4"/>
      <c r="S6" s="4"/>
      <c r="T6" s="4"/>
      <c r="U6" s="4"/>
      <c r="V6" s="4"/>
      <c r="W6" s="4"/>
      <c r="X6" s="4"/>
      <c r="Y6" s="4"/>
      <c r="Z6" s="4"/>
    </row>
    <row r="7" ht="9.75" customHeight="1">
      <c r="A7" s="10" t="s">
        <v>3</v>
      </c>
      <c r="B7" s="12" t="str">
        <f>IF($F$21=1,VLOOKUP($B$6,Data!A1:EP445,4,FALSE),IF(A1="(All)","",))</f>
        <v>#REF!</v>
      </c>
      <c r="C7" s="2"/>
      <c r="D7" s="2"/>
      <c r="E7" s="2"/>
      <c r="F7" s="3"/>
      <c r="G7" s="7"/>
      <c r="H7" s="4"/>
      <c r="I7" s="4"/>
      <c r="J7" s="7"/>
      <c r="K7" s="4"/>
      <c r="L7" s="4"/>
      <c r="M7" s="4"/>
      <c r="N7" s="4"/>
      <c r="O7" s="4"/>
      <c r="P7" s="4"/>
      <c r="Q7" s="4"/>
      <c r="R7" s="4"/>
      <c r="S7" s="4"/>
      <c r="T7" s="4"/>
      <c r="U7" s="4"/>
      <c r="V7" s="4"/>
      <c r="W7" s="4"/>
      <c r="X7" s="4"/>
      <c r="Y7" s="4"/>
      <c r="Z7" s="4"/>
    </row>
    <row r="8" ht="9.75" customHeight="1">
      <c r="A8" s="10" t="s">
        <v>4</v>
      </c>
      <c r="B8" s="12" t="str">
        <f>IF($F$21=1,VLOOKUP($B$6,Data!A1:EP445,3,FALSE),IF(Pivot!A3="(All)","",))</f>
        <v>#REF!</v>
      </c>
      <c r="C8" s="2"/>
      <c r="D8" s="2"/>
      <c r="E8" s="2"/>
      <c r="F8" s="3"/>
      <c r="G8" s="7"/>
      <c r="H8" s="4"/>
      <c r="I8" s="4"/>
      <c r="J8" s="7"/>
      <c r="K8" s="4"/>
      <c r="L8" s="4"/>
      <c r="M8" s="4"/>
      <c r="N8" s="4"/>
      <c r="O8" s="4"/>
      <c r="P8" s="4"/>
      <c r="Q8" s="4"/>
      <c r="R8" s="4"/>
      <c r="S8" s="4"/>
      <c r="T8" s="4"/>
      <c r="U8" s="4"/>
      <c r="V8" s="4"/>
      <c r="W8" s="4"/>
      <c r="X8" s="4"/>
      <c r="Y8" s="4"/>
      <c r="Z8" s="4"/>
    </row>
    <row r="9" ht="9.75" customHeight="1">
      <c r="A9" s="10" t="s">
        <v>5</v>
      </c>
      <c r="B9" s="13" t="str">
        <f>IF($F$21=1,VLOOKUP($B$6,Data!A1:EP445,5,FALSE),"")</f>
        <v>#REF!</v>
      </c>
      <c r="C9" s="2"/>
      <c r="D9" s="2"/>
      <c r="E9" s="3"/>
      <c r="F9" s="9"/>
      <c r="G9" s="7"/>
      <c r="H9" s="4"/>
      <c r="I9" s="4"/>
      <c r="J9" s="7"/>
      <c r="K9" s="4"/>
      <c r="L9" s="4"/>
      <c r="M9" s="4"/>
      <c r="N9" s="4"/>
      <c r="O9" s="4"/>
      <c r="P9" s="4"/>
      <c r="Q9" s="4"/>
      <c r="R9" s="4"/>
      <c r="S9" s="4"/>
      <c r="T9" s="4"/>
      <c r="U9" s="4"/>
      <c r="V9" s="4"/>
      <c r="W9" s="4"/>
      <c r="X9" s="4"/>
      <c r="Y9" s="4"/>
      <c r="Z9" s="4"/>
    </row>
    <row r="10" ht="9.75" customHeight="1">
      <c r="A10" s="10" t="s">
        <v>6</v>
      </c>
      <c r="B10" s="13" t="str">
        <f>IF($F$21=1,VLOOKUP($B$6,Data!A1:EP445,6,FALSE),"")</f>
        <v>#REF!</v>
      </c>
      <c r="C10" s="2"/>
      <c r="D10" s="2"/>
      <c r="E10" s="3"/>
      <c r="F10" s="9"/>
      <c r="G10" s="7"/>
      <c r="H10" s="4"/>
      <c r="I10" s="4"/>
      <c r="J10" s="7"/>
      <c r="K10" s="4"/>
      <c r="L10" s="4"/>
      <c r="M10" s="4"/>
      <c r="N10" s="4"/>
      <c r="O10" s="4"/>
      <c r="P10" s="4"/>
      <c r="Q10" s="4"/>
      <c r="R10" s="4"/>
      <c r="S10" s="4"/>
      <c r="T10" s="4"/>
      <c r="U10" s="4"/>
      <c r="V10" s="4"/>
      <c r="W10" s="4"/>
      <c r="X10" s="4"/>
      <c r="Y10" s="4"/>
      <c r="Z10" s="4"/>
    </row>
    <row r="11" ht="9.75" customHeight="1">
      <c r="A11" s="10" t="s">
        <v>7</v>
      </c>
      <c r="B11" s="13" t="str">
        <f>IF($F$21=1,VLOOKUP($B$6,Data!A1:EP445,7,FALSE),"")</f>
        <v>#REF!</v>
      </c>
      <c r="C11" s="2"/>
      <c r="D11" s="2"/>
      <c r="E11" s="3"/>
      <c r="F11" s="9"/>
      <c r="G11" s="7"/>
      <c r="H11" s="4"/>
      <c r="I11" s="4"/>
      <c r="J11" s="7"/>
      <c r="K11" s="4"/>
      <c r="L11" s="4"/>
      <c r="M11" s="4"/>
      <c r="N11" s="4"/>
      <c r="O11" s="4"/>
      <c r="P11" s="4"/>
      <c r="Q11" s="4"/>
      <c r="R11" s="4"/>
      <c r="S11" s="4"/>
      <c r="T11" s="4"/>
      <c r="U11" s="4"/>
      <c r="V11" s="4"/>
      <c r="W11" s="4"/>
      <c r="X11" s="4"/>
      <c r="Y11" s="4"/>
      <c r="Z11" s="4"/>
    </row>
    <row r="12" ht="9.75" customHeight="1">
      <c r="A12" s="10" t="s">
        <v>8</v>
      </c>
      <c r="B12" s="12" t="str">
        <f>IF($F$21=1,VLOOKUP($B$6,Data!A1:EP445,8,FALSE),IF(Pivot!A2="(All)"," ",))</f>
        <v>#REF!</v>
      </c>
      <c r="C12" s="2"/>
      <c r="D12" s="2"/>
      <c r="E12" s="2"/>
      <c r="F12" s="3"/>
      <c r="G12" s="7"/>
      <c r="H12" s="4"/>
      <c r="I12" s="4"/>
      <c r="J12" s="7"/>
      <c r="K12" s="4"/>
      <c r="L12" s="4"/>
      <c r="M12" s="14"/>
      <c r="N12" s="4"/>
      <c r="O12" s="4"/>
      <c r="P12" s="4"/>
      <c r="Q12" s="4"/>
      <c r="R12" s="4"/>
      <c r="S12" s="4"/>
      <c r="T12" s="4"/>
      <c r="U12" s="4"/>
      <c r="V12" s="4"/>
      <c r="W12" s="4"/>
      <c r="X12" s="4"/>
      <c r="Y12" s="4"/>
      <c r="Z12" s="4"/>
    </row>
    <row r="13" ht="9.75" customHeight="1">
      <c r="A13" s="10" t="s">
        <v>9</v>
      </c>
      <c r="B13" s="12" t="str">
        <f>IF($F$21=1,VLOOKUP($B$6,Data!A1:EP445,9,FALSE),IF(Pivot!A5="(All)","",))</f>
        <v>#REF!</v>
      </c>
      <c r="C13" s="2"/>
      <c r="D13" s="2"/>
      <c r="E13" s="2"/>
      <c r="F13" s="3"/>
      <c r="G13" s="7"/>
      <c r="H13" s="4"/>
      <c r="I13" s="4"/>
      <c r="J13" s="7"/>
      <c r="K13" s="4"/>
      <c r="L13" s="4"/>
      <c r="M13" s="4"/>
      <c r="N13" s="4"/>
      <c r="O13" s="4"/>
      <c r="P13" s="4"/>
      <c r="Q13" s="4"/>
      <c r="R13" s="4"/>
      <c r="S13" s="4"/>
      <c r="T13" s="4"/>
      <c r="U13" s="4"/>
      <c r="V13" s="4"/>
      <c r="W13" s="4"/>
      <c r="X13" s="4"/>
      <c r="Y13" s="4"/>
      <c r="Z13" s="4"/>
    </row>
    <row r="14" ht="9.75" customHeight="1">
      <c r="A14" s="10" t="s">
        <v>10</v>
      </c>
      <c r="B14" s="12" t="str">
        <f>IF($F$21=1,VLOOKUP($B$6,Data!A1:EP445,10,FALSE),IF(Pivot!A4="(All)","",))</f>
        <v>#REF!</v>
      </c>
      <c r="C14" s="2"/>
      <c r="D14" s="2"/>
      <c r="E14" s="2"/>
      <c r="F14" s="3"/>
      <c r="G14" s="7"/>
      <c r="H14" s="4"/>
      <c r="I14" s="15"/>
      <c r="J14" s="3"/>
      <c r="K14" s="4"/>
      <c r="L14" s="4"/>
      <c r="M14" s="16"/>
      <c r="N14" s="4"/>
      <c r="O14" s="4"/>
      <c r="P14" s="4"/>
      <c r="Q14" s="4"/>
      <c r="R14" s="4"/>
      <c r="S14" s="4"/>
      <c r="T14" s="4"/>
      <c r="U14" s="4"/>
      <c r="V14" s="4"/>
      <c r="W14" s="4"/>
      <c r="X14" s="4"/>
      <c r="Y14" s="4"/>
      <c r="Z14" s="4"/>
    </row>
    <row r="15" ht="9.75" customHeight="1">
      <c r="A15" s="10" t="s">
        <v>11</v>
      </c>
      <c r="B15" s="12" t="str">
        <f>IF($F$21=1,VLOOKUP($B$6,Data!A1:EP445,11,FALSE),IF(Pivot!A6="(All)","",))</f>
        <v>#REF!</v>
      </c>
      <c r="C15" s="2"/>
      <c r="D15" s="2"/>
      <c r="E15" s="2"/>
      <c r="F15" s="3"/>
      <c r="G15" s="7"/>
      <c r="H15" s="4"/>
      <c r="I15" s="17"/>
      <c r="J15" s="3"/>
      <c r="K15" s="4"/>
      <c r="L15" s="4"/>
      <c r="M15" s="4"/>
      <c r="N15" s="4"/>
      <c r="O15" s="4"/>
      <c r="P15" s="4"/>
      <c r="Q15" s="4"/>
      <c r="R15" s="4"/>
      <c r="S15" s="4"/>
      <c r="T15" s="4"/>
      <c r="U15" s="4"/>
      <c r="V15" s="4"/>
      <c r="W15" s="4"/>
      <c r="X15" s="4"/>
      <c r="Y15" s="4"/>
      <c r="Z15" s="4"/>
    </row>
    <row r="16" ht="9.75" customHeight="1">
      <c r="A16" s="10" t="s">
        <v>12</v>
      </c>
      <c r="B16" s="12" t="str">
        <f>IF($F$21=1,VLOOKUP($B$6,Data!A1:EP445,12,FALSE),IF(Pivot!A7="(All)","",))</f>
        <v>#REF!</v>
      </c>
      <c r="C16" s="2"/>
      <c r="D16" s="2"/>
      <c r="E16" s="2"/>
      <c r="F16" s="3"/>
      <c r="G16" s="7"/>
      <c r="H16" s="4"/>
      <c r="I16" s="4"/>
      <c r="J16" s="7"/>
      <c r="K16" s="4"/>
      <c r="L16" s="4"/>
      <c r="M16" s="4"/>
      <c r="N16" s="4"/>
      <c r="O16" s="4"/>
      <c r="P16" s="4"/>
      <c r="Q16" s="4"/>
      <c r="R16" s="4"/>
      <c r="S16" s="4"/>
      <c r="T16" s="4"/>
      <c r="U16" s="4"/>
      <c r="V16" s="4"/>
      <c r="W16" s="4"/>
      <c r="X16" s="4"/>
      <c r="Y16" s="4"/>
      <c r="Z16" s="4"/>
    </row>
    <row r="17" ht="9.75" customHeight="1">
      <c r="A17" s="10" t="s">
        <v>13</v>
      </c>
      <c r="B17" s="12" t="str">
        <f>IF($F$21=1,VLOOKUP($B$6,Data!A1:EP445,14,FALSE),IF(Pivot!B1="(All)","",))</f>
        <v>#REF!</v>
      </c>
      <c r="C17" s="2"/>
      <c r="D17" s="2"/>
      <c r="E17" s="2"/>
      <c r="F17" s="3"/>
      <c r="G17" s="7"/>
      <c r="H17" s="4"/>
      <c r="I17" s="18"/>
      <c r="J17" s="18"/>
      <c r="K17" s="4"/>
      <c r="L17" s="4"/>
      <c r="M17" s="4"/>
      <c r="N17" s="4"/>
      <c r="O17" s="4"/>
      <c r="P17" s="4"/>
      <c r="Q17" s="4"/>
      <c r="R17" s="4"/>
      <c r="S17" s="4"/>
      <c r="T17" s="4"/>
      <c r="U17" s="4"/>
      <c r="V17" s="4"/>
      <c r="W17" s="4"/>
      <c r="X17" s="4"/>
      <c r="Y17" s="4"/>
      <c r="Z17" s="4"/>
    </row>
    <row r="18" ht="12.75" customHeight="1">
      <c r="A18" s="10" t="s">
        <v>14</v>
      </c>
      <c r="B18" s="19" t="str">
        <f>IF($F$21=1,VLOOKUP($B$6,Data!A1:EP445,13,FALSE),IF(Pivot!B2="(All)","", ))</f>
        <v>#REF!</v>
      </c>
      <c r="C18" s="20"/>
      <c r="D18" s="20"/>
      <c r="E18" s="21"/>
      <c r="F18" s="22"/>
      <c r="G18" s="7"/>
      <c r="H18" s="4"/>
      <c r="I18" s="18"/>
      <c r="J18" s="18"/>
      <c r="K18" s="23" t="s">
        <v>15</v>
      </c>
      <c r="L18" s="4"/>
      <c r="M18" s="4"/>
      <c r="N18" s="4"/>
      <c r="O18" s="4"/>
      <c r="P18" s="4"/>
      <c r="Q18" s="4"/>
      <c r="R18" s="4"/>
      <c r="S18" s="4"/>
      <c r="T18" s="4"/>
      <c r="U18" s="4"/>
      <c r="V18" s="4"/>
      <c r="W18" s="4"/>
      <c r="X18" s="4"/>
      <c r="Y18" s="4"/>
      <c r="Z18" s="4"/>
    </row>
    <row r="19" ht="20.25" customHeight="1">
      <c r="A19" s="10"/>
      <c r="B19" s="24"/>
      <c r="C19" s="25"/>
      <c r="D19" s="25"/>
      <c r="E19" s="26"/>
      <c r="F19" s="22"/>
      <c r="G19" s="7"/>
      <c r="H19" s="4"/>
      <c r="I19" s="18"/>
      <c r="J19" s="18"/>
      <c r="K19" s="23"/>
      <c r="L19" s="4"/>
      <c r="M19" s="4"/>
      <c r="N19" s="4"/>
      <c r="O19" s="4"/>
      <c r="P19" s="4"/>
      <c r="Q19" s="4"/>
      <c r="R19" s="4"/>
      <c r="S19" s="4"/>
      <c r="T19" s="4"/>
      <c r="U19" s="4"/>
      <c r="V19" s="4"/>
      <c r="W19" s="4"/>
      <c r="X19" s="4"/>
      <c r="Y19" s="4"/>
      <c r="Z19" s="4"/>
    </row>
    <row r="20" ht="9.75" customHeight="1">
      <c r="A20" s="27" t="s">
        <v>16</v>
      </c>
      <c r="B20" s="28" t="s">
        <v>17</v>
      </c>
      <c r="C20" s="28" t="s">
        <v>18</v>
      </c>
      <c r="D20" s="29"/>
      <c r="E20" s="27" t="s">
        <v>19</v>
      </c>
      <c r="F20" s="28" t="s">
        <v>17</v>
      </c>
      <c r="G20" s="28"/>
      <c r="H20" s="29"/>
      <c r="I20" s="27" t="s">
        <v>20</v>
      </c>
      <c r="J20" s="28" t="s">
        <v>17</v>
      </c>
      <c r="K20" s="28" t="s">
        <v>18</v>
      </c>
      <c r="L20" s="4"/>
      <c r="M20" s="4"/>
      <c r="N20" s="4"/>
      <c r="O20" s="4"/>
      <c r="P20" s="4"/>
      <c r="Q20" s="4"/>
      <c r="R20" s="4"/>
      <c r="S20" s="4"/>
      <c r="T20" s="4"/>
      <c r="U20" s="4"/>
      <c r="V20" s="4"/>
      <c r="W20" s="4"/>
      <c r="X20" s="4"/>
      <c r="Y20" s="4"/>
      <c r="Z20" s="4"/>
    </row>
    <row r="21" ht="9.75" customHeight="1">
      <c r="A21" s="30" t="s">
        <v>21</v>
      </c>
      <c r="B21" s="7" t="str">
        <f>GETPIVOTDATA("Sum of TOC_Acute",Pivot!$A$8)</f>
        <v>#REF!</v>
      </c>
      <c r="C21" s="31" t="str">
        <f t="shared" ref="C21:C26" si="1">B21/$B$27</f>
        <v>#REF!</v>
      </c>
      <c r="D21" s="4"/>
      <c r="E21" s="4" t="s">
        <v>22</v>
      </c>
      <c r="F21" s="7" t="str">
        <f>GETPIVOTDATA("Count of oshpd_id",Pivot!$A$8)</f>
        <v>#REF!</v>
      </c>
      <c r="G21" s="7"/>
      <c r="H21" s="4"/>
      <c r="I21" s="4" t="s">
        <v>23</v>
      </c>
      <c r="J21" s="7" t="str">
        <f>GETPIVOTDATA("Sum of Payer_Medi_Cal",Pivot!$A$8)</f>
        <v>#REF!</v>
      </c>
      <c r="K21" s="31" t="str">
        <f t="shared" ref="K21:K30" si="2">J21/$J$31</f>
        <v>#REF!</v>
      </c>
      <c r="L21" s="4"/>
      <c r="M21" s="4"/>
      <c r="N21" s="4"/>
      <c r="O21" s="4"/>
      <c r="P21" s="4"/>
      <c r="Q21" s="4"/>
      <c r="R21" s="4"/>
      <c r="S21" s="4"/>
      <c r="T21" s="4"/>
      <c r="U21" s="4"/>
      <c r="V21" s="4"/>
      <c r="W21" s="4"/>
      <c r="X21" s="4"/>
      <c r="Y21" s="4"/>
      <c r="Z21" s="4"/>
    </row>
    <row r="22" ht="9.75" customHeight="1">
      <c r="A22" s="30" t="s">
        <v>24</v>
      </c>
      <c r="B22" s="7" t="str">
        <f>GETPIVOTDATA("Sum of TOC_Chem_Dep",Pivot!$A$8)</f>
        <v>#REF!</v>
      </c>
      <c r="C22" s="31" t="str">
        <f t="shared" si="1"/>
        <v>#REF!</v>
      </c>
      <c r="D22" s="4"/>
      <c r="E22" s="4" t="s">
        <v>25</v>
      </c>
      <c r="F22" s="7" t="str">
        <f>B27</f>
        <v>#REF!</v>
      </c>
      <c r="G22" s="7"/>
      <c r="H22" s="4"/>
      <c r="I22" s="4" t="s">
        <v>26</v>
      </c>
      <c r="J22" s="7" t="str">
        <f>GETPIVOTDATA("Sum of Payer_Medicare",Pivot!$A$8)</f>
        <v>#REF!</v>
      </c>
      <c r="K22" s="31" t="str">
        <f t="shared" si="2"/>
        <v>#REF!</v>
      </c>
      <c r="L22" s="4"/>
      <c r="M22" s="4"/>
      <c r="N22" s="4"/>
      <c r="O22" s="4"/>
      <c r="P22" s="4"/>
      <c r="Q22" s="4"/>
      <c r="R22" s="4"/>
      <c r="S22" s="4"/>
      <c r="T22" s="4"/>
      <c r="U22" s="4"/>
      <c r="V22" s="4"/>
      <c r="W22" s="4"/>
      <c r="X22" s="4"/>
      <c r="Y22" s="4"/>
      <c r="Z22" s="4"/>
    </row>
    <row r="23" ht="9.75" customHeight="1">
      <c r="A23" s="30" t="s">
        <v>27</v>
      </c>
      <c r="B23" s="7" t="str">
        <f>GETPIVOTDATA("Sum of TOC_Rehab",Pivot!$A$8)</f>
        <v>#REF!</v>
      </c>
      <c r="C23" s="31" t="str">
        <f t="shared" si="1"/>
        <v>#REF!</v>
      </c>
      <c r="D23" s="4"/>
      <c r="E23" s="4" t="s">
        <v>28</v>
      </c>
      <c r="F23" s="7" t="str">
        <f>GETPIVOTDATA("Sum of Dsch_Days",Pivot!$A$8)</f>
        <v>#REF!</v>
      </c>
      <c r="G23" s="7"/>
      <c r="H23" s="4"/>
      <c r="I23" s="4" t="s">
        <v>29</v>
      </c>
      <c r="J23" s="7" t="str">
        <f>GETPIVOTDATA("Sum of Payer_Priv_Coverage",Pivot!$A$8)</f>
        <v>#REF!</v>
      </c>
      <c r="K23" s="31" t="str">
        <f t="shared" si="2"/>
        <v>#REF!</v>
      </c>
      <c r="L23" s="4"/>
      <c r="M23" s="4"/>
      <c r="N23" s="4"/>
      <c r="O23" s="4"/>
      <c r="P23" s="4"/>
      <c r="Q23" s="4"/>
      <c r="R23" s="4"/>
      <c r="S23" s="4"/>
      <c r="T23" s="4"/>
      <c r="U23" s="4"/>
      <c r="V23" s="4"/>
      <c r="W23" s="4"/>
      <c r="X23" s="4"/>
      <c r="Y23" s="4"/>
      <c r="Z23" s="4"/>
    </row>
    <row r="24" ht="9.75" customHeight="1">
      <c r="A24" s="30" t="s">
        <v>30</v>
      </c>
      <c r="B24" s="7" t="str">
        <f>GETPIVOTDATA("Sum of TOC_Psych",Pivot!$A$8)</f>
        <v>#REF!</v>
      </c>
      <c r="C24" s="31" t="str">
        <f t="shared" si="1"/>
        <v>#REF!</v>
      </c>
      <c r="D24" s="4"/>
      <c r="E24" s="4" t="s">
        <v>31</v>
      </c>
      <c r="F24" s="32" t="str">
        <f>F23/F22</f>
        <v>#REF!</v>
      </c>
      <c r="G24" s="7"/>
      <c r="H24" s="4"/>
      <c r="I24" s="4" t="s">
        <v>32</v>
      </c>
      <c r="J24" s="7" t="str">
        <f>GETPIVOTDATA("Sum of Payer_Self_Pay",Pivot!$A$8)</f>
        <v>#REF!</v>
      </c>
      <c r="K24" s="31" t="str">
        <f t="shared" si="2"/>
        <v>#REF!</v>
      </c>
      <c r="L24" s="4"/>
      <c r="M24" s="4"/>
      <c r="N24" s="4"/>
      <c r="O24" s="4"/>
      <c r="P24" s="4"/>
      <c r="Q24" s="4"/>
      <c r="R24" s="4"/>
      <c r="S24" s="4"/>
      <c r="T24" s="4"/>
      <c r="U24" s="4"/>
      <c r="V24" s="4"/>
      <c r="W24" s="4"/>
      <c r="X24" s="4"/>
      <c r="Y24" s="4"/>
      <c r="Z24" s="4"/>
    </row>
    <row r="25" ht="9.75" customHeight="1">
      <c r="A25" s="30" t="s">
        <v>33</v>
      </c>
      <c r="B25" s="7" t="str">
        <f>GETPIVOTDATA("Sum of TOC_SN_IC",Pivot!$A$8)</f>
        <v>#REF!</v>
      </c>
      <c r="C25" s="31" t="str">
        <f t="shared" si="1"/>
        <v>#REF!</v>
      </c>
      <c r="D25" s="4"/>
      <c r="E25" s="4"/>
      <c r="F25" s="7"/>
      <c r="G25" s="7"/>
      <c r="H25" s="4"/>
      <c r="I25" s="4" t="s">
        <v>34</v>
      </c>
      <c r="J25" s="7" t="str">
        <f>GETPIVOTDATA("Sum of Payer_Workers_Comp",Pivot!$A$8)</f>
        <v>#REF!</v>
      </c>
      <c r="K25" s="31" t="str">
        <f t="shared" si="2"/>
        <v>#REF!</v>
      </c>
      <c r="L25" s="4"/>
      <c r="M25" s="4"/>
      <c r="N25" s="4"/>
      <c r="O25" s="4"/>
      <c r="P25" s="4"/>
      <c r="Q25" s="4"/>
      <c r="R25" s="4"/>
      <c r="S25" s="4"/>
      <c r="T25" s="4"/>
      <c r="U25" s="4"/>
      <c r="V25" s="4"/>
      <c r="W25" s="4"/>
      <c r="X25" s="4"/>
      <c r="Y25" s="4"/>
      <c r="Z25" s="4"/>
    </row>
    <row r="26" ht="9.75" customHeight="1">
      <c r="A26" s="33" t="s">
        <v>35</v>
      </c>
      <c r="B26" s="7" t="str">
        <f>GETPIVOTDATA("Sum of TOC_Unknown",Pivot!$A$8)</f>
        <v>#REF!</v>
      </c>
      <c r="C26" s="31" t="str">
        <f t="shared" si="1"/>
        <v>#REF!</v>
      </c>
      <c r="D26" s="4"/>
      <c r="E26" s="4"/>
      <c r="F26" s="7"/>
      <c r="G26" s="7"/>
      <c r="H26" s="4"/>
      <c r="I26" s="4" t="s">
        <v>36</v>
      </c>
      <c r="J26" s="7" t="str">
        <f>GETPIVOTDATA("Sum of Payer_County_Indigent_Prog",Pivot!$A$8)</f>
        <v>#REF!</v>
      </c>
      <c r="K26" s="31" t="str">
        <f t="shared" si="2"/>
        <v>#REF!</v>
      </c>
      <c r="L26" s="4"/>
      <c r="M26" s="4"/>
      <c r="N26" s="4"/>
      <c r="O26" s="4"/>
      <c r="P26" s="4"/>
      <c r="Q26" s="4"/>
      <c r="R26" s="4"/>
      <c r="S26" s="4"/>
      <c r="T26" s="4"/>
      <c r="U26" s="4"/>
      <c r="V26" s="4"/>
      <c r="W26" s="4"/>
      <c r="X26" s="4"/>
      <c r="Y26" s="4"/>
      <c r="Z26" s="4"/>
    </row>
    <row r="27" ht="9.75" customHeight="1">
      <c r="A27" s="4"/>
      <c r="B27" s="34" t="str">
        <f t="shared" ref="B27:C27" si="3">SUM(B21:B26)</f>
        <v>#REF!</v>
      </c>
      <c r="C27" s="35" t="str">
        <f t="shared" si="3"/>
        <v>#REF!</v>
      </c>
      <c r="D27" s="4"/>
      <c r="E27" s="36" t="s">
        <v>37</v>
      </c>
      <c r="F27" s="37" t="s">
        <v>17</v>
      </c>
      <c r="G27" s="37" t="s">
        <v>18</v>
      </c>
      <c r="H27" s="4"/>
      <c r="I27" s="4" t="s">
        <v>38</v>
      </c>
      <c r="J27" s="7" t="str">
        <f>GETPIVOTDATA("Sum of Payer_Other_Government",Pivot!$A$8)</f>
        <v>#REF!</v>
      </c>
      <c r="K27" s="31" t="str">
        <f t="shared" si="2"/>
        <v>#REF!</v>
      </c>
      <c r="L27" s="4"/>
      <c r="M27" s="4"/>
      <c r="N27" s="4"/>
      <c r="O27" s="4"/>
      <c r="P27" s="4"/>
      <c r="Q27" s="4"/>
      <c r="R27" s="4"/>
      <c r="S27" s="4"/>
      <c r="T27" s="4"/>
      <c r="U27" s="4"/>
      <c r="V27" s="4"/>
      <c r="W27" s="4"/>
      <c r="X27" s="4"/>
      <c r="Y27" s="4"/>
      <c r="Z27" s="4"/>
    </row>
    <row r="28" ht="9.75" customHeight="1">
      <c r="A28" s="4"/>
      <c r="B28" s="7"/>
      <c r="C28" s="7"/>
      <c r="D28" s="4"/>
      <c r="E28" s="30" t="s">
        <v>39</v>
      </c>
      <c r="F28" s="7" t="str">
        <f>GETPIVOTDATA("Sum of DNR_Yes",Pivot!$A$8)</f>
        <v>#REF!</v>
      </c>
      <c r="G28" s="31" t="str">
        <f t="shared" ref="G28:G30" si="4">F28/$F$31</f>
        <v>#REF!</v>
      </c>
      <c r="H28" s="4"/>
      <c r="I28" s="4" t="s">
        <v>40</v>
      </c>
      <c r="J28" s="7" t="str">
        <f>GETPIVOTDATA("Sum of Payer_Other_Indigent",Pivot!$A$8)</f>
        <v>#REF!</v>
      </c>
      <c r="K28" s="31" t="str">
        <f t="shared" si="2"/>
        <v>#REF!</v>
      </c>
      <c r="L28" s="4"/>
      <c r="M28" s="4"/>
      <c r="N28" s="4"/>
      <c r="O28" s="4"/>
      <c r="P28" s="4"/>
      <c r="Q28" s="4"/>
      <c r="R28" s="4"/>
      <c r="S28" s="4"/>
      <c r="T28" s="4"/>
      <c r="U28" s="4"/>
      <c r="V28" s="4"/>
      <c r="W28" s="4"/>
      <c r="X28" s="4"/>
      <c r="Y28" s="4"/>
      <c r="Z28" s="4"/>
    </row>
    <row r="29" ht="9.75" customHeight="1">
      <c r="A29" s="4"/>
      <c r="B29" s="7"/>
      <c r="C29" s="7"/>
      <c r="D29" s="4"/>
      <c r="E29" s="30" t="s">
        <v>41</v>
      </c>
      <c r="F29" s="7" t="str">
        <f>GETPIVOTDATA("Sum of DNR_No",Pivot!$A$8)</f>
        <v>#REF!</v>
      </c>
      <c r="G29" s="31" t="str">
        <f t="shared" si="4"/>
        <v>#REF!</v>
      </c>
      <c r="H29" s="4"/>
      <c r="I29" s="4" t="s">
        <v>42</v>
      </c>
      <c r="J29" s="7" t="str">
        <f>GETPIVOTDATA("Sum of Payer_Other_Payer",Pivot!$A$8)</f>
        <v>#REF!</v>
      </c>
      <c r="K29" s="31" t="str">
        <f t="shared" si="2"/>
        <v>#REF!</v>
      </c>
      <c r="L29" s="4"/>
      <c r="M29" s="4"/>
      <c r="N29" s="4"/>
      <c r="O29" s="4"/>
      <c r="P29" s="4"/>
      <c r="Q29" s="4"/>
      <c r="R29" s="4"/>
      <c r="S29" s="4"/>
      <c r="T29" s="4"/>
      <c r="U29" s="4"/>
      <c r="V29" s="4"/>
      <c r="W29" s="4"/>
      <c r="X29" s="4"/>
      <c r="Y29" s="4"/>
      <c r="Z29" s="4"/>
    </row>
    <row r="30" ht="9.75" customHeight="1">
      <c r="A30" s="4"/>
      <c r="B30" s="7"/>
      <c r="C30" s="7"/>
      <c r="D30" s="4"/>
      <c r="E30" s="33" t="s">
        <v>43</v>
      </c>
      <c r="F30" s="7" t="str">
        <f>GETPIVOTDATA("Sum of DNR_Unknown",Pivot!$A$8)</f>
        <v>#REF!</v>
      </c>
      <c r="G30" s="31" t="str">
        <f t="shared" si="4"/>
        <v>#REF!</v>
      </c>
      <c r="H30" s="4"/>
      <c r="I30" s="38" t="s">
        <v>35</v>
      </c>
      <c r="J30" s="7" t="str">
        <f>GETPIVOTDATA("Sum of Payer_Unknown",Pivot!$A$8)</f>
        <v>#REF!</v>
      </c>
      <c r="K30" s="31" t="str">
        <f t="shared" si="2"/>
        <v>#REF!</v>
      </c>
      <c r="L30" s="4"/>
      <c r="M30" s="4"/>
      <c r="N30" s="4"/>
      <c r="O30" s="4"/>
      <c r="P30" s="4"/>
      <c r="Q30" s="4"/>
      <c r="R30" s="4"/>
      <c r="S30" s="4"/>
      <c r="T30" s="4"/>
      <c r="U30" s="4"/>
      <c r="V30" s="4"/>
      <c r="W30" s="4"/>
      <c r="X30" s="4"/>
      <c r="Y30" s="4"/>
      <c r="Z30" s="4"/>
    </row>
    <row r="31" ht="9.75" customHeight="1">
      <c r="A31" s="4"/>
      <c r="B31" s="7"/>
      <c r="C31" s="7"/>
      <c r="D31" s="4"/>
      <c r="E31" s="4"/>
      <c r="F31" s="34" t="str">
        <f t="shared" ref="F31:G31" si="5">SUM(F28:F30)</f>
        <v>#REF!</v>
      </c>
      <c r="G31" s="35" t="str">
        <f t="shared" si="5"/>
        <v>#REF!</v>
      </c>
      <c r="H31" s="4"/>
      <c r="I31" s="39"/>
      <c r="J31" s="34" t="str">
        <f t="shared" ref="J31:K31" si="6">SUM(J21:J30)</f>
        <v>#REF!</v>
      </c>
      <c r="K31" s="35" t="str">
        <f t="shared" si="6"/>
        <v>#REF!</v>
      </c>
      <c r="L31" s="4"/>
      <c r="M31" s="4"/>
      <c r="N31" s="4"/>
      <c r="O31" s="4"/>
      <c r="P31" s="4"/>
      <c r="Q31" s="4"/>
      <c r="R31" s="4"/>
      <c r="S31" s="4"/>
      <c r="T31" s="4"/>
      <c r="U31" s="4"/>
      <c r="V31" s="4"/>
      <c r="W31" s="4"/>
      <c r="X31" s="4"/>
      <c r="Y31" s="4"/>
      <c r="Z31" s="4"/>
    </row>
    <row r="32" ht="9.75" customHeight="1">
      <c r="A32" s="4"/>
      <c r="B32" s="7"/>
      <c r="C32" s="7"/>
      <c r="D32" s="4"/>
      <c r="E32" s="4"/>
      <c r="F32" s="7"/>
      <c r="G32" s="31"/>
      <c r="H32" s="4"/>
      <c r="I32" s="4"/>
      <c r="J32" s="7"/>
      <c r="K32" s="4"/>
      <c r="L32" s="4"/>
      <c r="M32" s="4"/>
      <c r="N32" s="4"/>
      <c r="O32" s="4"/>
      <c r="P32" s="4"/>
      <c r="Q32" s="4"/>
      <c r="R32" s="4"/>
      <c r="S32" s="4"/>
      <c r="T32" s="4"/>
      <c r="U32" s="4"/>
      <c r="V32" s="4"/>
      <c r="W32" s="4"/>
      <c r="X32" s="4"/>
      <c r="Y32" s="4"/>
      <c r="Z32" s="4"/>
    </row>
    <row r="33" ht="5.25" customHeight="1">
      <c r="A33" s="4"/>
      <c r="B33" s="7"/>
      <c r="C33" s="7"/>
      <c r="D33" s="4"/>
      <c r="E33" s="4"/>
      <c r="F33" s="7"/>
      <c r="G33" s="31"/>
      <c r="H33" s="4"/>
      <c r="I33" s="39"/>
      <c r="J33" s="7"/>
      <c r="K33" s="31"/>
      <c r="L33" s="4"/>
      <c r="M33" s="4"/>
      <c r="N33" s="4"/>
      <c r="O33" s="4"/>
      <c r="P33" s="4"/>
      <c r="Q33" s="4"/>
      <c r="R33" s="4"/>
      <c r="S33" s="4"/>
      <c r="T33" s="4"/>
      <c r="U33" s="4"/>
      <c r="V33" s="4"/>
      <c r="W33" s="4"/>
      <c r="X33" s="4"/>
      <c r="Y33" s="4"/>
      <c r="Z33" s="4"/>
    </row>
    <row r="34" ht="7.5" customHeight="1">
      <c r="A34" s="4"/>
      <c r="B34" s="7"/>
      <c r="C34" s="7"/>
      <c r="D34" s="4"/>
      <c r="E34" s="4"/>
      <c r="F34" s="7"/>
      <c r="G34" s="7"/>
      <c r="H34" s="4"/>
      <c r="I34" s="39"/>
      <c r="J34" s="7"/>
      <c r="K34" s="31"/>
      <c r="L34" s="4"/>
      <c r="M34" s="4"/>
      <c r="N34" s="4"/>
      <c r="O34" s="4"/>
      <c r="P34" s="4"/>
      <c r="Q34" s="4"/>
      <c r="R34" s="4"/>
      <c r="S34" s="4"/>
      <c r="T34" s="4"/>
      <c r="U34" s="4"/>
      <c r="V34" s="4"/>
      <c r="W34" s="4"/>
      <c r="X34" s="4"/>
      <c r="Y34" s="4"/>
      <c r="Z34" s="4"/>
    </row>
    <row r="35" ht="9.75" customHeight="1">
      <c r="A35" s="27" t="s">
        <v>44</v>
      </c>
      <c r="B35" s="28" t="s">
        <v>17</v>
      </c>
      <c r="C35" s="28" t="s">
        <v>18</v>
      </c>
      <c r="D35" s="29"/>
      <c r="E35" s="27" t="s">
        <v>45</v>
      </c>
      <c r="F35" s="28" t="s">
        <v>17</v>
      </c>
      <c r="G35" s="28" t="s">
        <v>18</v>
      </c>
      <c r="H35" s="29"/>
      <c r="I35" s="27" t="s">
        <v>46</v>
      </c>
      <c r="J35" s="28" t="s">
        <v>17</v>
      </c>
      <c r="K35" s="28" t="s">
        <v>18</v>
      </c>
      <c r="L35" s="4"/>
      <c r="M35" s="4"/>
      <c r="N35" s="4"/>
      <c r="O35" s="4"/>
      <c r="P35" s="4"/>
      <c r="Q35" s="4"/>
      <c r="R35" s="4"/>
      <c r="S35" s="4"/>
      <c r="T35" s="4"/>
      <c r="U35" s="4"/>
      <c r="V35" s="4"/>
      <c r="W35" s="4"/>
      <c r="X35" s="4"/>
      <c r="Y35" s="4"/>
      <c r="Z35" s="4"/>
    </row>
    <row r="36" ht="9.75" customHeight="1">
      <c r="A36" s="40" t="s">
        <v>47</v>
      </c>
      <c r="B36" s="7">
        <f>GETPIVOTDATA("Sum of Age_0_09",Pivot!$A$9)</f>
        <v>527704</v>
      </c>
      <c r="C36" s="31" t="str">
        <f t="shared" ref="C36:C45" si="7">B36/$B$46</f>
        <v>#REF!</v>
      </c>
      <c r="D36" s="4"/>
      <c r="E36" s="30" t="s">
        <v>48</v>
      </c>
      <c r="F36" s="7">
        <f>GETPIVOTDATA("Sum of racegrp_aman",Pivot!$A$9)</f>
        <v>14414</v>
      </c>
      <c r="G36" s="31">
        <f t="shared" ref="G36:G43" si="8">F36/$F$44</f>
        <v>0.004000087694</v>
      </c>
      <c r="H36" s="4"/>
      <c r="I36" s="4" t="s">
        <v>49</v>
      </c>
      <c r="J36" s="41">
        <f>GETPIVOTDATA("Sum of Zip_CA_Resident",Pivot!$A$9)</f>
        <v>3442534</v>
      </c>
      <c r="K36" s="31">
        <f t="shared" ref="K36:K40" si="9">J36/J$41</f>
        <v>0.9553515951</v>
      </c>
      <c r="L36" s="4"/>
      <c r="M36" s="41"/>
      <c r="N36" s="4"/>
      <c r="O36" s="4"/>
      <c r="P36" s="4"/>
      <c r="Q36" s="4"/>
      <c r="R36" s="4"/>
      <c r="S36" s="4"/>
      <c r="T36" s="4"/>
      <c r="U36" s="4"/>
      <c r="V36" s="4"/>
      <c r="W36" s="4"/>
      <c r="X36" s="4"/>
      <c r="Y36" s="4"/>
      <c r="Z36" s="4"/>
    </row>
    <row r="37" ht="9.75" customHeight="1">
      <c r="A37" s="40" t="s">
        <v>50</v>
      </c>
      <c r="B37" s="7" t="str">
        <f>GETPIVOTDATA("Sum of Age_10_19",Pivot!$A$8)</f>
        <v>#REF!</v>
      </c>
      <c r="C37" s="31" t="str">
        <f t="shared" si="7"/>
        <v>#REF!</v>
      </c>
      <c r="D37" s="4"/>
      <c r="E37" s="30" t="s">
        <v>51</v>
      </c>
      <c r="F37" s="7">
        <f>GETPIVOTDATA("Sum of RaceGrp_Asian",Pivot!$A$9)</f>
        <v>335529</v>
      </c>
      <c r="G37" s="31">
        <f t="shared" si="8"/>
        <v>0.09311401582</v>
      </c>
      <c r="H37" s="4"/>
      <c r="I37" s="4" t="s">
        <v>52</v>
      </c>
      <c r="J37" s="41">
        <f>GETPIVOTDATA("Sum of Zip_Homeless",Pivot!$A$9)</f>
        <v>116580</v>
      </c>
      <c r="K37" s="31">
        <f t="shared" si="9"/>
        <v>0.03235258939</v>
      </c>
      <c r="L37" s="4"/>
      <c r="M37" s="4"/>
      <c r="N37" s="4"/>
      <c r="O37" s="4"/>
      <c r="P37" s="4"/>
      <c r="Q37" s="4"/>
      <c r="R37" s="4"/>
      <c r="S37" s="4"/>
      <c r="T37" s="4"/>
      <c r="U37" s="4"/>
      <c r="V37" s="4"/>
      <c r="W37" s="4"/>
      <c r="X37" s="4"/>
      <c r="Y37" s="4"/>
      <c r="Z37" s="4"/>
    </row>
    <row r="38" ht="9.75" customHeight="1">
      <c r="A38" s="40" t="s">
        <v>53</v>
      </c>
      <c r="B38" s="7" t="str">
        <f>GETPIVOTDATA("Sum of Age_20_29",Pivot!$A$8)</f>
        <v>#REF!</v>
      </c>
      <c r="C38" s="31" t="str">
        <f t="shared" si="7"/>
        <v>#REF!</v>
      </c>
      <c r="D38" s="4"/>
      <c r="E38" s="30" t="s">
        <v>54</v>
      </c>
      <c r="F38" s="7">
        <f>GETPIVOTDATA("Sum of RaceGrp_Black",Pivot!$A$9)</f>
        <v>304186</v>
      </c>
      <c r="G38" s="31">
        <f t="shared" si="8"/>
        <v>0.08441589256</v>
      </c>
      <c r="H38" s="4"/>
      <c r="I38" s="4" t="s">
        <v>55</v>
      </c>
      <c r="J38" s="41">
        <f>GETPIVOTDATA("Sum of Zip_Out_of_State",Pivot!$A$9)</f>
        <v>33829</v>
      </c>
      <c r="K38" s="31">
        <f t="shared" si="9"/>
        <v>0.009388023215</v>
      </c>
      <c r="L38" s="4"/>
      <c r="M38" s="4"/>
      <c r="N38" s="4"/>
      <c r="O38" s="4"/>
      <c r="P38" s="4"/>
      <c r="Q38" s="4"/>
      <c r="R38" s="4"/>
      <c r="S38" s="4"/>
      <c r="T38" s="4"/>
      <c r="U38" s="4"/>
      <c r="V38" s="4"/>
      <c r="W38" s="4"/>
      <c r="X38" s="4"/>
      <c r="Y38" s="4"/>
      <c r="Z38" s="4"/>
    </row>
    <row r="39" ht="9.75" customHeight="1">
      <c r="A39" s="40" t="s">
        <v>56</v>
      </c>
      <c r="B39" s="7" t="str">
        <f>GETPIVOTDATA("Sum of Age_30_39",Pivot!$A$8)</f>
        <v>#REF!</v>
      </c>
      <c r="C39" s="31" t="str">
        <f t="shared" si="7"/>
        <v>#REF!</v>
      </c>
      <c r="D39" s="4"/>
      <c r="E39" s="30" t="s">
        <v>57</v>
      </c>
      <c r="F39" s="7">
        <f>GETPIVOTDATA("Sum of racegrp_multirace",Pivot!$A$9)</f>
        <v>66333</v>
      </c>
      <c r="G39" s="31">
        <f t="shared" si="8"/>
        <v>0.0184083403</v>
      </c>
      <c r="H39" s="4"/>
      <c r="I39" s="4" t="s">
        <v>58</v>
      </c>
      <c r="J39" s="41">
        <f>GETPIVOTDATA("Sum of Zip_Foreign",Pivot!$A$9)</f>
        <v>4595</v>
      </c>
      <c r="K39" s="31">
        <f t="shared" si="9"/>
        <v>0.001275177116</v>
      </c>
      <c r="L39" s="4"/>
      <c r="M39" s="4"/>
      <c r="N39" s="4"/>
      <c r="O39" s="4"/>
      <c r="P39" s="4"/>
      <c r="Q39" s="4"/>
      <c r="R39" s="4"/>
      <c r="S39" s="4"/>
      <c r="T39" s="4"/>
      <c r="U39" s="4"/>
      <c r="V39" s="4"/>
      <c r="W39" s="4"/>
      <c r="X39" s="4"/>
      <c r="Y39" s="4"/>
      <c r="Z39" s="4"/>
    </row>
    <row r="40" ht="9.75" customHeight="1">
      <c r="A40" s="40" t="s">
        <v>59</v>
      </c>
      <c r="B40" s="7" t="str">
        <f>GETPIVOTDATA("Sum of Age_40_49",Pivot!$A$8)</f>
        <v>#REF!</v>
      </c>
      <c r="C40" s="31" t="str">
        <f t="shared" si="7"/>
        <v>#REF!</v>
      </c>
      <c r="D40" s="4"/>
      <c r="E40" s="30" t="s">
        <v>60</v>
      </c>
      <c r="F40" s="7">
        <f>GETPIVOTDATA("Sum of racegrp_nhpi",Pivot!$A$9)</f>
        <v>22343</v>
      </c>
      <c r="G40" s="31">
        <f t="shared" si="8"/>
        <v>0.006200496695</v>
      </c>
      <c r="H40" s="4"/>
      <c r="I40" s="38" t="s">
        <v>35</v>
      </c>
      <c r="J40" s="42">
        <f>GETPIVOTDATA("Sum of Zip_Unk_Inv_Bl",Pivot!$A$9)</f>
        <v>5883</v>
      </c>
      <c r="K40" s="43">
        <f t="shared" si="9"/>
        <v>0.001632615229</v>
      </c>
      <c r="L40" s="4"/>
      <c r="M40" s="4"/>
      <c r="N40" s="4"/>
      <c r="O40" s="4"/>
      <c r="P40" s="4"/>
      <c r="Q40" s="4"/>
      <c r="R40" s="4"/>
      <c r="S40" s="4"/>
      <c r="T40" s="4"/>
      <c r="U40" s="4"/>
      <c r="V40" s="4"/>
      <c r="W40" s="4"/>
      <c r="X40" s="4"/>
      <c r="Y40" s="4"/>
      <c r="Z40" s="4"/>
    </row>
    <row r="41" ht="9.75" customHeight="1">
      <c r="A41" s="40" t="s">
        <v>61</v>
      </c>
      <c r="B41" s="7" t="str">
        <f>GETPIVOTDATA("Sum of Age_50_59",Pivot!$A$8)</f>
        <v>#REF!</v>
      </c>
      <c r="C41" s="31" t="str">
        <f t="shared" si="7"/>
        <v>#REF!</v>
      </c>
      <c r="D41" s="4"/>
      <c r="E41" s="30" t="s">
        <v>62</v>
      </c>
      <c r="F41" s="7">
        <f>GETPIVOTDATA("Sum of RaceGrp_White",Pivot!$A$9)</f>
        <v>1996646</v>
      </c>
      <c r="G41" s="31">
        <f t="shared" si="8"/>
        <v>0.5540973425</v>
      </c>
      <c r="H41" s="4"/>
      <c r="I41" s="4"/>
      <c r="J41" s="44">
        <f t="shared" ref="J41:K41" si="10">SUM(J36:J40)</f>
        <v>3603421</v>
      </c>
      <c r="K41" s="45">
        <f t="shared" si="10"/>
        <v>1</v>
      </c>
      <c r="L41" s="4"/>
      <c r="M41" s="4"/>
      <c r="N41" s="4"/>
      <c r="O41" s="4"/>
      <c r="P41" s="4"/>
      <c r="Q41" s="4"/>
      <c r="R41" s="4"/>
      <c r="S41" s="4"/>
      <c r="T41" s="4"/>
      <c r="U41" s="4"/>
      <c r="V41" s="4"/>
      <c r="W41" s="4"/>
      <c r="X41" s="4"/>
      <c r="Y41" s="4"/>
      <c r="Z41" s="4"/>
    </row>
    <row r="42" ht="9.75" customHeight="1">
      <c r="A42" s="40" t="s">
        <v>63</v>
      </c>
      <c r="B42" s="7" t="str">
        <f>GETPIVOTDATA("Sum of Age_60_69",Pivot!$A$8)</f>
        <v>#REF!</v>
      </c>
      <c r="C42" s="31" t="str">
        <f t="shared" si="7"/>
        <v>#REF!</v>
      </c>
      <c r="D42" s="4"/>
      <c r="E42" s="30" t="s">
        <v>64</v>
      </c>
      <c r="F42" s="7">
        <f>GETPIVOTDATA("Sum of RaceGrp_Other",Pivot!$A$9)</f>
        <v>788243</v>
      </c>
      <c r="G42" s="31">
        <f t="shared" si="8"/>
        <v>0.218748517</v>
      </c>
      <c r="H42" s="4"/>
      <c r="I42" s="4"/>
      <c r="J42" s="7"/>
      <c r="K42" s="4"/>
      <c r="L42" s="4"/>
      <c r="M42" s="4"/>
      <c r="N42" s="4"/>
      <c r="O42" s="4"/>
      <c r="P42" s="4"/>
      <c r="Q42" s="4"/>
      <c r="R42" s="4"/>
      <c r="S42" s="4"/>
      <c r="T42" s="4"/>
      <c r="U42" s="4"/>
      <c r="V42" s="4"/>
      <c r="W42" s="4"/>
      <c r="X42" s="4"/>
      <c r="Y42" s="4"/>
      <c r="Z42" s="4"/>
    </row>
    <row r="43" ht="9.75" customHeight="1">
      <c r="A43" s="40" t="s">
        <v>65</v>
      </c>
      <c r="B43" s="7" t="str">
        <f>GETPIVOTDATA("Sum of Age_70_79",Pivot!$A$8)</f>
        <v>#REF!</v>
      </c>
      <c r="C43" s="31" t="str">
        <f t="shared" si="7"/>
        <v>#REF!</v>
      </c>
      <c r="D43" s="4"/>
      <c r="E43" s="33" t="s">
        <v>66</v>
      </c>
      <c r="F43" s="7">
        <f>GETPIVOTDATA("Sum of racegrp_unknown",Pivot!$A$9)</f>
        <v>75727</v>
      </c>
      <c r="G43" s="31">
        <f t="shared" si="8"/>
        <v>0.0210153074</v>
      </c>
      <c r="H43" s="4"/>
      <c r="I43" s="4" t="s">
        <v>67</v>
      </c>
      <c r="J43" s="4"/>
      <c r="K43" s="4"/>
      <c r="L43" s="4"/>
      <c r="M43" s="4"/>
      <c r="N43" s="4"/>
      <c r="O43" s="4"/>
      <c r="P43" s="4"/>
      <c r="Q43" s="4"/>
      <c r="R43" s="4"/>
      <c r="S43" s="4"/>
      <c r="T43" s="4"/>
      <c r="U43" s="4"/>
      <c r="V43" s="4"/>
      <c r="W43" s="4"/>
      <c r="X43" s="4"/>
      <c r="Y43" s="4"/>
      <c r="Z43" s="4"/>
    </row>
    <row r="44" ht="9.75" customHeight="1">
      <c r="A44" s="40" t="s">
        <v>68</v>
      </c>
      <c r="B44" s="7" t="str">
        <f>GETPIVOTDATA("Sum of Age_80_",Pivot!$A$8)</f>
        <v>#REF!</v>
      </c>
      <c r="C44" s="31" t="str">
        <f t="shared" si="7"/>
        <v>#REF!</v>
      </c>
      <c r="D44" s="4"/>
      <c r="E44" s="4"/>
      <c r="F44" s="34">
        <f t="shared" ref="F44:G44" si="11">SUM(F36:F43)</f>
        <v>3603421</v>
      </c>
      <c r="G44" s="35">
        <f t="shared" si="11"/>
        <v>1</v>
      </c>
      <c r="H44" s="4"/>
      <c r="I44" s="4"/>
      <c r="J44" s="4"/>
      <c r="K44" s="4"/>
      <c r="L44" s="4"/>
      <c r="M44" s="4"/>
      <c r="N44" s="4"/>
      <c r="O44" s="4"/>
      <c r="P44" s="4"/>
      <c r="Q44" s="4"/>
      <c r="R44" s="4"/>
      <c r="S44" s="4"/>
      <c r="T44" s="4"/>
      <c r="U44" s="4"/>
      <c r="V44" s="4"/>
      <c r="W44" s="4"/>
      <c r="X44" s="4"/>
      <c r="Y44" s="4"/>
      <c r="Z44" s="4"/>
    </row>
    <row r="45" ht="9.75" customHeight="1">
      <c r="A45" s="33" t="s">
        <v>66</v>
      </c>
      <c r="B45" s="7">
        <f>GETPIVOTDATA("Sum of Age_Other_Unknown",Pivot!$A$9)</f>
        <v>1225</v>
      </c>
      <c r="C45" s="31" t="str">
        <f t="shared" si="7"/>
        <v>#REF!</v>
      </c>
      <c r="D45" s="4"/>
      <c r="E45" s="4"/>
      <c r="F45" s="7"/>
      <c r="G45" s="7"/>
      <c r="H45" s="4"/>
      <c r="I45" s="4"/>
      <c r="J45" s="7"/>
      <c r="K45" s="4"/>
      <c r="L45" s="4"/>
      <c r="M45" s="4"/>
      <c r="N45" s="4"/>
      <c r="O45" s="4"/>
      <c r="P45" s="4"/>
      <c r="Q45" s="4"/>
      <c r="R45" s="4"/>
      <c r="S45" s="4"/>
      <c r="T45" s="4"/>
      <c r="U45" s="4"/>
      <c r="V45" s="4"/>
      <c r="W45" s="4"/>
      <c r="X45" s="4"/>
      <c r="Y45" s="4"/>
      <c r="Z45" s="4"/>
    </row>
    <row r="46" ht="9.75" customHeight="1">
      <c r="A46" s="46"/>
      <c r="B46" s="34" t="str">
        <f t="shared" ref="B46:C46" si="12">SUM(B36:B45)</f>
        <v>#REF!</v>
      </c>
      <c r="C46" s="35" t="str">
        <f t="shared" si="12"/>
        <v>#REF!</v>
      </c>
      <c r="D46" s="4"/>
      <c r="E46" s="4"/>
      <c r="F46" s="7"/>
      <c r="G46" s="7"/>
      <c r="H46" s="4"/>
      <c r="I46" s="4"/>
      <c r="J46" s="7"/>
      <c r="K46" s="4"/>
      <c r="L46" s="4"/>
      <c r="M46" s="4"/>
      <c r="N46" s="4"/>
      <c r="O46" s="4"/>
      <c r="P46" s="4"/>
      <c r="Q46" s="4"/>
      <c r="R46" s="4"/>
      <c r="S46" s="4"/>
      <c r="T46" s="4"/>
      <c r="U46" s="4"/>
      <c r="V46" s="4"/>
      <c r="W46" s="4"/>
      <c r="X46" s="4"/>
      <c r="Y46" s="4"/>
      <c r="Z46" s="4"/>
    </row>
    <row r="47" ht="9.75" customHeight="1">
      <c r="A47" s="4"/>
      <c r="B47" s="7"/>
      <c r="C47" s="7"/>
      <c r="D47" s="4"/>
      <c r="E47" s="27" t="s">
        <v>69</v>
      </c>
      <c r="F47" s="28" t="s">
        <v>17</v>
      </c>
      <c r="G47" s="28" t="s">
        <v>18</v>
      </c>
      <c r="H47" s="4"/>
      <c r="I47" s="27" t="s">
        <v>70</v>
      </c>
      <c r="J47" s="28" t="s">
        <v>17</v>
      </c>
      <c r="K47" s="28" t="s">
        <v>18</v>
      </c>
      <c r="L47" s="4"/>
      <c r="M47" s="4"/>
      <c r="N47" s="4"/>
      <c r="O47" s="4"/>
      <c r="P47" s="4"/>
      <c r="Q47" s="4"/>
      <c r="R47" s="4"/>
      <c r="S47" s="4"/>
      <c r="T47" s="4"/>
      <c r="U47" s="4"/>
      <c r="V47" s="4"/>
      <c r="W47" s="4"/>
      <c r="X47" s="4"/>
      <c r="Y47" s="4"/>
      <c r="Z47" s="4"/>
    </row>
    <row r="48" ht="9.75" customHeight="1">
      <c r="A48" s="4"/>
      <c r="B48" s="7"/>
      <c r="C48" s="7"/>
      <c r="D48" s="4"/>
      <c r="E48" s="30" t="s">
        <v>71</v>
      </c>
      <c r="F48" s="7">
        <f>GETPIVOTDATA("Sum of eth_Hispanic",Pivot!$A$9)</f>
        <v>1238948</v>
      </c>
      <c r="G48" s="31" t="str">
        <f t="shared" ref="G48:G50" si="13">F48/$J$51</f>
        <v>#REF!</v>
      </c>
      <c r="H48" s="4"/>
      <c r="I48" s="30" t="s">
        <v>72</v>
      </c>
      <c r="J48" s="7" t="str">
        <f>GETPIVOTDATA("Sum of Sex_Female",Pivot!$A$8)</f>
        <v>#REF!</v>
      </c>
      <c r="K48" s="31" t="str">
        <f t="shared" ref="K48:K50" si="14">J48/$J$51</f>
        <v>#REF!</v>
      </c>
      <c r="L48" s="4"/>
      <c r="M48" s="4"/>
      <c r="N48" s="4"/>
      <c r="O48" s="4"/>
      <c r="P48" s="4"/>
      <c r="Q48" s="4"/>
      <c r="R48" s="4"/>
      <c r="S48" s="4"/>
      <c r="T48" s="4"/>
      <c r="U48" s="4"/>
      <c r="V48" s="4"/>
      <c r="W48" s="4"/>
      <c r="X48" s="4"/>
      <c r="Y48" s="4"/>
      <c r="Z48" s="4"/>
    </row>
    <row r="49" ht="9.75" customHeight="1">
      <c r="A49" s="4"/>
      <c r="B49" s="7"/>
      <c r="C49" s="7"/>
      <c r="D49" s="4"/>
      <c r="E49" s="30" t="s">
        <v>73</v>
      </c>
      <c r="F49" s="7">
        <f>GETPIVOTDATA("Sum of eth_NonHispanic",Pivot!$A$9)</f>
        <v>2288091</v>
      </c>
      <c r="G49" s="31" t="str">
        <f t="shared" si="13"/>
        <v>#REF!</v>
      </c>
      <c r="H49" s="4"/>
      <c r="I49" s="30" t="s">
        <v>74</v>
      </c>
      <c r="J49" s="7" t="str">
        <f>GETPIVOTDATA("Sum of Sex_Male",Pivot!$A$8)</f>
        <v>#REF!</v>
      </c>
      <c r="K49" s="31" t="str">
        <f t="shared" si="14"/>
        <v>#REF!</v>
      </c>
      <c r="L49" s="4"/>
      <c r="M49" s="4"/>
      <c r="N49" s="4"/>
      <c r="O49" s="4"/>
      <c r="P49" s="4"/>
      <c r="Q49" s="4"/>
      <c r="R49" s="4"/>
      <c r="S49" s="4"/>
      <c r="T49" s="4"/>
      <c r="U49" s="4"/>
      <c r="V49" s="4"/>
      <c r="W49" s="4"/>
      <c r="X49" s="4"/>
      <c r="Y49" s="4"/>
      <c r="Z49" s="4"/>
    </row>
    <row r="50" ht="9.75" customHeight="1">
      <c r="A50" s="4"/>
      <c r="B50" s="7"/>
      <c r="C50" s="7"/>
      <c r="D50" s="4"/>
      <c r="E50" s="33" t="s">
        <v>66</v>
      </c>
      <c r="F50" s="47">
        <f>GETPIVOTDATA("Sum of eth_Other_Unknown",Pivot!$A$9)</f>
        <v>76382</v>
      </c>
      <c r="G50" s="43" t="str">
        <f t="shared" si="13"/>
        <v>#REF!</v>
      </c>
      <c r="H50" s="4"/>
      <c r="I50" s="33" t="s">
        <v>35</v>
      </c>
      <c r="J50" s="47">
        <f>GETPIVOTDATA("Sum of Sex_Other_Unknown",Pivot!$A$9)</f>
        <v>472</v>
      </c>
      <c r="K50" s="43" t="str">
        <f t="shared" si="14"/>
        <v>#REF!</v>
      </c>
      <c r="L50" s="4"/>
      <c r="M50" s="4"/>
      <c r="N50" s="4"/>
      <c r="O50" s="4"/>
      <c r="P50" s="4"/>
      <c r="Q50" s="4"/>
      <c r="R50" s="4"/>
      <c r="S50" s="4"/>
      <c r="T50" s="4"/>
      <c r="U50" s="4"/>
      <c r="V50" s="4"/>
      <c r="W50" s="4"/>
      <c r="X50" s="4"/>
      <c r="Y50" s="4"/>
      <c r="Z50" s="4"/>
    </row>
    <row r="51" ht="9.75" customHeight="1">
      <c r="A51" s="4"/>
      <c r="B51" s="7"/>
      <c r="C51" s="7"/>
      <c r="D51" s="4"/>
      <c r="E51" s="30"/>
      <c r="F51" s="7">
        <f t="shared" ref="F51:G51" si="15">SUM(F48:F50)</f>
        <v>3603421</v>
      </c>
      <c r="G51" s="31" t="str">
        <f t="shared" si="15"/>
        <v>#REF!</v>
      </c>
      <c r="H51" s="4"/>
      <c r="I51" s="4"/>
      <c r="J51" s="44" t="str">
        <f t="shared" ref="J51:K51" si="16">SUM(J48:J50)</f>
        <v>#REF!</v>
      </c>
      <c r="K51" s="35" t="str">
        <f t="shared" si="16"/>
        <v>#REF!</v>
      </c>
      <c r="L51" s="4"/>
      <c r="M51" s="4"/>
      <c r="N51" s="4"/>
      <c r="O51" s="4"/>
      <c r="P51" s="4"/>
      <c r="Q51" s="4"/>
      <c r="R51" s="4"/>
      <c r="S51" s="4"/>
      <c r="T51" s="4"/>
      <c r="U51" s="4"/>
      <c r="V51" s="4"/>
      <c r="W51" s="4"/>
      <c r="X51" s="4"/>
      <c r="Y51" s="4"/>
      <c r="Z51" s="4"/>
    </row>
    <row r="52" ht="9.75" customHeight="1">
      <c r="A52" s="4"/>
      <c r="B52" s="7"/>
      <c r="C52" s="7"/>
      <c r="D52" s="4"/>
      <c r="E52" s="4"/>
      <c r="F52" s="7"/>
      <c r="G52" s="7"/>
      <c r="H52" s="4"/>
      <c r="I52" s="4"/>
      <c r="J52" s="4"/>
      <c r="K52" s="4"/>
      <c r="L52" s="4"/>
      <c r="M52" s="4"/>
      <c r="N52" s="4"/>
      <c r="O52" s="4"/>
      <c r="P52" s="4"/>
      <c r="Q52" s="4"/>
      <c r="R52" s="4"/>
      <c r="S52" s="4"/>
      <c r="T52" s="4"/>
      <c r="U52" s="4"/>
      <c r="V52" s="4"/>
      <c r="W52" s="4"/>
      <c r="X52" s="4"/>
      <c r="Y52" s="4"/>
      <c r="Z52" s="4"/>
    </row>
    <row r="53" ht="9.75" customHeight="1">
      <c r="A53" s="4"/>
      <c r="B53" s="7"/>
      <c r="C53" s="7"/>
      <c r="D53" s="4"/>
      <c r="E53" s="4"/>
      <c r="F53" s="7"/>
      <c r="G53" s="7"/>
      <c r="H53" s="4"/>
      <c r="I53" s="46"/>
      <c r="J53" s="7"/>
      <c r="K53" s="4"/>
      <c r="L53" s="4"/>
      <c r="M53" s="4"/>
      <c r="N53" s="4"/>
      <c r="O53" s="4"/>
      <c r="P53" s="4"/>
      <c r="Q53" s="4"/>
      <c r="R53" s="4"/>
      <c r="S53" s="4"/>
      <c r="T53" s="4"/>
      <c r="U53" s="4"/>
      <c r="V53" s="4"/>
      <c r="W53" s="4"/>
      <c r="X53" s="4"/>
      <c r="Y53" s="4"/>
      <c r="Z53" s="4"/>
    </row>
    <row r="54" ht="9.75" customHeight="1">
      <c r="A54" s="27" t="s">
        <v>75</v>
      </c>
      <c r="B54" s="28" t="s">
        <v>17</v>
      </c>
      <c r="C54" s="28" t="s">
        <v>18</v>
      </c>
      <c r="D54" s="29"/>
      <c r="E54" s="27" t="s">
        <v>76</v>
      </c>
      <c r="F54" s="28" t="s">
        <v>17</v>
      </c>
      <c r="G54" s="28" t="s">
        <v>18</v>
      </c>
      <c r="H54" s="29"/>
      <c r="I54" s="27" t="s">
        <v>77</v>
      </c>
      <c r="J54" s="28" t="s">
        <v>17</v>
      </c>
      <c r="K54" s="28" t="s">
        <v>18</v>
      </c>
      <c r="L54" s="4"/>
      <c r="M54" s="4"/>
      <c r="N54" s="4"/>
      <c r="O54" s="4"/>
      <c r="P54" s="4"/>
      <c r="Q54" s="4"/>
      <c r="R54" s="4"/>
      <c r="S54" s="4"/>
      <c r="T54" s="4"/>
      <c r="U54" s="4"/>
      <c r="V54" s="4"/>
      <c r="W54" s="4"/>
      <c r="X54" s="4"/>
      <c r="Y54" s="4"/>
      <c r="Z54" s="4"/>
    </row>
    <row r="55" ht="9.75" customHeight="1">
      <c r="A55" s="30" t="s">
        <v>78</v>
      </c>
      <c r="B55" s="7">
        <f>GETPIVOTDATA("Sum of Admt_Non_HCF",Pivot!$A$9)</f>
        <v>2566436</v>
      </c>
      <c r="C55" s="31">
        <f t="shared" ref="C55:C66" si="17">B55/$B$67</f>
        <v>0.7122220801</v>
      </c>
      <c r="D55" s="4"/>
      <c r="E55" s="30" t="s">
        <v>79</v>
      </c>
      <c r="F55" s="7" t="str">
        <f>GETPIVOTDATA("Sum of Route_Your_ER",Pivot!$A$8)</f>
        <v>#REF!</v>
      </c>
      <c r="G55" s="31" t="str">
        <f t="shared" ref="G55:G59" si="18">F55/$F$59</f>
        <v>#REF!</v>
      </c>
      <c r="H55" s="4"/>
      <c r="I55" s="30" t="s">
        <v>80</v>
      </c>
      <c r="J55" s="7" t="str">
        <f>GETPIVOTDATA("Sum of Disp_Routine",Pivot!$A$8)</f>
        <v>#REF!</v>
      </c>
      <c r="K55" s="31" t="str">
        <f t="shared" ref="K55:K71" si="19">J55/$J$72</f>
        <v>#REF!</v>
      </c>
      <c r="L55" s="4"/>
      <c r="M55" s="4"/>
      <c r="N55" s="4"/>
      <c r="O55" s="4"/>
      <c r="P55" s="4"/>
      <c r="Q55" s="4"/>
      <c r="R55" s="4"/>
      <c r="S55" s="4"/>
      <c r="T55" s="4"/>
      <c r="U55" s="4"/>
      <c r="V55" s="4"/>
      <c r="W55" s="4"/>
      <c r="X55" s="4"/>
      <c r="Y55" s="4"/>
      <c r="Z55" s="4"/>
    </row>
    <row r="56" ht="9.75" customHeight="1">
      <c r="A56" s="30" t="s">
        <v>81</v>
      </c>
      <c r="B56" s="7">
        <f>GETPIVOTDATA("Sum of Admt_Clinic_Dr",Pivot!$A$9)</f>
        <v>158427</v>
      </c>
      <c r="C56" s="31">
        <f t="shared" si="17"/>
        <v>0.04396572035</v>
      </c>
      <c r="D56" s="4"/>
      <c r="E56" s="30" t="s">
        <v>82</v>
      </c>
      <c r="F56" s="7">
        <f>GETPIVOTDATA("Sum of Route_Another_ER",Pivot!$A$9)</f>
        <v>163407</v>
      </c>
      <c r="G56" s="31" t="str">
        <f t="shared" si="18"/>
        <v>#REF!</v>
      </c>
      <c r="H56" s="4"/>
      <c r="I56" s="30" t="s">
        <v>83</v>
      </c>
      <c r="J56" s="7" t="str">
        <f>GETPIVOTDATA("Sum of Disp_Home_Health_Service",Pivot!$A$8)</f>
        <v>#REF!</v>
      </c>
      <c r="K56" s="31" t="str">
        <f t="shared" si="19"/>
        <v>#REF!</v>
      </c>
      <c r="L56" s="4"/>
      <c r="M56" s="4"/>
      <c r="N56" s="4"/>
      <c r="O56" s="4"/>
      <c r="P56" s="4"/>
      <c r="Q56" s="4"/>
      <c r="R56" s="4"/>
      <c r="S56" s="4"/>
      <c r="T56" s="4"/>
      <c r="U56" s="4"/>
      <c r="V56" s="4"/>
      <c r="W56" s="4"/>
      <c r="X56" s="4"/>
      <c r="Y56" s="4"/>
      <c r="Z56" s="4"/>
    </row>
    <row r="57" ht="9.75" customHeight="1">
      <c r="A57" s="30" t="s">
        <v>84</v>
      </c>
      <c r="B57" s="7">
        <f>GETPIVOTDATA("Sum of Admt_Hosp_Dif",Pivot!$A$9)</f>
        <v>315895</v>
      </c>
      <c r="C57" s="31">
        <f t="shared" si="17"/>
        <v>0.08766530472</v>
      </c>
      <c r="D57" s="4"/>
      <c r="E57" s="48" t="s">
        <v>85</v>
      </c>
      <c r="F57" s="7">
        <f>GETPIVOTDATA("Sum of Route_No_ER",Pivot!$A$9)</f>
        <v>1423846</v>
      </c>
      <c r="G57" s="31" t="str">
        <f t="shared" si="18"/>
        <v>#REF!</v>
      </c>
      <c r="H57" s="4"/>
      <c r="I57" s="30" t="s">
        <v>86</v>
      </c>
      <c r="J57" s="7" t="str">
        <f>GETPIVOTDATA("Sum of Disp_Acute_Care",Pivot!$A$8)</f>
        <v>#REF!</v>
      </c>
      <c r="K57" s="31" t="str">
        <f t="shared" si="19"/>
        <v>#REF!</v>
      </c>
      <c r="L57" s="4"/>
      <c r="M57" s="4"/>
      <c r="N57" s="4"/>
      <c r="O57" s="4"/>
      <c r="P57" s="4"/>
      <c r="Q57" s="4"/>
      <c r="R57" s="4"/>
      <c r="S57" s="4"/>
      <c r="T57" s="4"/>
      <c r="U57" s="4"/>
      <c r="V57" s="4"/>
      <c r="W57" s="4"/>
      <c r="X57" s="4"/>
      <c r="Y57" s="4"/>
      <c r="Z57" s="4"/>
    </row>
    <row r="58" ht="9.75" customHeight="1">
      <c r="A58" s="49" t="s">
        <v>87</v>
      </c>
      <c r="B58" s="7">
        <f>GETPIVOTDATA("Sum of Admt_SNF_ICF_ALF",Pivot!$A$9)</f>
        <v>69430</v>
      </c>
      <c r="C58" s="31">
        <f t="shared" si="17"/>
        <v>0.01926780135</v>
      </c>
      <c r="D58" s="4"/>
      <c r="E58" s="33" t="s">
        <v>88</v>
      </c>
      <c r="F58" s="7">
        <f>GETPIVOTDATA("Sum of Route_NA",Pivot!$A$9)</f>
        <v>1145</v>
      </c>
      <c r="G58" s="31" t="str">
        <f t="shared" si="18"/>
        <v>#REF!</v>
      </c>
      <c r="H58" s="4"/>
      <c r="I58" s="30" t="s">
        <v>89</v>
      </c>
      <c r="J58" s="7" t="str">
        <f>GETPIVOTDATA("Sum of Disp_SN_IC_Care",Pivot!$A$8)</f>
        <v>#REF!</v>
      </c>
      <c r="K58" s="31" t="str">
        <f t="shared" si="19"/>
        <v>#REF!</v>
      </c>
      <c r="L58" s="4"/>
      <c r="M58" s="4"/>
      <c r="N58" s="4"/>
      <c r="O58" s="4"/>
      <c r="P58" s="4"/>
      <c r="Q58" s="4"/>
      <c r="R58" s="4"/>
      <c r="S58" s="4"/>
      <c r="T58" s="4"/>
      <c r="U58" s="4"/>
      <c r="V58" s="4"/>
      <c r="W58" s="4"/>
      <c r="X58" s="4"/>
      <c r="Y58" s="4"/>
      <c r="Z58" s="4"/>
    </row>
    <row r="59" ht="9.75" customHeight="1">
      <c r="A59" s="30" t="s">
        <v>90</v>
      </c>
      <c r="B59" s="7">
        <f>GETPIVOTDATA("Sum of Admt_Another_HCF",Pivot!$A$9)</f>
        <v>24078</v>
      </c>
      <c r="C59" s="31">
        <f t="shared" si="17"/>
        <v>0.006681983593</v>
      </c>
      <c r="D59" s="4"/>
      <c r="E59" s="4"/>
      <c r="F59" s="50" t="str">
        <f>SUM(F55:F58)</f>
        <v>#REF!</v>
      </c>
      <c r="G59" s="51" t="str">
        <f t="shared" si="18"/>
        <v>#REF!</v>
      </c>
      <c r="H59" s="4"/>
      <c r="I59" s="30" t="s">
        <v>91</v>
      </c>
      <c r="J59" s="7" t="str">
        <f>GETPIVOTDATA("Sum of Disp_Residential_Care",Pivot!$A$8)</f>
        <v>#REF!</v>
      </c>
      <c r="K59" s="31" t="str">
        <f t="shared" si="19"/>
        <v>#REF!</v>
      </c>
      <c r="L59" s="4"/>
      <c r="M59" s="4"/>
      <c r="N59" s="4"/>
      <c r="O59" s="4"/>
      <c r="P59" s="4"/>
      <c r="Q59" s="4"/>
      <c r="R59" s="4"/>
      <c r="S59" s="4"/>
      <c r="T59" s="4"/>
      <c r="U59" s="4"/>
      <c r="V59" s="4"/>
      <c r="W59" s="4"/>
      <c r="X59" s="4"/>
      <c r="Y59" s="4"/>
      <c r="Z59" s="4"/>
    </row>
    <row r="60" ht="9.75" customHeight="1">
      <c r="A60" s="30" t="s">
        <v>92</v>
      </c>
      <c r="B60" s="7">
        <f>GETPIVOTDATA("Sum of Admt_Court_LE",Pivot!$A$9)</f>
        <v>13183</v>
      </c>
      <c r="C60" s="31">
        <f t="shared" si="17"/>
        <v>0.003658467884</v>
      </c>
      <c r="D60" s="4"/>
      <c r="E60" s="4"/>
      <c r="F60" s="7"/>
      <c r="G60" s="7"/>
      <c r="H60" s="4"/>
      <c r="I60" s="30" t="s">
        <v>92</v>
      </c>
      <c r="J60" s="7" t="str">
        <f>GETPIVOTDATA("Sum of Disp_Prison_Jail",Pivot!$A$8)</f>
        <v>#REF!</v>
      </c>
      <c r="K60" s="31" t="str">
        <f t="shared" si="19"/>
        <v>#REF!</v>
      </c>
      <c r="L60" s="4"/>
      <c r="M60" s="4"/>
      <c r="N60" s="4"/>
      <c r="O60" s="4"/>
      <c r="P60" s="4"/>
      <c r="Q60" s="4"/>
      <c r="R60" s="4"/>
      <c r="S60" s="4"/>
      <c r="T60" s="4"/>
      <c r="U60" s="4"/>
      <c r="V60" s="4"/>
      <c r="W60" s="4"/>
      <c r="X60" s="4"/>
      <c r="Y60" s="4"/>
      <c r="Z60" s="4"/>
    </row>
    <row r="61" ht="9.75" customHeight="1">
      <c r="A61" s="49" t="s">
        <v>93</v>
      </c>
      <c r="B61" s="7">
        <f>GETPIVOTDATA("Sum of Admt_DistinctPartXfer",Pivot!$A$9)</f>
        <v>36380</v>
      </c>
      <c r="C61" s="31">
        <f t="shared" si="17"/>
        <v>0.01009596159</v>
      </c>
      <c r="D61" s="4"/>
      <c r="E61" s="27" t="s">
        <v>94</v>
      </c>
      <c r="F61" s="28" t="s">
        <v>17</v>
      </c>
      <c r="G61" s="28" t="s">
        <v>18</v>
      </c>
      <c r="H61" s="4"/>
      <c r="I61" s="30" t="s">
        <v>95</v>
      </c>
      <c r="J61" s="7" t="str">
        <f>GETPIVOTDATA("Sum of Disp_Against_Medical_Advice",Pivot!$A$8)</f>
        <v>#REF!</v>
      </c>
      <c r="K61" s="31" t="str">
        <f t="shared" si="19"/>
        <v>#REF!</v>
      </c>
      <c r="L61" s="4"/>
      <c r="M61" s="4"/>
      <c r="N61" s="4"/>
      <c r="O61" s="4"/>
      <c r="P61" s="4"/>
      <c r="Q61" s="4"/>
      <c r="R61" s="4"/>
      <c r="S61" s="4"/>
      <c r="T61" s="4"/>
      <c r="U61" s="4"/>
      <c r="V61" s="4"/>
      <c r="W61" s="4"/>
      <c r="X61" s="4"/>
      <c r="Y61" s="4"/>
      <c r="Z61" s="4"/>
    </row>
    <row r="62" ht="9.75" customHeight="1">
      <c r="A62" s="30" t="s">
        <v>96</v>
      </c>
      <c r="B62" s="7">
        <f>GETPIVOTDATA("Sum of Admt_Amb_Surgery",Pivot!$A$9)</f>
        <v>2653</v>
      </c>
      <c r="C62" s="31">
        <f t="shared" si="17"/>
        <v>0.0007362448074</v>
      </c>
      <c r="D62" s="4"/>
      <c r="E62" s="30" t="s">
        <v>97</v>
      </c>
      <c r="F62" s="7">
        <f>GETPIVOTDATA("Sum of Adm_Emergency",Pivot!$A$9)</f>
        <v>1439899</v>
      </c>
      <c r="G62" s="31">
        <f t="shared" ref="G62:G67" si="20">F62/$F$68</f>
        <v>0.3995922208</v>
      </c>
      <c r="H62" s="4"/>
      <c r="I62" s="30" t="s">
        <v>98</v>
      </c>
      <c r="J62" s="7" t="str">
        <f>GETPIVOTDATA("Sum of disp_Childrens_or_cancer",Pivot!$A$8)</f>
        <v>#REF!</v>
      </c>
      <c r="K62" s="31" t="str">
        <f t="shared" si="19"/>
        <v>#REF!</v>
      </c>
      <c r="L62" s="4"/>
      <c r="M62" s="4"/>
      <c r="N62" s="4"/>
      <c r="O62" s="4"/>
      <c r="P62" s="4"/>
      <c r="Q62" s="4"/>
      <c r="R62" s="4"/>
      <c r="S62" s="4"/>
      <c r="T62" s="4"/>
      <c r="U62" s="4"/>
      <c r="V62" s="4"/>
      <c r="W62" s="4"/>
      <c r="X62" s="4"/>
      <c r="Y62" s="4"/>
      <c r="Z62" s="4"/>
    </row>
    <row r="63" ht="9.75" customHeight="1">
      <c r="A63" s="30" t="s">
        <v>99</v>
      </c>
      <c r="B63" s="7">
        <f>GETPIVOTDATA("Sum of Admt_HospiceFacility",Pivot!$A$9)</f>
        <v>402</v>
      </c>
      <c r="C63" s="31">
        <f t="shared" si="17"/>
        <v>0.0001115606531</v>
      </c>
      <c r="D63" s="4"/>
      <c r="E63" s="30" t="s">
        <v>100</v>
      </c>
      <c r="F63" s="7">
        <f>GETPIVOTDATA("Sum of Adm_Urgent",Pivot!$A$9)</f>
        <v>1128054</v>
      </c>
      <c r="G63" s="31">
        <f t="shared" si="20"/>
        <v>0.3130508481</v>
      </c>
      <c r="H63" s="4"/>
      <c r="I63" s="30" t="s">
        <v>101</v>
      </c>
      <c r="J63" s="7" t="str">
        <f>GETPIVOTDATA("Sum of disp_hospice_care",Pivot!$A$8)</f>
        <v>#REF!</v>
      </c>
      <c r="K63" s="31" t="str">
        <f t="shared" si="19"/>
        <v>#REF!</v>
      </c>
      <c r="L63" s="4"/>
      <c r="M63" s="4"/>
      <c r="N63" s="4"/>
      <c r="O63" s="4"/>
      <c r="P63" s="4"/>
      <c r="Q63" s="4"/>
      <c r="R63" s="4"/>
      <c r="S63" s="4"/>
      <c r="T63" s="4"/>
      <c r="U63" s="4"/>
      <c r="V63" s="4"/>
      <c r="W63" s="4"/>
      <c r="X63" s="4"/>
      <c r="Y63" s="4"/>
      <c r="Z63" s="4"/>
    </row>
    <row r="64" ht="9.75" customHeight="1">
      <c r="A64" s="30" t="s">
        <v>102</v>
      </c>
      <c r="B64" s="7">
        <f>GETPIVOTDATA("Sum of Admt_Disaster_Care_Site",Pivot!$A$9)</f>
        <v>44</v>
      </c>
      <c r="C64" s="31">
        <f t="shared" si="17"/>
        <v>0.00001221061874</v>
      </c>
      <c r="D64" s="4"/>
      <c r="E64" s="30" t="s">
        <v>103</v>
      </c>
      <c r="F64" s="7">
        <f>GETPIVOTDATA("Sum of Adm_Elective",Pivot!$A$9)</f>
        <v>560584</v>
      </c>
      <c r="G64" s="31">
        <f t="shared" si="20"/>
        <v>0.1555699431</v>
      </c>
      <c r="H64" s="4"/>
      <c r="I64" s="30" t="s">
        <v>104</v>
      </c>
      <c r="J64" s="7" t="str">
        <f>GETPIVOTDATA("Sum of disp_psychiatric_care",Pivot!$A$8)</f>
        <v>#REF!</v>
      </c>
      <c r="K64" s="31" t="str">
        <f t="shared" si="19"/>
        <v>#REF!</v>
      </c>
      <c r="L64" s="4"/>
      <c r="M64" s="4"/>
      <c r="N64" s="4"/>
      <c r="O64" s="4"/>
      <c r="P64" s="4"/>
      <c r="Q64" s="4"/>
      <c r="R64" s="4"/>
      <c r="S64" s="4"/>
      <c r="T64" s="4"/>
      <c r="U64" s="4"/>
      <c r="V64" s="4"/>
      <c r="W64" s="4"/>
      <c r="X64" s="4"/>
      <c r="Y64" s="4"/>
      <c r="Z64" s="4"/>
    </row>
    <row r="65" ht="9.75" customHeight="1">
      <c r="A65" s="49" t="s">
        <v>105</v>
      </c>
      <c r="B65" s="7">
        <f>GETPIVOTDATA("Sum of Admt_Newborn",Pivot!$A$9)</f>
        <v>411598</v>
      </c>
      <c r="C65" s="31">
        <f t="shared" si="17"/>
        <v>0.114224233</v>
      </c>
      <c r="D65" s="4"/>
      <c r="E65" s="30" t="s">
        <v>106</v>
      </c>
      <c r="F65" s="7">
        <f>GETPIVOTDATA("Sum of Adm_Newborn",Pivot!$A$9)</f>
        <v>411598</v>
      </c>
      <c r="G65" s="31">
        <f t="shared" si="20"/>
        <v>0.114224233</v>
      </c>
      <c r="H65" s="4"/>
      <c r="I65" s="30" t="s">
        <v>107</v>
      </c>
      <c r="J65" s="7" t="str">
        <f>GETPIVOTDATA("Sum of disp_cah",Pivot!$A$8)</f>
        <v>#REF!</v>
      </c>
      <c r="K65" s="31" t="str">
        <f t="shared" si="19"/>
        <v>#REF!</v>
      </c>
      <c r="L65" s="4"/>
      <c r="M65" s="4"/>
      <c r="N65" s="4"/>
      <c r="O65" s="4"/>
      <c r="P65" s="4"/>
      <c r="Q65" s="4"/>
      <c r="R65" s="4"/>
      <c r="S65" s="4"/>
      <c r="T65" s="4"/>
      <c r="U65" s="4"/>
      <c r="V65" s="4"/>
      <c r="W65" s="4"/>
      <c r="X65" s="4"/>
      <c r="Y65" s="4"/>
      <c r="Z65" s="4"/>
    </row>
    <row r="66" ht="9.75" customHeight="1">
      <c r="A66" s="33" t="s">
        <v>108</v>
      </c>
      <c r="B66" s="7">
        <f>GETPIVOTDATA("Sum of Admt_NA",Pivot!$A$9)</f>
        <v>4895</v>
      </c>
      <c r="C66" s="31">
        <f t="shared" si="17"/>
        <v>0.001358431335</v>
      </c>
      <c r="D66" s="4"/>
      <c r="E66" s="30" t="s">
        <v>109</v>
      </c>
      <c r="F66" s="7">
        <f>GETPIVOTDATA("Sum of Adm_Trauma",Pivot!$A$9)</f>
        <v>61941</v>
      </c>
      <c r="G66" s="31">
        <f t="shared" si="20"/>
        <v>0.01718949853</v>
      </c>
      <c r="H66" s="4"/>
      <c r="I66" s="30" t="s">
        <v>110</v>
      </c>
      <c r="J66" s="7" t="str">
        <f>GETPIVOTDATA("Sum of Disp_Died",Pivot!$A$8)</f>
        <v>#REF!</v>
      </c>
      <c r="K66" s="31" t="str">
        <f t="shared" si="19"/>
        <v>#REF!</v>
      </c>
      <c r="L66" s="4"/>
      <c r="M66" s="4"/>
      <c r="N66" s="4"/>
      <c r="O66" s="4"/>
      <c r="P66" s="4"/>
      <c r="Q66" s="4"/>
      <c r="R66" s="4"/>
      <c r="S66" s="4"/>
      <c r="T66" s="4"/>
      <c r="U66" s="4"/>
      <c r="V66" s="4"/>
      <c r="W66" s="4"/>
      <c r="X66" s="4"/>
      <c r="Y66" s="4"/>
      <c r="Z66" s="4"/>
    </row>
    <row r="67" ht="9.75" customHeight="1">
      <c r="A67" s="4"/>
      <c r="B67" s="34">
        <f t="shared" ref="B67:C67" si="21">SUM(B55:B66)</f>
        <v>3603421</v>
      </c>
      <c r="C67" s="35">
        <f t="shared" si="21"/>
        <v>1</v>
      </c>
      <c r="D67" s="4"/>
      <c r="E67" s="33" t="s">
        <v>108</v>
      </c>
      <c r="F67" s="7">
        <f>GETPIVOTDATA("Sum of Adm_NA",Pivot!$A$9)</f>
        <v>1345</v>
      </c>
      <c r="G67" s="31">
        <f t="shared" si="20"/>
        <v>0.0003732564138</v>
      </c>
      <c r="H67" s="4"/>
      <c r="I67" s="30" t="s">
        <v>111</v>
      </c>
      <c r="J67" s="7" t="str">
        <f>GETPIVOTDATA("Sum of Disp_Rehab",Pivot!$A$8)</f>
        <v>#REF!</v>
      </c>
      <c r="K67" s="31" t="str">
        <f t="shared" si="19"/>
        <v>#REF!</v>
      </c>
      <c r="L67" s="4"/>
      <c r="M67" s="4"/>
      <c r="N67" s="4"/>
      <c r="O67" s="4"/>
      <c r="P67" s="4"/>
      <c r="Q67" s="4"/>
      <c r="R67" s="4"/>
      <c r="S67" s="4"/>
      <c r="T67" s="4"/>
      <c r="U67" s="4"/>
      <c r="V67" s="4"/>
      <c r="W67" s="4"/>
      <c r="X67" s="4"/>
      <c r="Y67" s="4"/>
      <c r="Z67" s="4"/>
    </row>
    <row r="68" ht="9.75" customHeight="1">
      <c r="A68" s="4"/>
      <c r="B68" s="7"/>
      <c r="C68" s="7"/>
      <c r="D68" s="4"/>
      <c r="E68" s="4"/>
      <c r="F68" s="34">
        <f t="shared" ref="F68:G68" si="22">SUM(F62:F67)</f>
        <v>3603421</v>
      </c>
      <c r="G68" s="35">
        <f t="shared" si="22"/>
        <v>1</v>
      </c>
      <c r="H68" s="4"/>
      <c r="I68" s="30" t="s">
        <v>112</v>
      </c>
      <c r="J68" s="7">
        <f>GETPIVOTDATA("Sum of disp_Other",Pivot!$A$9)</f>
        <v>940</v>
      </c>
      <c r="K68" s="31" t="str">
        <f t="shared" si="19"/>
        <v>#REF!</v>
      </c>
      <c r="L68" s="4"/>
      <c r="M68" s="4"/>
      <c r="N68" s="4"/>
      <c r="O68" s="4"/>
      <c r="P68" s="4"/>
      <c r="Q68" s="4"/>
      <c r="R68" s="4"/>
      <c r="S68" s="4"/>
      <c r="T68" s="4"/>
      <c r="U68" s="4"/>
      <c r="V68" s="4"/>
      <c r="W68" s="4"/>
      <c r="X68" s="4"/>
      <c r="Y68" s="4"/>
      <c r="Z68" s="4"/>
    </row>
    <row r="69" ht="9.75" customHeight="1">
      <c r="A69" s="4"/>
      <c r="B69" s="7"/>
      <c r="C69" s="7"/>
      <c r="D69" s="4"/>
      <c r="E69" s="4"/>
      <c r="F69" s="4"/>
      <c r="G69" s="4"/>
      <c r="H69" s="4"/>
      <c r="I69" s="30" t="s">
        <v>102</v>
      </c>
      <c r="J69" s="7" t="str">
        <f>GETPIVOTDATA("Sum of Disp_Disaster_Care_Site",Pivot!$A$8)</f>
        <v>#REF!</v>
      </c>
      <c r="K69" s="31" t="str">
        <f t="shared" si="19"/>
        <v>#REF!</v>
      </c>
      <c r="L69" s="4"/>
      <c r="M69" s="4"/>
      <c r="N69" s="4"/>
      <c r="O69" s="4"/>
      <c r="P69" s="4"/>
      <c r="Q69" s="4"/>
      <c r="R69" s="4"/>
      <c r="S69" s="4"/>
      <c r="T69" s="4"/>
      <c r="U69" s="4"/>
      <c r="V69" s="4"/>
      <c r="W69" s="4"/>
      <c r="X69" s="4"/>
      <c r="Y69" s="4"/>
      <c r="Z69" s="4"/>
    </row>
    <row r="70" ht="9.75" customHeight="1">
      <c r="A70" s="4"/>
      <c r="B70" s="7"/>
      <c r="C70" s="7"/>
      <c r="D70" s="4"/>
      <c r="E70" s="4"/>
      <c r="F70" s="4"/>
      <c r="G70" s="4"/>
      <c r="H70" s="4"/>
      <c r="I70" s="30" t="s">
        <v>113</v>
      </c>
      <c r="J70" s="7" t="str">
        <f>GETPIVOTDATA("Sum of disp_not_defined_elsewhere",Pivot!$A$8)</f>
        <v>#REF!</v>
      </c>
      <c r="K70" s="31" t="str">
        <f t="shared" si="19"/>
        <v>#REF!</v>
      </c>
      <c r="L70" s="4"/>
      <c r="M70" s="4"/>
      <c r="N70" s="4"/>
      <c r="O70" s="4"/>
      <c r="P70" s="4"/>
      <c r="Q70" s="4"/>
      <c r="R70" s="4"/>
      <c r="S70" s="4"/>
      <c r="T70" s="4"/>
      <c r="U70" s="4"/>
      <c r="V70" s="4"/>
      <c r="W70" s="4"/>
      <c r="X70" s="4"/>
      <c r="Y70" s="4"/>
      <c r="Z70" s="4"/>
    </row>
    <row r="71" ht="9.75" customHeight="1">
      <c r="A71" s="52" t="s">
        <v>114</v>
      </c>
      <c r="B71" s="7"/>
      <c r="C71" s="7"/>
      <c r="D71" s="4"/>
      <c r="E71" s="4"/>
      <c r="F71" s="4"/>
      <c r="G71" s="4"/>
      <c r="H71" s="4"/>
      <c r="I71" s="33" t="s">
        <v>115</v>
      </c>
      <c r="J71" s="4">
        <f>GETPIVOTDATA("Sum of disp_Invalid_Blank",Pivot!$A$9)</f>
        <v>210</v>
      </c>
      <c r="K71" s="43" t="str">
        <f t="shared" si="19"/>
        <v>#REF!</v>
      </c>
      <c r="L71" s="4"/>
      <c r="M71" s="4"/>
      <c r="N71" s="4"/>
      <c r="O71" s="4"/>
      <c r="P71" s="4"/>
      <c r="Q71" s="4"/>
      <c r="R71" s="4"/>
      <c r="S71" s="4"/>
      <c r="T71" s="4"/>
      <c r="U71" s="4"/>
      <c r="V71" s="4"/>
      <c r="W71" s="4"/>
      <c r="X71" s="4"/>
      <c r="Y71" s="4"/>
      <c r="Z71" s="4"/>
    </row>
    <row r="72" ht="9.75" customHeight="1">
      <c r="A72" s="4"/>
      <c r="B72" s="7"/>
      <c r="C72" s="7"/>
      <c r="D72" s="4"/>
      <c r="E72" s="4"/>
      <c r="F72" s="4"/>
      <c r="G72" s="4"/>
      <c r="H72" s="4"/>
      <c r="I72" s="4"/>
      <c r="J72" s="34" t="str">
        <f>SUM(J55:J71)</f>
        <v>#REF!</v>
      </c>
      <c r="K72" s="35" t="str">
        <f>SUM(K55:K70)</f>
        <v>#REF!</v>
      </c>
      <c r="L72" s="4"/>
      <c r="M72" s="7"/>
      <c r="N72" s="4"/>
      <c r="O72" s="4"/>
      <c r="P72" s="4"/>
      <c r="Q72" s="4"/>
      <c r="R72" s="4"/>
      <c r="S72" s="4"/>
      <c r="T72" s="4"/>
      <c r="U72" s="4"/>
      <c r="V72" s="4"/>
      <c r="W72" s="4"/>
      <c r="X72" s="4"/>
      <c r="Y72" s="4"/>
      <c r="Z72" s="4"/>
    </row>
    <row r="73" ht="9.75" customHeight="1">
      <c r="A73" s="4"/>
      <c r="B73" s="7"/>
      <c r="C73" s="7"/>
      <c r="D73" s="4"/>
      <c r="E73" s="4"/>
      <c r="F73" s="7"/>
      <c r="G73" s="7"/>
      <c r="H73" s="4"/>
      <c r="I73" s="4"/>
      <c r="J73" s="7"/>
      <c r="K73" s="4"/>
      <c r="L73" s="4"/>
      <c r="M73" s="4"/>
      <c r="N73" s="4"/>
      <c r="O73" s="4"/>
      <c r="P73" s="4"/>
      <c r="Q73" s="4"/>
      <c r="R73" s="4"/>
      <c r="S73" s="4"/>
      <c r="T73" s="4"/>
      <c r="U73" s="4"/>
      <c r="V73" s="4"/>
      <c r="W73" s="4"/>
      <c r="X73" s="4"/>
      <c r="Y73" s="4"/>
      <c r="Z73" s="4"/>
    </row>
    <row r="74" ht="9.75" customHeight="1">
      <c r="A74" s="27" t="s">
        <v>116</v>
      </c>
      <c r="B74" s="28" t="s">
        <v>17</v>
      </c>
      <c r="C74" s="28" t="s">
        <v>18</v>
      </c>
      <c r="D74" s="29"/>
      <c r="E74" s="27"/>
      <c r="F74" s="28"/>
      <c r="G74" s="28"/>
      <c r="H74" s="29"/>
      <c r="I74" s="27" t="s">
        <v>117</v>
      </c>
      <c r="J74" s="28" t="s">
        <v>17</v>
      </c>
      <c r="K74" s="28" t="s">
        <v>18</v>
      </c>
      <c r="L74" s="4"/>
      <c r="M74" s="4"/>
      <c r="N74" s="4"/>
      <c r="O74" s="4"/>
      <c r="P74" s="4"/>
      <c r="Q74" s="4"/>
      <c r="R74" s="4"/>
      <c r="S74" s="4"/>
      <c r="T74" s="4"/>
      <c r="U74" s="4"/>
      <c r="V74" s="4"/>
      <c r="W74" s="4"/>
      <c r="X74" s="4"/>
      <c r="Y74" s="4"/>
      <c r="Z74" s="4"/>
    </row>
    <row r="75" ht="9.75" customHeight="1">
      <c r="A75" s="53" t="s">
        <v>118</v>
      </c>
      <c r="B75" s="54">
        <f>GETPIVOTDATA("Sum of dx_Certain_Perinatal_Conditions",Pivot!$A$9)</f>
        <v>429242</v>
      </c>
      <c r="C75" s="55">
        <f t="shared" ref="C75:C95" si="23">B75/B$96</f>
        <v>0.1191206911</v>
      </c>
      <c r="D75" s="56"/>
      <c r="E75" s="57"/>
      <c r="F75" s="58"/>
      <c r="G75" s="59"/>
      <c r="H75" s="56"/>
      <c r="I75" s="57" t="s">
        <v>119</v>
      </c>
      <c r="J75" s="58">
        <f>GETPIVOTDATA("Sum of PR_Diagnostic_Therapeutic",Pivot!$A$9)</f>
        <v>626698</v>
      </c>
      <c r="K75" s="59">
        <f t="shared" ref="K75:K91" si="24">J75/J$92</f>
        <v>0.1739175078</v>
      </c>
      <c r="L75" s="4"/>
      <c r="M75" s="4"/>
      <c r="N75" s="4"/>
      <c r="O75" s="4"/>
      <c r="P75" s="4"/>
      <c r="Q75" s="4"/>
      <c r="R75" s="4"/>
      <c r="S75" s="4"/>
      <c r="T75" s="4"/>
      <c r="U75" s="4"/>
      <c r="V75" s="4"/>
      <c r="W75" s="4"/>
      <c r="X75" s="4"/>
      <c r="Y75" s="4"/>
      <c r="Z75" s="4"/>
    </row>
    <row r="76" ht="22.5" customHeight="1">
      <c r="A76" s="53" t="s">
        <v>120</v>
      </c>
      <c r="B76" s="60">
        <f>GETPIVOTDATA("Sum of dx_Pregnancy_Childbirth",Pivot!$A$9)</f>
        <v>446985</v>
      </c>
      <c r="C76" s="61">
        <f t="shared" si="23"/>
        <v>0.1240446232</v>
      </c>
      <c r="D76" s="56"/>
      <c r="E76" s="57"/>
      <c r="F76" s="58"/>
      <c r="G76" s="59"/>
      <c r="H76" s="56"/>
      <c r="I76" s="57" t="s">
        <v>121</v>
      </c>
      <c r="J76" s="58">
        <f>GETPIVOTDATA("Sum of PR_Obstetrical",Pivot!$A$9)</f>
        <v>408052</v>
      </c>
      <c r="K76" s="59">
        <f t="shared" si="24"/>
        <v>0.1132401682</v>
      </c>
      <c r="L76" s="4"/>
      <c r="M76" s="4"/>
      <c r="N76" s="4"/>
      <c r="O76" s="4"/>
      <c r="P76" s="4"/>
      <c r="Q76" s="4"/>
      <c r="R76" s="4"/>
      <c r="S76" s="4"/>
      <c r="T76" s="4"/>
      <c r="U76" s="4"/>
      <c r="V76" s="4"/>
      <c r="W76" s="4"/>
      <c r="X76" s="4"/>
      <c r="Y76" s="4"/>
      <c r="Z76" s="4"/>
    </row>
    <row r="77" ht="9.75" customHeight="1">
      <c r="A77" s="53" t="s">
        <v>122</v>
      </c>
      <c r="B77" s="58">
        <f>GETPIVOTDATA("Sum of DX_Congenital",Pivot!$A$9)</f>
        <v>12160</v>
      </c>
      <c r="C77" s="59">
        <f t="shared" si="23"/>
        <v>0.003374570998</v>
      </c>
      <c r="D77" s="56"/>
      <c r="E77" s="57"/>
      <c r="F77" s="58"/>
      <c r="G77" s="59"/>
      <c r="H77" s="56"/>
      <c r="I77" s="57" t="s">
        <v>123</v>
      </c>
      <c r="J77" s="58">
        <f>GETPIVOTDATA("Sum of PR_Cardiovascular_System",Pivot!$A$9)</f>
        <v>291709</v>
      </c>
      <c r="K77" s="59">
        <f t="shared" si="24"/>
        <v>0.08095334961</v>
      </c>
      <c r="L77" s="4"/>
      <c r="M77" s="4"/>
      <c r="N77" s="4"/>
      <c r="O77" s="4"/>
      <c r="P77" s="4"/>
      <c r="Q77" s="4"/>
      <c r="R77" s="4"/>
      <c r="S77" s="4"/>
      <c r="T77" s="4"/>
      <c r="U77" s="4"/>
      <c r="V77" s="4"/>
      <c r="W77" s="4"/>
      <c r="X77" s="4"/>
      <c r="Y77" s="4"/>
      <c r="Z77" s="4"/>
    </row>
    <row r="78" ht="9.75" customHeight="1">
      <c r="A78" s="53" t="s">
        <v>124</v>
      </c>
      <c r="B78" s="58">
        <f>GETPIVOTDATA("Sum of dx_Diseases_of_the_Blood",Pivot!$A$9)</f>
        <v>28568</v>
      </c>
      <c r="C78" s="59">
        <f t="shared" si="23"/>
        <v>0.007928021733</v>
      </c>
      <c r="D78" s="56"/>
      <c r="E78" s="57"/>
      <c r="F78" s="58"/>
      <c r="G78" s="59"/>
      <c r="H78" s="56"/>
      <c r="I78" s="57" t="s">
        <v>125</v>
      </c>
      <c r="J78" s="58">
        <f>GETPIVOTDATA("Sum of PR_Digestive_System",Pivot!$A$9)</f>
        <v>316157</v>
      </c>
      <c r="K78" s="59">
        <f t="shared" si="24"/>
        <v>0.0877380134</v>
      </c>
      <c r="L78" s="4"/>
      <c r="M78" s="4"/>
      <c r="N78" s="4"/>
      <c r="O78" s="4"/>
      <c r="P78" s="4"/>
      <c r="Q78" s="4"/>
      <c r="R78" s="4"/>
      <c r="S78" s="4"/>
      <c r="T78" s="4"/>
      <c r="U78" s="4"/>
      <c r="V78" s="4"/>
      <c r="W78" s="4"/>
      <c r="X78" s="4"/>
      <c r="Y78" s="4"/>
      <c r="Z78" s="4"/>
    </row>
    <row r="79" ht="9.75" customHeight="1">
      <c r="A79" s="53" t="s">
        <v>126</v>
      </c>
      <c r="B79" s="58">
        <f>GETPIVOTDATA("Sum of DX_Circulatory",Pivot!$A$9)</f>
        <v>445811</v>
      </c>
      <c r="C79" s="59">
        <f t="shared" si="23"/>
        <v>0.1237188216</v>
      </c>
      <c r="D79" s="56"/>
      <c r="E79" s="57"/>
      <c r="F79" s="58"/>
      <c r="G79" s="59"/>
      <c r="H79" s="56"/>
      <c r="I79" s="57" t="s">
        <v>127</v>
      </c>
      <c r="J79" s="58">
        <f>GETPIVOTDATA("Sum of PR_Ear",Pivot!$A$9)</f>
        <v>2436</v>
      </c>
      <c r="K79" s="59">
        <f t="shared" si="24"/>
        <v>0.0006760242558</v>
      </c>
      <c r="L79" s="4"/>
      <c r="M79" s="4"/>
      <c r="N79" s="4"/>
      <c r="O79" s="4"/>
      <c r="P79" s="4"/>
      <c r="Q79" s="4"/>
      <c r="R79" s="4"/>
      <c r="S79" s="4"/>
      <c r="T79" s="4"/>
      <c r="U79" s="4"/>
      <c r="V79" s="4"/>
      <c r="W79" s="4"/>
      <c r="X79" s="4"/>
      <c r="Y79" s="4"/>
      <c r="Z79" s="4"/>
    </row>
    <row r="80" ht="9.75" customHeight="1">
      <c r="A80" s="53" t="s">
        <v>128</v>
      </c>
      <c r="B80" s="58">
        <f>GETPIVOTDATA("Sum of DX_Digestive",Pivot!$A$9)</f>
        <v>326053</v>
      </c>
      <c r="C80" s="59">
        <f t="shared" si="23"/>
        <v>0.09048429257</v>
      </c>
      <c r="D80" s="56"/>
      <c r="E80" s="57"/>
      <c r="F80" s="58"/>
      <c r="G80" s="59"/>
      <c r="H80" s="56"/>
      <c r="I80" s="57" t="s">
        <v>129</v>
      </c>
      <c r="J80" s="58">
        <f>GETPIVOTDATA("Sum of PR_Endocrine_System",Pivot!$A$9)</f>
        <v>4485</v>
      </c>
      <c r="K80" s="59">
        <f t="shared" si="24"/>
        <v>0.00124465057</v>
      </c>
      <c r="L80" s="4"/>
      <c r="M80" s="4"/>
      <c r="N80" s="4"/>
      <c r="O80" s="4"/>
      <c r="P80" s="4"/>
      <c r="Q80" s="4"/>
      <c r="R80" s="4"/>
      <c r="S80" s="4"/>
      <c r="T80" s="4"/>
      <c r="U80" s="4"/>
      <c r="V80" s="4"/>
      <c r="W80" s="4"/>
      <c r="X80" s="4"/>
      <c r="Y80" s="4"/>
      <c r="Z80" s="4"/>
    </row>
    <row r="81" ht="9.75" customHeight="1">
      <c r="A81" s="53" t="s">
        <v>130</v>
      </c>
      <c r="B81" s="58">
        <f>GETPIVOTDATA("Sum of dx_Ear",Pivot!$A$9)</f>
        <v>3822</v>
      </c>
      <c r="C81" s="59">
        <f t="shared" si="23"/>
        <v>0.001060658746</v>
      </c>
      <c r="D81" s="56"/>
      <c r="E81" s="57"/>
      <c r="F81" s="58"/>
      <c r="G81" s="59"/>
      <c r="H81" s="56"/>
      <c r="I81" s="57" t="s">
        <v>131</v>
      </c>
      <c r="J81" s="58">
        <f>GETPIVOTDATA("Sum of PR_Eye",Pivot!$A$9)</f>
        <v>1814</v>
      </c>
      <c r="K81" s="59">
        <f t="shared" si="24"/>
        <v>0.0005034105091</v>
      </c>
      <c r="L81" s="4"/>
      <c r="M81" s="4"/>
      <c r="N81" s="4"/>
      <c r="O81" s="4"/>
      <c r="P81" s="4"/>
      <c r="Q81" s="4"/>
      <c r="R81" s="4"/>
      <c r="S81" s="4"/>
      <c r="T81" s="4"/>
      <c r="U81" s="4"/>
      <c r="V81" s="4"/>
      <c r="W81" s="4"/>
      <c r="X81" s="4"/>
      <c r="Y81" s="4"/>
      <c r="Z81" s="4"/>
    </row>
    <row r="82" ht="9.75" customHeight="1">
      <c r="A82" s="53" t="s">
        <v>132</v>
      </c>
      <c r="B82" s="58">
        <f>GETPIVOTDATA("Sum of dx_Eye",Pivot!$A$9)</f>
        <v>3940</v>
      </c>
      <c r="C82" s="59">
        <f t="shared" si="23"/>
        <v>0.001093405406</v>
      </c>
      <c r="D82" s="56"/>
      <c r="E82" s="57"/>
      <c r="F82" s="58"/>
      <c r="G82" s="59"/>
      <c r="H82" s="56"/>
      <c r="I82" s="57" t="s">
        <v>133</v>
      </c>
      <c r="J82" s="58">
        <f>GETPIVOTDATA("Sum of PR_Reproductive_System",Pivot!$A$9)</f>
        <v>70272</v>
      </c>
      <c r="K82" s="59">
        <f t="shared" si="24"/>
        <v>0.01950146819</v>
      </c>
      <c r="L82" s="4"/>
      <c r="M82" s="4"/>
      <c r="N82" s="4"/>
      <c r="O82" s="4"/>
      <c r="P82" s="4"/>
      <c r="Q82" s="4"/>
      <c r="R82" s="4"/>
      <c r="S82" s="4"/>
      <c r="T82" s="4"/>
      <c r="U82" s="4"/>
      <c r="V82" s="4"/>
      <c r="W82" s="4"/>
      <c r="X82" s="4"/>
      <c r="Y82" s="4"/>
      <c r="Z82" s="4"/>
    </row>
    <row r="83" ht="9.75" customHeight="1">
      <c r="A83" s="53" t="s">
        <v>134</v>
      </c>
      <c r="B83" s="58">
        <f>GETPIVOTDATA("Sum of DX_Genitourinary",Pivot!$A$9)</f>
        <v>143043</v>
      </c>
      <c r="C83" s="59">
        <f t="shared" si="23"/>
        <v>0.03969644402</v>
      </c>
      <c r="D83" s="56"/>
      <c r="E83" s="57"/>
      <c r="F83" s="58"/>
      <c r="G83" s="59"/>
      <c r="H83" s="56"/>
      <c r="I83" s="57" t="s">
        <v>135</v>
      </c>
      <c r="J83" s="58">
        <f>GETPIVOTDATA("Sum of PR_Hemic_Lymph_System",Pivot!$A$9)</f>
        <v>13871</v>
      </c>
      <c r="K83" s="59">
        <f t="shared" si="24"/>
        <v>0.003849397559</v>
      </c>
      <c r="L83" s="4"/>
      <c r="M83" s="4"/>
      <c r="N83" s="4"/>
      <c r="O83" s="4"/>
      <c r="P83" s="4"/>
      <c r="Q83" s="4"/>
      <c r="R83" s="4"/>
      <c r="S83" s="4"/>
      <c r="T83" s="4"/>
      <c r="U83" s="4"/>
      <c r="V83" s="4"/>
      <c r="W83" s="4"/>
      <c r="X83" s="4"/>
      <c r="Y83" s="4"/>
      <c r="Z83" s="4"/>
    </row>
    <row r="84" ht="18.0" customHeight="1">
      <c r="A84" s="53" t="s">
        <v>136</v>
      </c>
      <c r="B84" s="60">
        <f>GETPIVOTDATA("Sum of dx_Musculoskeletal",Pivot!$A$9)</f>
        <v>126705</v>
      </c>
      <c r="C84" s="61">
        <f t="shared" si="23"/>
        <v>0.03516241927</v>
      </c>
      <c r="D84" s="56"/>
      <c r="E84" s="57"/>
      <c r="F84" s="58"/>
      <c r="G84" s="59"/>
      <c r="H84" s="56"/>
      <c r="I84" s="57" t="s">
        <v>137</v>
      </c>
      <c r="J84" s="58">
        <f>GETPIVOTDATA("Sum of PR_Integumentary_System",Pivot!$A$9)</f>
        <v>69245</v>
      </c>
      <c r="K84" s="59">
        <f t="shared" si="24"/>
        <v>0.01921646125</v>
      </c>
      <c r="L84" s="4"/>
      <c r="M84" s="4"/>
      <c r="N84" s="4"/>
      <c r="O84" s="4"/>
      <c r="P84" s="4"/>
      <c r="Q84" s="4"/>
      <c r="R84" s="4"/>
      <c r="S84" s="4"/>
      <c r="T84" s="4"/>
      <c r="U84" s="4"/>
      <c r="V84" s="4"/>
      <c r="W84" s="4"/>
      <c r="X84" s="4"/>
      <c r="Y84" s="4"/>
      <c r="Z84" s="4"/>
    </row>
    <row r="85" ht="9.75" customHeight="1">
      <c r="A85" s="53" t="s">
        <v>138</v>
      </c>
      <c r="B85" s="58">
        <f>GETPIVOTDATA("Sum of dx_Nervous_System",Pivot!$A$9)</f>
        <v>97546</v>
      </c>
      <c r="C85" s="59">
        <f t="shared" si="23"/>
        <v>0.02707038672</v>
      </c>
      <c r="D85" s="56"/>
      <c r="E85" s="57"/>
      <c r="F85" s="58"/>
      <c r="G85" s="59"/>
      <c r="H85" s="56"/>
      <c r="I85" s="57" t="s">
        <v>139</v>
      </c>
      <c r="J85" s="58">
        <f>GETPIVOTDATA("Sum of PR_Musculoskeletal_System",Pivot!$A$9)</f>
        <v>217292</v>
      </c>
      <c r="K85" s="59">
        <f t="shared" si="24"/>
        <v>0.06030158563</v>
      </c>
      <c r="L85" s="4"/>
      <c r="M85" s="4"/>
      <c r="N85" s="4"/>
      <c r="O85" s="4"/>
      <c r="P85" s="4"/>
      <c r="Q85" s="4"/>
      <c r="R85" s="4"/>
      <c r="S85" s="4"/>
      <c r="T85" s="4"/>
      <c r="U85" s="4"/>
      <c r="V85" s="4"/>
      <c r="W85" s="4"/>
      <c r="X85" s="4"/>
      <c r="Y85" s="4"/>
      <c r="Z85" s="4"/>
    </row>
    <row r="86" ht="9.75" customHeight="1">
      <c r="A86" s="53" t="s">
        <v>140</v>
      </c>
      <c r="B86" s="58">
        <f>GETPIVOTDATA("Sum of DX_Respiratory",Pivot!$A$9)</f>
        <v>181164</v>
      </c>
      <c r="C86" s="59">
        <f t="shared" si="23"/>
        <v>0.05027555759</v>
      </c>
      <c r="D86" s="56"/>
      <c r="E86" s="57"/>
      <c r="F86" s="58"/>
      <c r="G86" s="59"/>
      <c r="H86" s="56"/>
      <c r="I86" s="57" t="s">
        <v>141</v>
      </c>
      <c r="J86" s="58">
        <f>GETPIVOTDATA("Sum of PR_Nervous_System",Pivot!$A$9)</f>
        <v>55790</v>
      </c>
      <c r="K86" s="59">
        <f t="shared" si="24"/>
        <v>0.01548250954</v>
      </c>
      <c r="L86" s="4"/>
      <c r="M86" s="4"/>
      <c r="N86" s="4"/>
      <c r="O86" s="4"/>
      <c r="P86" s="4"/>
      <c r="Q86" s="4"/>
      <c r="R86" s="4"/>
      <c r="S86" s="4"/>
      <c r="T86" s="4"/>
      <c r="U86" s="4"/>
      <c r="V86" s="4"/>
      <c r="W86" s="4"/>
      <c r="X86" s="4"/>
      <c r="Y86" s="4"/>
      <c r="Z86" s="4"/>
    </row>
    <row r="87" ht="9.75" customHeight="1">
      <c r="A87" s="53" t="s">
        <v>142</v>
      </c>
      <c r="B87" s="58">
        <f>GETPIVOTDATA("Sum of DX_Skin",Pivot!$A$9)</f>
        <v>47959</v>
      </c>
      <c r="C87" s="59">
        <f t="shared" si="23"/>
        <v>0.01330929692</v>
      </c>
      <c r="D87" s="56"/>
      <c r="E87" s="57"/>
      <c r="F87" s="58"/>
      <c r="G87" s="59"/>
      <c r="H87" s="56"/>
      <c r="I87" s="57" t="s">
        <v>143</v>
      </c>
      <c r="J87" s="58">
        <f>GETPIVOTDATA("Sum of PR_Nose_Mouth_Pharynx",Pivot!$A$9)</f>
        <v>13290</v>
      </c>
      <c r="K87" s="59">
        <f t="shared" si="24"/>
        <v>0.003688161888</v>
      </c>
      <c r="L87" s="4"/>
      <c r="M87" s="4"/>
      <c r="N87" s="4"/>
      <c r="O87" s="4"/>
      <c r="P87" s="4"/>
      <c r="Q87" s="4"/>
      <c r="R87" s="4"/>
      <c r="S87" s="4"/>
      <c r="T87" s="4"/>
      <c r="U87" s="4"/>
      <c r="V87" s="4"/>
      <c r="W87" s="4"/>
      <c r="X87" s="4"/>
      <c r="Y87" s="4"/>
      <c r="Z87" s="4"/>
    </row>
    <row r="88" ht="19.5" customHeight="1">
      <c r="A88" s="53" t="s">
        <v>144</v>
      </c>
      <c r="B88" s="60">
        <f>GETPIVOTDATA("Sum of DX_Endocrine",Pivot!$A$9)</f>
        <v>146130</v>
      </c>
      <c r="C88" s="61">
        <f t="shared" si="23"/>
        <v>0.04055312993</v>
      </c>
      <c r="D88" s="56"/>
      <c r="E88" s="57"/>
      <c r="F88" s="58"/>
      <c r="G88" s="59"/>
      <c r="H88" s="56"/>
      <c r="I88" s="57" t="s">
        <v>145</v>
      </c>
      <c r="J88" s="58">
        <f>GETPIVOTDATA("Sum of PR_Respiratory_System",Pivot!$A$9)</f>
        <v>67298</v>
      </c>
      <c r="K88" s="59">
        <f t="shared" si="24"/>
        <v>0.01867614137</v>
      </c>
      <c r="L88" s="4"/>
      <c r="M88" s="4"/>
      <c r="N88" s="4"/>
      <c r="O88" s="4"/>
      <c r="P88" s="4"/>
      <c r="Q88" s="4"/>
      <c r="R88" s="4"/>
      <c r="S88" s="4"/>
      <c r="T88" s="4"/>
      <c r="U88" s="4"/>
      <c r="V88" s="4"/>
      <c r="W88" s="4"/>
      <c r="X88" s="4"/>
      <c r="Y88" s="4"/>
      <c r="Z88" s="4"/>
    </row>
    <row r="89" ht="9.75" customHeight="1">
      <c r="A89" s="53" t="s">
        <v>146</v>
      </c>
      <c r="B89" s="58">
        <f>GETPIVOTDATA("Sum of dx_Factors_Influencing_Health",Pivot!$A$9)</f>
        <v>40643</v>
      </c>
      <c r="C89" s="59">
        <f t="shared" si="23"/>
        <v>0.01127900404</v>
      </c>
      <c r="D89" s="56"/>
      <c r="E89" s="30"/>
      <c r="F89" s="58"/>
      <c r="G89" s="59"/>
      <c r="H89" s="56"/>
      <c r="I89" s="30" t="s">
        <v>147</v>
      </c>
      <c r="J89" s="58">
        <f>GETPIVOTDATA("Sum of PR_Urinary_System",Pivot!$A$9)</f>
        <v>52302</v>
      </c>
      <c r="K89" s="59">
        <f t="shared" si="24"/>
        <v>0.01451454049</v>
      </c>
      <c r="L89" s="4"/>
      <c r="M89" s="4"/>
      <c r="N89" s="4"/>
      <c r="O89" s="4"/>
      <c r="P89" s="4"/>
      <c r="Q89" s="4"/>
      <c r="R89" s="4"/>
      <c r="S89" s="4"/>
      <c r="T89" s="4"/>
      <c r="U89" s="4"/>
      <c r="V89" s="4"/>
      <c r="W89" s="4"/>
      <c r="X89" s="4"/>
      <c r="Y89" s="4"/>
      <c r="Z89" s="4"/>
    </row>
    <row r="90" ht="9.75" customHeight="1">
      <c r="A90" s="53" t="s">
        <v>148</v>
      </c>
      <c r="B90" s="58">
        <f>GETPIVOTDATA("Sum of dx_Infectious",Pivot!$A$9)</f>
        <v>392664</v>
      </c>
      <c r="C90" s="59">
        <f t="shared" si="23"/>
        <v>0.1089697818</v>
      </c>
      <c r="D90" s="56"/>
      <c r="E90" s="57"/>
      <c r="F90" s="58"/>
      <c r="G90" s="59"/>
      <c r="H90" s="56"/>
      <c r="I90" s="30" t="s">
        <v>149</v>
      </c>
      <c r="J90" s="58">
        <f>GETPIVOTDATA("Sum of PR_No_Group_Assigned",Pivot!$A$9)</f>
        <v>68739</v>
      </c>
      <c r="K90" s="59">
        <f t="shared" si="24"/>
        <v>0.01907603913</v>
      </c>
      <c r="L90" s="4"/>
      <c r="M90" s="4"/>
      <c r="N90" s="4"/>
      <c r="O90" s="4"/>
      <c r="P90" s="4"/>
      <c r="Q90" s="4"/>
      <c r="R90" s="4"/>
      <c r="S90" s="4"/>
      <c r="T90" s="4"/>
      <c r="U90" s="4"/>
      <c r="V90" s="4"/>
      <c r="W90" s="4"/>
      <c r="X90" s="4"/>
      <c r="Y90" s="4"/>
      <c r="Z90" s="4"/>
    </row>
    <row r="91" ht="9.75" customHeight="1">
      <c r="A91" s="53" t="s">
        <v>150</v>
      </c>
      <c r="B91" s="58">
        <f>GETPIVOTDATA("Sum of DX_Injury_Poisoning",Pivot!$A$9)</f>
        <v>291701</v>
      </c>
      <c r="C91" s="59">
        <f t="shared" si="23"/>
        <v>0.0809511295</v>
      </c>
      <c r="D91" s="56"/>
      <c r="E91" s="57"/>
      <c r="F91" s="7"/>
      <c r="G91" s="31"/>
      <c r="H91" s="56"/>
      <c r="I91" s="62" t="s">
        <v>151</v>
      </c>
      <c r="J91" s="63">
        <f>GETPIVOTDATA("Sum of PR_None",Pivot!$A$9)</f>
        <v>1323971</v>
      </c>
      <c r="K91" s="64">
        <f t="shared" si="24"/>
        <v>0.3674205706</v>
      </c>
      <c r="L91" s="4"/>
      <c r="M91" s="4"/>
      <c r="N91" s="4"/>
      <c r="O91" s="4"/>
      <c r="P91" s="4"/>
      <c r="Q91" s="4"/>
      <c r="R91" s="4"/>
      <c r="S91" s="4"/>
      <c r="T91" s="4"/>
      <c r="U91" s="4"/>
      <c r="V91" s="4"/>
      <c r="W91" s="4"/>
      <c r="X91" s="4"/>
      <c r="Y91" s="4"/>
      <c r="Z91" s="4"/>
    </row>
    <row r="92" ht="9.75" customHeight="1">
      <c r="A92" s="53" t="s">
        <v>152</v>
      </c>
      <c r="B92" s="58">
        <f>GETPIVOTDATA("Sum of dx_MentalHealth",Pivot!$A$9)</f>
        <v>253338</v>
      </c>
      <c r="C92" s="59">
        <f t="shared" si="23"/>
        <v>0.07030485752</v>
      </c>
      <c r="D92" s="56"/>
      <c r="E92" s="57"/>
      <c r="F92" s="58"/>
      <c r="G92" s="59"/>
      <c r="H92" s="56"/>
      <c r="I92" s="57"/>
      <c r="J92" s="44">
        <f t="shared" ref="J92:K92" si="25">SUM(J75:J91)</f>
        <v>3603421</v>
      </c>
      <c r="K92" s="45">
        <f t="shared" si="25"/>
        <v>1</v>
      </c>
      <c r="L92" s="4"/>
      <c r="M92" s="4"/>
      <c r="N92" s="4"/>
      <c r="O92" s="4"/>
      <c r="P92" s="4"/>
      <c r="Q92" s="4"/>
      <c r="R92" s="4"/>
      <c r="S92" s="4"/>
      <c r="T92" s="4"/>
      <c r="U92" s="4"/>
      <c r="V92" s="4"/>
      <c r="W92" s="4"/>
      <c r="X92" s="4"/>
      <c r="Y92" s="4"/>
      <c r="Z92" s="4"/>
    </row>
    <row r="93" ht="12.0" customHeight="1">
      <c r="A93" s="53" t="s">
        <v>153</v>
      </c>
      <c r="B93" s="41">
        <f>GETPIVOTDATA("Sum of DX_Neoplasms",Pivot!$A$9)</f>
        <v>128086</v>
      </c>
      <c r="C93" s="59">
        <f t="shared" si="23"/>
        <v>0.03554566619</v>
      </c>
      <c r="D93" s="56"/>
      <c r="E93" s="57"/>
      <c r="F93" s="58"/>
      <c r="G93" s="59"/>
      <c r="H93" s="56"/>
      <c r="I93" s="4"/>
      <c r="J93" s="7"/>
      <c r="K93" s="4"/>
      <c r="L93" s="4"/>
      <c r="M93" s="4"/>
      <c r="N93" s="4"/>
      <c r="O93" s="4"/>
      <c r="P93" s="4"/>
      <c r="Q93" s="4"/>
      <c r="R93" s="4"/>
      <c r="S93" s="4"/>
      <c r="T93" s="4"/>
      <c r="U93" s="4"/>
      <c r="V93" s="4"/>
      <c r="W93" s="4"/>
      <c r="X93" s="4"/>
      <c r="Y93" s="4"/>
      <c r="Z93" s="4"/>
    </row>
    <row r="94" ht="9.75" customHeight="1">
      <c r="A94" s="53" t="s">
        <v>154</v>
      </c>
      <c r="B94" s="7">
        <f>GETPIVOTDATA("Sum of dx_Symptoms_Signs_NEC",Pivot!$A$9)</f>
        <v>57219</v>
      </c>
      <c r="C94" s="61">
        <f t="shared" si="23"/>
        <v>0.01587907713</v>
      </c>
      <c r="D94" s="56"/>
      <c r="E94" s="57"/>
      <c r="F94" s="58"/>
      <c r="G94" s="59"/>
      <c r="H94" s="56"/>
      <c r="I94" s="56"/>
      <c r="J94" s="56"/>
      <c r="K94" s="56"/>
      <c r="L94" s="4"/>
      <c r="M94" s="4"/>
      <c r="N94" s="4"/>
      <c r="O94" s="4"/>
      <c r="P94" s="4"/>
      <c r="Q94" s="4"/>
      <c r="R94" s="4"/>
      <c r="S94" s="4"/>
      <c r="T94" s="4"/>
      <c r="U94" s="4"/>
      <c r="V94" s="4"/>
      <c r="W94" s="4"/>
      <c r="X94" s="4"/>
      <c r="Y94" s="4"/>
      <c r="Z94" s="4"/>
    </row>
    <row r="95" ht="9.75" customHeight="1">
      <c r="A95" s="33" t="s">
        <v>66</v>
      </c>
      <c r="B95" s="63">
        <f>GETPIVOTDATA("Sum of dx_Other_Unknown",Pivot!$A$9)</f>
        <v>642</v>
      </c>
      <c r="C95" s="64">
        <f t="shared" si="23"/>
        <v>0.000178164028</v>
      </c>
      <c r="D95" s="56"/>
      <c r="E95" s="57"/>
      <c r="F95" s="58"/>
      <c r="G95" s="59"/>
      <c r="H95" s="56"/>
      <c r="I95" s="56"/>
      <c r="J95" s="56"/>
      <c r="K95" s="56"/>
      <c r="L95" s="4"/>
      <c r="M95" s="4"/>
      <c r="N95" s="4"/>
      <c r="O95" s="4"/>
      <c r="P95" s="4"/>
      <c r="Q95" s="4"/>
      <c r="R95" s="4"/>
      <c r="S95" s="4"/>
      <c r="T95" s="4"/>
      <c r="U95" s="4"/>
      <c r="V95" s="4"/>
      <c r="W95" s="4"/>
      <c r="X95" s="4"/>
      <c r="Y95" s="4"/>
      <c r="Z95" s="4"/>
    </row>
    <row r="96" ht="9.75" customHeight="1">
      <c r="A96" s="4"/>
      <c r="B96" s="65">
        <f t="shared" ref="B96:C96" si="26">SUM(B75:B95)</f>
        <v>3603421</v>
      </c>
      <c r="C96" s="45">
        <f t="shared" si="26"/>
        <v>1</v>
      </c>
      <c r="D96" s="4"/>
      <c r="E96" s="57"/>
      <c r="F96" s="58"/>
      <c r="G96" s="59"/>
      <c r="H96" s="4"/>
      <c r="I96" s="41"/>
      <c r="J96" s="7"/>
      <c r="K96" s="4"/>
      <c r="L96" s="4"/>
      <c r="M96" s="4"/>
      <c r="N96" s="4"/>
      <c r="O96" s="4"/>
      <c r="P96" s="4"/>
      <c r="Q96" s="4"/>
      <c r="R96" s="4"/>
      <c r="S96" s="4"/>
      <c r="T96" s="4"/>
      <c r="U96" s="4"/>
      <c r="V96" s="4"/>
      <c r="W96" s="4"/>
      <c r="X96" s="4"/>
      <c r="Y96" s="4"/>
      <c r="Z96" s="4"/>
    </row>
    <row r="97" ht="9.75" customHeight="1">
      <c r="A97" s="66"/>
      <c r="B97" s="67"/>
      <c r="C97" s="68"/>
      <c r="D97" s="68"/>
      <c r="E97" s="30"/>
      <c r="F97" s="41"/>
      <c r="G97" s="59"/>
      <c r="H97" s="68"/>
      <c r="I97" s="68"/>
      <c r="J97" s="68"/>
      <c r="K97" s="68"/>
      <c r="L97" s="4"/>
      <c r="M97" s="4"/>
      <c r="N97" s="4"/>
      <c r="O97" s="4"/>
      <c r="P97" s="4"/>
      <c r="Q97" s="4"/>
      <c r="R97" s="4"/>
      <c r="S97" s="4"/>
      <c r="T97" s="4"/>
      <c r="U97" s="4"/>
      <c r="V97" s="4"/>
      <c r="W97" s="4"/>
      <c r="X97" s="4"/>
      <c r="Y97" s="4"/>
      <c r="Z97" s="4"/>
    </row>
    <row r="98" ht="9.75" customHeight="1">
      <c r="A98" s="66"/>
      <c r="B98" s="68"/>
      <c r="C98" s="68"/>
      <c r="D98" s="68"/>
      <c r="E98" s="4"/>
      <c r="F98" s="4"/>
      <c r="G98" s="4"/>
      <c r="H98" s="68"/>
      <c r="I98" s="68"/>
      <c r="J98" s="68"/>
      <c r="K98" s="68"/>
      <c r="L98" s="4"/>
      <c r="M98" s="4"/>
      <c r="N98" s="4"/>
      <c r="O98" s="4"/>
      <c r="P98" s="4"/>
      <c r="Q98" s="4"/>
      <c r="R98" s="4"/>
      <c r="S98" s="4"/>
      <c r="T98" s="4"/>
      <c r="U98" s="4"/>
      <c r="V98" s="4"/>
      <c r="W98" s="4"/>
      <c r="X98" s="4"/>
      <c r="Y98" s="4"/>
      <c r="Z98" s="4"/>
    </row>
    <row r="99" ht="9.75" customHeight="1">
      <c r="A99" s="66"/>
      <c r="B99" s="68"/>
      <c r="C99" s="68"/>
      <c r="D99" s="68"/>
      <c r="E99" s="68"/>
      <c r="F99" s="68"/>
      <c r="G99" s="68"/>
      <c r="H99" s="68"/>
      <c r="I99" s="68"/>
      <c r="J99" s="68"/>
      <c r="K99" s="68"/>
      <c r="L99" s="4"/>
      <c r="M99" s="4"/>
      <c r="N99" s="4"/>
      <c r="O99" s="4"/>
      <c r="P99" s="4"/>
      <c r="Q99" s="4"/>
      <c r="R99" s="4"/>
      <c r="S99" s="4"/>
      <c r="T99" s="4"/>
      <c r="U99" s="4"/>
      <c r="V99" s="4"/>
      <c r="W99" s="4"/>
      <c r="X99" s="4"/>
      <c r="Y99" s="4"/>
      <c r="Z99" s="4"/>
    </row>
    <row r="100" ht="9.75" customHeight="1">
      <c r="A100" s="66"/>
      <c r="B100" s="68"/>
      <c r="C100" s="68"/>
      <c r="D100" s="68"/>
      <c r="E100" s="68"/>
      <c r="F100" s="68"/>
      <c r="G100" s="68"/>
      <c r="H100" s="68"/>
      <c r="I100" s="68"/>
      <c r="J100" s="68"/>
      <c r="K100" s="68"/>
      <c r="L100" s="4"/>
      <c r="M100" s="4"/>
      <c r="N100" s="4"/>
      <c r="O100" s="4"/>
      <c r="P100" s="4"/>
      <c r="Q100" s="4"/>
      <c r="R100" s="4"/>
      <c r="S100" s="4"/>
      <c r="T100" s="4"/>
      <c r="U100" s="4"/>
      <c r="V100" s="4"/>
      <c r="W100" s="4"/>
      <c r="X100" s="4"/>
      <c r="Y100" s="4"/>
      <c r="Z100" s="4"/>
    </row>
    <row r="101" ht="9.75" customHeight="1">
      <c r="A101" s="66"/>
      <c r="B101" s="68"/>
      <c r="C101" s="68"/>
      <c r="D101" s="68"/>
      <c r="E101" s="68"/>
      <c r="F101" s="68"/>
      <c r="G101" s="68"/>
      <c r="H101" s="68"/>
      <c r="I101" s="68"/>
      <c r="J101" s="68"/>
      <c r="K101" s="68"/>
      <c r="L101" s="4"/>
      <c r="M101" s="4"/>
      <c r="N101" s="4"/>
      <c r="O101" s="4"/>
      <c r="P101" s="4"/>
      <c r="Q101" s="4"/>
      <c r="R101" s="4"/>
      <c r="S101" s="4"/>
      <c r="T101" s="4"/>
      <c r="U101" s="4"/>
      <c r="V101" s="4"/>
      <c r="W101" s="4"/>
      <c r="X101" s="4"/>
      <c r="Y101" s="4"/>
      <c r="Z101" s="4"/>
    </row>
    <row r="102" ht="9.75" customHeight="1">
      <c r="A102" s="66"/>
      <c r="B102" s="68"/>
      <c r="C102" s="68"/>
      <c r="D102" s="68"/>
      <c r="E102" s="68"/>
      <c r="F102" s="68"/>
      <c r="G102" s="68"/>
      <c r="H102" s="68"/>
      <c r="I102" s="68"/>
      <c r="J102" s="68"/>
      <c r="K102" s="68"/>
      <c r="L102" s="4"/>
      <c r="M102" s="4"/>
      <c r="N102" s="4"/>
      <c r="O102" s="4"/>
      <c r="P102" s="4"/>
      <c r="Q102" s="4"/>
      <c r="R102" s="4"/>
      <c r="S102" s="4"/>
      <c r="T102" s="4"/>
      <c r="U102" s="4"/>
      <c r="V102" s="4"/>
      <c r="W102" s="4"/>
      <c r="X102" s="4"/>
      <c r="Y102" s="4"/>
      <c r="Z102" s="4"/>
    </row>
    <row r="103" ht="9.75" customHeight="1">
      <c r="A103" s="66"/>
      <c r="B103" s="68"/>
      <c r="C103" s="68"/>
      <c r="D103" s="68"/>
      <c r="E103" s="68"/>
      <c r="F103" s="68"/>
      <c r="G103" s="68"/>
      <c r="H103" s="68"/>
      <c r="I103" s="68"/>
      <c r="J103" s="68"/>
      <c r="K103" s="68"/>
      <c r="L103" s="4"/>
      <c r="M103" s="4"/>
      <c r="N103" s="4"/>
      <c r="O103" s="4"/>
      <c r="P103" s="4"/>
      <c r="Q103" s="4"/>
      <c r="R103" s="4"/>
      <c r="S103" s="4"/>
      <c r="T103" s="4"/>
      <c r="U103" s="4"/>
      <c r="V103" s="4"/>
      <c r="W103" s="4"/>
      <c r="X103" s="4"/>
      <c r="Y103" s="4"/>
      <c r="Z103" s="4"/>
    </row>
    <row r="104" ht="9.75" customHeight="1">
      <c r="A104" s="66"/>
      <c r="B104" s="68"/>
      <c r="C104" s="68"/>
      <c r="D104" s="68"/>
      <c r="E104" s="68"/>
      <c r="F104" s="68"/>
      <c r="G104" s="68"/>
      <c r="H104" s="68"/>
      <c r="I104" s="68"/>
      <c r="J104" s="68"/>
      <c r="K104" s="68"/>
      <c r="L104" s="4"/>
      <c r="M104" s="4"/>
      <c r="N104" s="4"/>
      <c r="O104" s="4"/>
      <c r="P104" s="4"/>
      <c r="Q104" s="4"/>
      <c r="R104" s="4"/>
      <c r="S104" s="4"/>
      <c r="T104" s="4"/>
      <c r="U104" s="4"/>
      <c r="V104" s="4"/>
      <c r="W104" s="4"/>
      <c r="X104" s="4"/>
      <c r="Y104" s="4"/>
      <c r="Z104" s="4"/>
    </row>
    <row r="105" ht="9.75" customHeight="1">
      <c r="A105" s="66"/>
      <c r="B105" s="68"/>
      <c r="C105" s="68"/>
      <c r="D105" s="68"/>
      <c r="E105" s="68"/>
      <c r="F105" s="68"/>
      <c r="G105" s="68"/>
      <c r="H105" s="68"/>
      <c r="I105" s="68"/>
      <c r="J105" s="68"/>
      <c r="K105" s="68"/>
      <c r="L105" s="4"/>
      <c r="M105" s="4"/>
      <c r="N105" s="4"/>
      <c r="O105" s="4"/>
      <c r="P105" s="4"/>
      <c r="Q105" s="4"/>
      <c r="R105" s="4"/>
      <c r="S105" s="4"/>
      <c r="T105" s="4"/>
      <c r="U105" s="4"/>
      <c r="V105" s="4"/>
      <c r="W105" s="4"/>
      <c r="X105" s="4"/>
      <c r="Y105" s="4"/>
      <c r="Z105" s="4"/>
    </row>
    <row r="106" ht="9.75" customHeight="1">
      <c r="A106" s="66"/>
      <c r="B106" s="68"/>
      <c r="C106" s="68"/>
      <c r="D106" s="68"/>
      <c r="E106" s="68"/>
      <c r="F106" s="68"/>
      <c r="G106" s="68"/>
      <c r="H106" s="68"/>
      <c r="I106" s="68"/>
      <c r="J106" s="68"/>
      <c r="K106" s="68"/>
      <c r="L106" s="4"/>
      <c r="M106" s="4"/>
      <c r="N106" s="4"/>
      <c r="O106" s="4"/>
      <c r="P106" s="4"/>
      <c r="Q106" s="4"/>
      <c r="R106" s="4"/>
      <c r="S106" s="4"/>
      <c r="T106" s="4"/>
      <c r="U106" s="4"/>
      <c r="V106" s="4"/>
      <c r="W106" s="4"/>
      <c r="X106" s="4"/>
      <c r="Y106" s="4"/>
      <c r="Z106" s="4"/>
    </row>
    <row r="107" ht="9.75" customHeight="1">
      <c r="A107" s="66"/>
      <c r="B107" s="68"/>
      <c r="C107" s="68"/>
      <c r="D107" s="68"/>
      <c r="E107" s="68"/>
      <c r="F107" s="68"/>
      <c r="G107" s="68"/>
      <c r="H107" s="68"/>
      <c r="I107" s="68"/>
      <c r="J107" s="68"/>
      <c r="K107" s="68"/>
      <c r="L107" s="4"/>
      <c r="M107" s="4"/>
      <c r="N107" s="4"/>
      <c r="O107" s="4"/>
      <c r="P107" s="4"/>
      <c r="Q107" s="4"/>
      <c r="R107" s="4"/>
      <c r="S107" s="4"/>
      <c r="T107" s="4"/>
      <c r="U107" s="4"/>
      <c r="V107" s="4"/>
      <c r="W107" s="4"/>
      <c r="X107" s="4"/>
      <c r="Y107" s="4"/>
      <c r="Z107" s="4"/>
    </row>
    <row r="108" ht="9.75" customHeight="1">
      <c r="A108" s="66"/>
      <c r="B108" s="68"/>
      <c r="C108" s="68"/>
      <c r="D108" s="68"/>
      <c r="E108" s="68"/>
      <c r="F108" s="68"/>
      <c r="G108" s="68"/>
      <c r="H108" s="68"/>
      <c r="I108" s="68"/>
      <c r="J108" s="68"/>
      <c r="K108" s="68"/>
      <c r="L108" s="4"/>
      <c r="M108" s="4"/>
      <c r="N108" s="4"/>
      <c r="O108" s="4"/>
      <c r="P108" s="4"/>
      <c r="Q108" s="4"/>
      <c r="R108" s="4"/>
      <c r="S108" s="4"/>
      <c r="T108" s="4"/>
      <c r="U108" s="4"/>
      <c r="V108" s="4"/>
      <c r="W108" s="4"/>
      <c r="X108" s="4"/>
      <c r="Y108" s="4"/>
      <c r="Z108" s="4"/>
    </row>
    <row r="109" ht="9.75" customHeight="1">
      <c r="A109" s="66"/>
      <c r="B109" s="68"/>
      <c r="C109" s="68"/>
      <c r="D109" s="68"/>
      <c r="E109" s="68"/>
      <c r="F109" s="68"/>
      <c r="G109" s="68"/>
      <c r="H109" s="68"/>
      <c r="I109" s="68"/>
      <c r="J109" s="68"/>
      <c r="K109" s="68"/>
      <c r="L109" s="4"/>
      <c r="M109" s="4"/>
      <c r="N109" s="4"/>
      <c r="O109" s="4"/>
      <c r="P109" s="4"/>
      <c r="Q109" s="4"/>
      <c r="R109" s="4"/>
      <c r="S109" s="4"/>
      <c r="T109" s="4"/>
      <c r="U109" s="4"/>
      <c r="V109" s="4"/>
      <c r="W109" s="4"/>
      <c r="X109" s="4"/>
      <c r="Y109" s="4"/>
      <c r="Z109" s="4"/>
    </row>
    <row r="110" ht="9.75" customHeight="1">
      <c r="A110" s="66"/>
      <c r="B110" s="68"/>
      <c r="C110" s="68"/>
      <c r="D110" s="68"/>
      <c r="E110" s="68"/>
      <c r="F110" s="68"/>
      <c r="G110" s="68"/>
      <c r="H110" s="68"/>
      <c r="I110" s="68"/>
      <c r="J110" s="68"/>
      <c r="K110" s="68"/>
      <c r="L110" s="4"/>
      <c r="M110" s="4"/>
      <c r="N110" s="4"/>
      <c r="O110" s="4"/>
      <c r="P110" s="4"/>
      <c r="Q110" s="4"/>
      <c r="R110" s="4"/>
      <c r="S110" s="4"/>
      <c r="T110" s="4"/>
      <c r="U110" s="4"/>
      <c r="V110" s="4"/>
      <c r="W110" s="4"/>
      <c r="X110" s="4"/>
      <c r="Y110" s="4"/>
      <c r="Z110" s="4"/>
    </row>
    <row r="111" ht="9.75" customHeight="1">
      <c r="A111" s="66"/>
      <c r="B111" s="68"/>
      <c r="C111" s="68"/>
      <c r="D111" s="68"/>
      <c r="E111" s="68"/>
      <c r="F111" s="68"/>
      <c r="G111" s="68"/>
      <c r="H111" s="68"/>
      <c r="I111" s="68"/>
      <c r="J111" s="68"/>
      <c r="K111" s="68"/>
      <c r="L111" s="4"/>
      <c r="M111" s="4"/>
      <c r="N111" s="4"/>
      <c r="O111" s="4"/>
      <c r="P111" s="4"/>
      <c r="Q111" s="4"/>
      <c r="R111" s="4"/>
      <c r="S111" s="4"/>
      <c r="T111" s="4"/>
      <c r="U111" s="4"/>
      <c r="V111" s="4"/>
      <c r="W111" s="4"/>
      <c r="X111" s="4"/>
      <c r="Y111" s="4"/>
      <c r="Z111" s="4"/>
    </row>
    <row r="112" ht="9.75" customHeight="1">
      <c r="A112" s="66"/>
      <c r="B112" s="68"/>
      <c r="C112" s="68"/>
      <c r="D112" s="68"/>
      <c r="E112" s="68"/>
      <c r="F112" s="68"/>
      <c r="G112" s="68"/>
      <c r="H112" s="68"/>
      <c r="I112" s="68"/>
      <c r="J112" s="68"/>
      <c r="K112" s="68"/>
      <c r="L112" s="4"/>
      <c r="M112" s="4"/>
      <c r="N112" s="4"/>
      <c r="O112" s="4"/>
      <c r="P112" s="4"/>
      <c r="Q112" s="4"/>
      <c r="R112" s="4"/>
      <c r="S112" s="4"/>
      <c r="T112" s="4"/>
      <c r="U112" s="4"/>
      <c r="V112" s="4"/>
      <c r="W112" s="4"/>
      <c r="X112" s="4"/>
      <c r="Y112" s="4"/>
      <c r="Z112" s="4"/>
    </row>
    <row r="113" ht="9.75" customHeight="1">
      <c r="A113" s="66"/>
      <c r="B113" s="69"/>
      <c r="C113" s="69"/>
      <c r="D113" s="68"/>
      <c r="E113" s="68"/>
      <c r="F113" s="69"/>
      <c r="G113" s="69"/>
      <c r="H113" s="68"/>
      <c r="I113" s="68"/>
      <c r="J113" s="69"/>
      <c r="K113" s="68"/>
      <c r="L113" s="4"/>
      <c r="M113" s="4"/>
      <c r="N113" s="4"/>
      <c r="O113" s="4"/>
      <c r="P113" s="4"/>
      <c r="Q113" s="4"/>
      <c r="R113" s="4"/>
      <c r="S113" s="4"/>
      <c r="T113" s="4"/>
      <c r="U113" s="4"/>
      <c r="V113" s="4"/>
      <c r="W113" s="4"/>
      <c r="X113" s="4"/>
      <c r="Y113" s="4"/>
      <c r="Z113" s="4"/>
    </row>
    <row r="114" ht="9.75" customHeight="1">
      <c r="A114" s="66"/>
      <c r="B114" s="69"/>
      <c r="C114" s="69"/>
      <c r="D114" s="68"/>
      <c r="E114" s="68"/>
      <c r="F114" s="69"/>
      <c r="G114" s="69"/>
      <c r="H114" s="68"/>
      <c r="I114" s="68"/>
      <c r="J114" s="69"/>
      <c r="K114" s="68"/>
      <c r="L114" s="4"/>
      <c r="M114" s="4"/>
      <c r="N114" s="4"/>
      <c r="O114" s="4"/>
      <c r="P114" s="4"/>
      <c r="Q114" s="4"/>
      <c r="R114" s="4"/>
      <c r="S114" s="4"/>
      <c r="T114" s="4"/>
      <c r="U114" s="4"/>
      <c r="V114" s="4"/>
      <c r="W114" s="4"/>
      <c r="X114" s="4"/>
      <c r="Y114" s="4"/>
      <c r="Z114" s="4"/>
    </row>
    <row r="115" ht="9.75" customHeight="1">
      <c r="A115" s="66"/>
      <c r="B115" s="69"/>
      <c r="C115" s="69"/>
      <c r="D115" s="68"/>
      <c r="E115" s="68"/>
      <c r="F115" s="69"/>
      <c r="G115" s="69"/>
      <c r="H115" s="68"/>
      <c r="I115" s="68"/>
      <c r="J115" s="69"/>
      <c r="K115" s="68"/>
      <c r="L115" s="4"/>
      <c r="M115" s="4"/>
      <c r="N115" s="4"/>
      <c r="O115" s="4"/>
      <c r="P115" s="4"/>
      <c r="Q115" s="4"/>
      <c r="R115" s="4"/>
      <c r="S115" s="4"/>
      <c r="T115" s="4"/>
      <c r="U115" s="4"/>
      <c r="V115" s="4"/>
      <c r="W115" s="4"/>
      <c r="X115" s="4"/>
      <c r="Y115" s="4"/>
      <c r="Z115" s="4"/>
    </row>
    <row r="116" ht="9.75" customHeight="1">
      <c r="A116" s="66"/>
      <c r="B116" s="69"/>
      <c r="C116" s="69"/>
      <c r="D116" s="68"/>
      <c r="E116" s="68"/>
      <c r="F116" s="69"/>
      <c r="G116" s="69"/>
      <c r="H116" s="68"/>
      <c r="I116" s="68"/>
      <c r="J116" s="69"/>
      <c r="K116" s="68"/>
      <c r="L116" s="4"/>
      <c r="M116" s="4"/>
      <c r="N116" s="4"/>
      <c r="O116" s="4"/>
      <c r="P116" s="4"/>
      <c r="Q116" s="4"/>
      <c r="R116" s="4"/>
      <c r="S116" s="4"/>
      <c r="T116" s="4"/>
      <c r="U116" s="4"/>
      <c r="V116" s="4"/>
      <c r="W116" s="4"/>
      <c r="X116" s="4"/>
      <c r="Y116" s="4"/>
      <c r="Z116" s="4"/>
    </row>
    <row r="117" ht="9.75" customHeight="1">
      <c r="A117" s="66"/>
      <c r="B117" s="69"/>
      <c r="C117" s="69"/>
      <c r="D117" s="68"/>
      <c r="E117" s="68"/>
      <c r="F117" s="69"/>
      <c r="G117" s="69"/>
      <c r="H117" s="68"/>
      <c r="I117" s="68"/>
      <c r="J117" s="69"/>
      <c r="K117" s="68"/>
      <c r="L117" s="4"/>
      <c r="M117" s="4"/>
      <c r="N117" s="4"/>
      <c r="O117" s="4"/>
      <c r="P117" s="4"/>
      <c r="Q117" s="4"/>
      <c r="R117" s="4"/>
      <c r="S117" s="4"/>
      <c r="T117" s="4"/>
      <c r="U117" s="4"/>
      <c r="V117" s="4"/>
      <c r="W117" s="4"/>
      <c r="X117" s="4"/>
      <c r="Y117" s="4"/>
      <c r="Z117" s="4"/>
    </row>
    <row r="118" ht="9.75" customHeight="1">
      <c r="A118" s="66"/>
      <c r="B118" s="69"/>
      <c r="C118" s="69"/>
      <c r="D118" s="68"/>
      <c r="E118" s="68"/>
      <c r="F118" s="69"/>
      <c r="G118" s="69"/>
      <c r="H118" s="68"/>
      <c r="I118" s="68"/>
      <c r="J118" s="69"/>
      <c r="K118" s="68"/>
      <c r="L118" s="4"/>
      <c r="M118" s="4"/>
      <c r="N118" s="4"/>
      <c r="O118" s="4"/>
      <c r="P118" s="4"/>
      <c r="Q118" s="4"/>
      <c r="R118" s="4"/>
      <c r="S118" s="4"/>
      <c r="T118" s="4"/>
      <c r="U118" s="4"/>
      <c r="V118" s="4"/>
      <c r="W118" s="4"/>
      <c r="X118" s="4"/>
      <c r="Y118" s="4"/>
      <c r="Z118" s="4"/>
    </row>
    <row r="119" ht="9.75" customHeight="1">
      <c r="A119" s="66"/>
      <c r="B119" s="69"/>
      <c r="C119" s="69"/>
      <c r="D119" s="68"/>
      <c r="E119" s="68"/>
      <c r="F119" s="69"/>
      <c r="G119" s="69"/>
      <c r="H119" s="68"/>
      <c r="I119" s="68"/>
      <c r="J119" s="69"/>
      <c r="K119" s="68"/>
      <c r="L119" s="4"/>
      <c r="M119" s="4"/>
      <c r="N119" s="4"/>
      <c r="O119" s="4"/>
      <c r="P119" s="4"/>
      <c r="Q119" s="4"/>
      <c r="R119" s="4"/>
      <c r="S119" s="4"/>
      <c r="T119" s="4"/>
      <c r="U119" s="4"/>
      <c r="V119" s="4"/>
      <c r="W119" s="4"/>
      <c r="X119" s="4"/>
      <c r="Y119" s="4"/>
      <c r="Z119" s="4"/>
    </row>
    <row r="120" ht="9.75" customHeight="1">
      <c r="A120" s="66"/>
      <c r="B120" s="69"/>
      <c r="C120" s="69"/>
      <c r="D120" s="68"/>
      <c r="E120" s="68"/>
      <c r="F120" s="69"/>
      <c r="G120" s="69"/>
      <c r="H120" s="68"/>
      <c r="I120" s="68"/>
      <c r="J120" s="69"/>
      <c r="K120" s="68"/>
      <c r="L120" s="4"/>
      <c r="M120" s="4"/>
      <c r="N120" s="4"/>
      <c r="O120" s="4"/>
      <c r="P120" s="4"/>
      <c r="Q120" s="4"/>
      <c r="R120" s="4"/>
      <c r="S120" s="4"/>
      <c r="T120" s="4"/>
      <c r="U120" s="4"/>
      <c r="V120" s="4"/>
      <c r="W120" s="4"/>
      <c r="X120" s="4"/>
      <c r="Y120" s="4"/>
      <c r="Z120" s="4"/>
    </row>
    <row r="121" ht="9.75" customHeight="1">
      <c r="A121" s="66"/>
      <c r="B121" s="69"/>
      <c r="C121" s="69"/>
      <c r="D121" s="68"/>
      <c r="E121" s="68"/>
      <c r="F121" s="69"/>
      <c r="G121" s="69"/>
      <c r="H121" s="68"/>
      <c r="I121" s="68"/>
      <c r="J121" s="69"/>
      <c r="K121" s="68"/>
      <c r="L121" s="4"/>
      <c r="M121" s="4"/>
      <c r="N121" s="4"/>
      <c r="O121" s="4"/>
      <c r="P121" s="4"/>
      <c r="Q121" s="4"/>
      <c r="R121" s="4"/>
      <c r="S121" s="4"/>
      <c r="T121" s="4"/>
      <c r="U121" s="4"/>
      <c r="V121" s="4"/>
      <c r="W121" s="4"/>
      <c r="X121" s="4"/>
      <c r="Y121" s="4"/>
      <c r="Z121" s="4"/>
    </row>
    <row r="122" ht="9.75" customHeight="1">
      <c r="A122" s="66"/>
      <c r="B122" s="69"/>
      <c r="C122" s="69"/>
      <c r="D122" s="68"/>
      <c r="E122" s="68"/>
      <c r="F122" s="69"/>
      <c r="G122" s="69"/>
      <c r="H122" s="68"/>
      <c r="I122" s="68"/>
      <c r="J122" s="69"/>
      <c r="K122" s="68"/>
      <c r="L122" s="4"/>
      <c r="M122" s="4"/>
      <c r="N122" s="4"/>
      <c r="O122" s="4"/>
      <c r="P122" s="4"/>
      <c r="Q122" s="4"/>
      <c r="R122" s="4"/>
      <c r="S122" s="4"/>
      <c r="T122" s="4"/>
      <c r="U122" s="4"/>
      <c r="V122" s="4"/>
      <c r="W122" s="4"/>
      <c r="X122" s="4"/>
      <c r="Y122" s="4"/>
      <c r="Z122" s="4"/>
    </row>
    <row r="123" ht="9.75" customHeight="1">
      <c r="A123" s="66"/>
      <c r="B123" s="69"/>
      <c r="C123" s="69"/>
      <c r="D123" s="68"/>
      <c r="E123" s="68"/>
      <c r="F123" s="69"/>
      <c r="G123" s="69"/>
      <c r="H123" s="68"/>
      <c r="I123" s="68"/>
      <c r="J123" s="69"/>
      <c r="K123" s="68"/>
      <c r="L123" s="4"/>
      <c r="M123" s="4"/>
      <c r="N123" s="4"/>
      <c r="O123" s="4"/>
      <c r="P123" s="4"/>
      <c r="Q123" s="4"/>
      <c r="R123" s="4"/>
      <c r="S123" s="4"/>
      <c r="T123" s="4"/>
      <c r="U123" s="4"/>
      <c r="V123" s="4"/>
      <c r="W123" s="4"/>
      <c r="X123" s="4"/>
      <c r="Y123" s="4"/>
      <c r="Z123" s="4"/>
    </row>
    <row r="124" ht="9.75" customHeight="1">
      <c r="A124" s="66"/>
      <c r="B124" s="69"/>
      <c r="C124" s="69"/>
      <c r="D124" s="68"/>
      <c r="E124" s="68"/>
      <c r="F124" s="69"/>
      <c r="G124" s="69"/>
      <c r="H124" s="68"/>
      <c r="I124" s="68"/>
      <c r="J124" s="69"/>
      <c r="K124" s="68"/>
      <c r="L124" s="4"/>
      <c r="M124" s="4"/>
      <c r="N124" s="4"/>
      <c r="O124" s="4"/>
      <c r="P124" s="4"/>
      <c r="Q124" s="4"/>
      <c r="R124" s="4"/>
      <c r="S124" s="4"/>
      <c r="T124" s="4"/>
      <c r="U124" s="4"/>
      <c r="V124" s="4"/>
      <c r="W124" s="4"/>
      <c r="X124" s="4"/>
      <c r="Y124" s="4"/>
      <c r="Z124" s="4"/>
    </row>
    <row r="125" ht="9.75" customHeight="1">
      <c r="A125" s="66"/>
      <c r="B125" s="69"/>
      <c r="C125" s="69"/>
      <c r="D125" s="68"/>
      <c r="E125" s="68"/>
      <c r="F125" s="69"/>
      <c r="G125" s="69"/>
      <c r="H125" s="68"/>
      <c r="I125" s="68"/>
      <c r="J125" s="69"/>
      <c r="K125" s="68"/>
      <c r="L125" s="4"/>
      <c r="M125" s="4"/>
      <c r="N125" s="4"/>
      <c r="O125" s="4"/>
      <c r="P125" s="4"/>
      <c r="Q125" s="4"/>
      <c r="R125" s="4"/>
      <c r="S125" s="4"/>
      <c r="T125" s="4"/>
      <c r="U125" s="4"/>
      <c r="V125" s="4"/>
      <c r="W125" s="4"/>
      <c r="X125" s="4"/>
      <c r="Y125" s="4"/>
      <c r="Z125" s="4"/>
    </row>
    <row r="126" ht="9.75" customHeight="1">
      <c r="A126" s="66"/>
      <c r="B126" s="69"/>
      <c r="C126" s="69"/>
      <c r="D126" s="68"/>
      <c r="E126" s="68"/>
      <c r="F126" s="69"/>
      <c r="G126" s="69"/>
      <c r="H126" s="68"/>
      <c r="I126" s="68"/>
      <c r="J126" s="69"/>
      <c r="K126" s="68"/>
      <c r="L126" s="4"/>
      <c r="M126" s="4"/>
      <c r="N126" s="4"/>
      <c r="O126" s="4"/>
      <c r="P126" s="4"/>
      <c r="Q126" s="4"/>
      <c r="R126" s="4"/>
      <c r="S126" s="4"/>
      <c r="T126" s="4"/>
      <c r="U126" s="4"/>
      <c r="V126" s="4"/>
      <c r="W126" s="4"/>
      <c r="X126" s="4"/>
      <c r="Y126" s="4"/>
      <c r="Z126" s="4"/>
    </row>
    <row r="127" ht="9.75" customHeight="1">
      <c r="A127" s="66"/>
      <c r="B127" s="69"/>
      <c r="C127" s="69"/>
      <c r="D127" s="68"/>
      <c r="E127" s="68"/>
      <c r="F127" s="69"/>
      <c r="G127" s="69"/>
      <c r="H127" s="68"/>
      <c r="I127" s="68"/>
      <c r="J127" s="69"/>
      <c r="K127" s="68"/>
      <c r="L127" s="4"/>
      <c r="M127" s="4"/>
      <c r="N127" s="4"/>
      <c r="O127" s="4"/>
      <c r="P127" s="4"/>
      <c r="Q127" s="4"/>
      <c r="R127" s="4"/>
      <c r="S127" s="4"/>
      <c r="T127" s="4"/>
      <c r="U127" s="4"/>
      <c r="V127" s="4"/>
      <c r="W127" s="4"/>
      <c r="X127" s="4"/>
      <c r="Y127" s="4"/>
      <c r="Z127" s="4"/>
    </row>
    <row r="128" ht="9.75" customHeight="1">
      <c r="A128" s="66"/>
      <c r="B128" s="69"/>
      <c r="C128" s="69"/>
      <c r="D128" s="68"/>
      <c r="E128" s="68"/>
      <c r="F128" s="69"/>
      <c r="G128" s="69"/>
      <c r="H128" s="68"/>
      <c r="I128" s="68"/>
      <c r="J128" s="69"/>
      <c r="K128" s="68"/>
      <c r="L128" s="4"/>
      <c r="M128" s="4"/>
      <c r="N128" s="4"/>
      <c r="O128" s="4"/>
      <c r="P128" s="4"/>
      <c r="Q128" s="4"/>
      <c r="R128" s="4"/>
      <c r="S128" s="4"/>
      <c r="T128" s="4"/>
      <c r="U128" s="4"/>
      <c r="V128" s="4"/>
      <c r="W128" s="4"/>
      <c r="X128" s="4"/>
      <c r="Y128" s="4"/>
      <c r="Z128" s="4"/>
    </row>
    <row r="129" ht="9.75" customHeight="1">
      <c r="A129" s="66"/>
      <c r="B129" s="69"/>
      <c r="C129" s="69"/>
      <c r="D129" s="68"/>
      <c r="E129" s="68"/>
      <c r="F129" s="69"/>
      <c r="G129" s="69"/>
      <c r="H129" s="68"/>
      <c r="I129" s="68"/>
      <c r="J129" s="69"/>
      <c r="K129" s="68"/>
      <c r="L129" s="4"/>
      <c r="M129" s="4"/>
      <c r="N129" s="4"/>
      <c r="O129" s="4"/>
      <c r="P129" s="4"/>
      <c r="Q129" s="4"/>
      <c r="R129" s="4"/>
      <c r="S129" s="4"/>
      <c r="T129" s="4"/>
      <c r="U129" s="4"/>
      <c r="V129" s="4"/>
      <c r="W129" s="4"/>
      <c r="X129" s="4"/>
      <c r="Y129" s="4"/>
      <c r="Z129" s="4"/>
    </row>
    <row r="130" ht="9.75" customHeight="1">
      <c r="A130" s="66"/>
      <c r="B130" s="69"/>
      <c r="C130" s="69"/>
      <c r="D130" s="68"/>
      <c r="E130" s="68"/>
      <c r="F130" s="69"/>
      <c r="G130" s="69"/>
      <c r="H130" s="68"/>
      <c r="I130" s="68"/>
      <c r="J130" s="69"/>
      <c r="K130" s="68"/>
      <c r="L130" s="4"/>
      <c r="M130" s="4"/>
      <c r="N130" s="4"/>
      <c r="O130" s="4"/>
      <c r="P130" s="4"/>
      <c r="Q130" s="4"/>
      <c r="R130" s="4"/>
      <c r="S130" s="4"/>
      <c r="T130" s="4"/>
      <c r="U130" s="4"/>
      <c r="V130" s="4"/>
      <c r="W130" s="4"/>
      <c r="X130" s="4"/>
      <c r="Y130" s="4"/>
      <c r="Z130" s="4"/>
    </row>
    <row r="131" ht="9.75" customHeight="1">
      <c r="A131" s="66"/>
      <c r="B131" s="69"/>
      <c r="C131" s="69"/>
      <c r="D131" s="68"/>
      <c r="E131" s="68"/>
      <c r="F131" s="69"/>
      <c r="G131" s="69"/>
      <c r="H131" s="68"/>
      <c r="I131" s="68"/>
      <c r="J131" s="69"/>
      <c r="K131" s="68"/>
      <c r="L131" s="4"/>
      <c r="M131" s="4"/>
      <c r="N131" s="4"/>
      <c r="O131" s="4"/>
      <c r="P131" s="4"/>
      <c r="Q131" s="4"/>
      <c r="R131" s="4"/>
      <c r="S131" s="4"/>
      <c r="T131" s="4"/>
      <c r="U131" s="4"/>
      <c r="V131" s="4"/>
      <c r="W131" s="4"/>
      <c r="X131" s="4"/>
      <c r="Y131" s="4"/>
      <c r="Z131" s="4"/>
    </row>
    <row r="132" ht="9.75" customHeight="1">
      <c r="A132" s="66"/>
      <c r="B132" s="69"/>
      <c r="C132" s="69"/>
      <c r="D132" s="68"/>
      <c r="E132" s="68"/>
      <c r="F132" s="69"/>
      <c r="G132" s="69"/>
      <c r="H132" s="68"/>
      <c r="I132" s="68"/>
      <c r="J132" s="69"/>
      <c r="K132" s="68"/>
      <c r="L132" s="4"/>
      <c r="M132" s="4"/>
      <c r="N132" s="4"/>
      <c r="O132" s="4"/>
      <c r="P132" s="4"/>
      <c r="Q132" s="4"/>
      <c r="R132" s="4"/>
      <c r="S132" s="4"/>
      <c r="T132" s="4"/>
      <c r="U132" s="4"/>
      <c r="V132" s="4"/>
      <c r="W132" s="4"/>
      <c r="X132" s="4"/>
      <c r="Y132" s="4"/>
      <c r="Z132" s="4"/>
    </row>
    <row r="133" ht="9.75" customHeight="1">
      <c r="A133" s="66"/>
      <c r="B133" s="69"/>
      <c r="C133" s="69"/>
      <c r="D133" s="68"/>
      <c r="E133" s="68"/>
      <c r="F133" s="69"/>
      <c r="G133" s="69"/>
      <c r="H133" s="68"/>
      <c r="I133" s="68"/>
      <c r="J133" s="69"/>
      <c r="K133" s="68"/>
      <c r="L133" s="4"/>
      <c r="M133" s="4"/>
      <c r="N133" s="4"/>
      <c r="O133" s="4"/>
      <c r="P133" s="4"/>
      <c r="Q133" s="4"/>
      <c r="R133" s="4"/>
      <c r="S133" s="4"/>
      <c r="T133" s="4"/>
      <c r="U133" s="4"/>
      <c r="V133" s="4"/>
      <c r="W133" s="4"/>
      <c r="X133" s="4"/>
      <c r="Y133" s="4"/>
      <c r="Z133" s="4"/>
    </row>
    <row r="134" ht="9.75" customHeight="1">
      <c r="A134" s="66"/>
      <c r="B134" s="69"/>
      <c r="C134" s="69"/>
      <c r="D134" s="68"/>
      <c r="E134" s="68"/>
      <c r="F134" s="69"/>
      <c r="G134" s="69"/>
      <c r="H134" s="68"/>
      <c r="I134" s="68"/>
      <c r="J134" s="69"/>
      <c r="K134" s="68"/>
      <c r="L134" s="4"/>
      <c r="M134" s="4"/>
      <c r="N134" s="4"/>
      <c r="O134" s="4"/>
      <c r="P134" s="4"/>
      <c r="Q134" s="4"/>
      <c r="R134" s="4"/>
      <c r="S134" s="4"/>
      <c r="T134" s="4"/>
      <c r="U134" s="4"/>
      <c r="V134" s="4"/>
      <c r="W134" s="4"/>
      <c r="X134" s="4"/>
      <c r="Y134" s="4"/>
      <c r="Z134" s="4"/>
    </row>
    <row r="135" ht="9.75" customHeight="1">
      <c r="A135" s="66"/>
      <c r="B135" s="69"/>
      <c r="C135" s="69"/>
      <c r="D135" s="68"/>
      <c r="E135" s="68"/>
      <c r="F135" s="69"/>
      <c r="G135" s="69"/>
      <c r="H135" s="68"/>
      <c r="I135" s="68"/>
      <c r="J135" s="69"/>
      <c r="K135" s="68"/>
      <c r="L135" s="4"/>
      <c r="M135" s="4"/>
      <c r="N135" s="4"/>
      <c r="O135" s="4"/>
      <c r="P135" s="4"/>
      <c r="Q135" s="4"/>
      <c r="R135" s="4"/>
      <c r="S135" s="4"/>
      <c r="T135" s="4"/>
      <c r="U135" s="4"/>
      <c r="V135" s="4"/>
      <c r="W135" s="4"/>
      <c r="X135" s="4"/>
      <c r="Y135" s="4"/>
      <c r="Z135" s="4"/>
    </row>
    <row r="136" ht="9.75" customHeight="1">
      <c r="A136" s="66"/>
      <c r="B136" s="69"/>
      <c r="C136" s="69"/>
      <c r="D136" s="68"/>
      <c r="E136" s="68"/>
      <c r="F136" s="69"/>
      <c r="G136" s="69"/>
      <c r="H136" s="68"/>
      <c r="I136" s="68"/>
      <c r="J136" s="69"/>
      <c r="K136" s="68"/>
      <c r="L136" s="4"/>
      <c r="M136" s="4"/>
      <c r="N136" s="4"/>
      <c r="O136" s="4"/>
      <c r="P136" s="4"/>
      <c r="Q136" s="4"/>
      <c r="R136" s="4"/>
      <c r="S136" s="4"/>
      <c r="T136" s="4"/>
      <c r="U136" s="4"/>
      <c r="V136" s="4"/>
      <c r="W136" s="4"/>
      <c r="X136" s="4"/>
      <c r="Y136" s="4"/>
      <c r="Z136" s="4"/>
    </row>
    <row r="137" ht="9.75" customHeight="1">
      <c r="A137" s="66"/>
      <c r="B137" s="69"/>
      <c r="C137" s="69"/>
      <c r="D137" s="68"/>
      <c r="E137" s="68"/>
      <c r="F137" s="69"/>
      <c r="G137" s="69"/>
      <c r="H137" s="68"/>
      <c r="I137" s="68"/>
      <c r="J137" s="69"/>
      <c r="K137" s="68"/>
      <c r="L137" s="4"/>
      <c r="M137" s="4"/>
      <c r="N137" s="4"/>
      <c r="O137" s="4"/>
      <c r="P137" s="4"/>
      <c r="Q137" s="4"/>
      <c r="R137" s="4"/>
      <c r="S137" s="4"/>
      <c r="T137" s="4"/>
      <c r="U137" s="4"/>
      <c r="V137" s="4"/>
      <c r="W137" s="4"/>
      <c r="X137" s="4"/>
      <c r="Y137" s="4"/>
      <c r="Z137" s="4"/>
    </row>
    <row r="138" ht="9.75" customHeight="1">
      <c r="A138" s="66"/>
      <c r="B138" s="69"/>
      <c r="C138" s="69"/>
      <c r="D138" s="68"/>
      <c r="E138" s="68"/>
      <c r="F138" s="69"/>
      <c r="G138" s="69"/>
      <c r="H138" s="68"/>
      <c r="I138" s="68"/>
      <c r="J138" s="69"/>
      <c r="K138" s="68"/>
      <c r="L138" s="4"/>
      <c r="M138" s="4"/>
      <c r="N138" s="4"/>
      <c r="O138" s="4"/>
      <c r="P138" s="4"/>
      <c r="Q138" s="4"/>
      <c r="R138" s="4"/>
      <c r="S138" s="4"/>
      <c r="T138" s="4"/>
      <c r="U138" s="4"/>
      <c r="V138" s="4"/>
      <c r="W138" s="4"/>
      <c r="X138" s="4"/>
      <c r="Y138" s="4"/>
      <c r="Z138" s="4"/>
    </row>
    <row r="139" ht="9.75" customHeight="1">
      <c r="A139" s="66"/>
      <c r="B139" s="69"/>
      <c r="C139" s="69"/>
      <c r="D139" s="68"/>
      <c r="E139" s="68"/>
      <c r="F139" s="69"/>
      <c r="G139" s="69"/>
      <c r="H139" s="68"/>
      <c r="I139" s="68"/>
      <c r="J139" s="69"/>
      <c r="K139" s="68"/>
      <c r="L139" s="4"/>
      <c r="M139" s="4"/>
      <c r="N139" s="4"/>
      <c r="O139" s="4"/>
      <c r="P139" s="4"/>
      <c r="Q139" s="4"/>
      <c r="R139" s="4"/>
      <c r="S139" s="4"/>
      <c r="T139" s="4"/>
      <c r="U139" s="4"/>
      <c r="V139" s="4"/>
      <c r="W139" s="4"/>
      <c r="X139" s="4"/>
      <c r="Y139" s="4"/>
      <c r="Z139" s="4"/>
    </row>
    <row r="140" ht="9.75" customHeight="1">
      <c r="A140" s="66"/>
      <c r="B140" s="69"/>
      <c r="C140" s="69"/>
      <c r="D140" s="68"/>
      <c r="E140" s="68"/>
      <c r="F140" s="69"/>
      <c r="G140" s="69"/>
      <c r="H140" s="68"/>
      <c r="I140" s="68"/>
      <c r="J140" s="69"/>
      <c r="K140" s="68"/>
      <c r="L140" s="4"/>
      <c r="M140" s="4"/>
      <c r="N140" s="4"/>
      <c r="O140" s="4"/>
      <c r="P140" s="4"/>
      <c r="Q140" s="4"/>
      <c r="R140" s="4"/>
      <c r="S140" s="4"/>
      <c r="T140" s="4"/>
      <c r="U140" s="4"/>
      <c r="V140" s="4"/>
      <c r="W140" s="4"/>
      <c r="X140" s="4"/>
      <c r="Y140" s="4"/>
      <c r="Z140" s="4"/>
    </row>
    <row r="141" ht="9.75" customHeight="1">
      <c r="A141" s="66"/>
      <c r="B141" s="69"/>
      <c r="C141" s="69"/>
      <c r="D141" s="68"/>
      <c r="E141" s="68"/>
      <c r="F141" s="69"/>
      <c r="G141" s="69"/>
      <c r="H141" s="68"/>
      <c r="I141" s="68"/>
      <c r="J141" s="69"/>
      <c r="K141" s="68"/>
      <c r="L141" s="4"/>
      <c r="M141" s="4"/>
      <c r="N141" s="4"/>
      <c r="O141" s="4"/>
      <c r="P141" s="4"/>
      <c r="Q141" s="4"/>
      <c r="R141" s="4"/>
      <c r="S141" s="4"/>
      <c r="T141" s="4"/>
      <c r="U141" s="4"/>
      <c r="V141" s="4"/>
      <c r="W141" s="4"/>
      <c r="X141" s="4"/>
      <c r="Y141" s="4"/>
      <c r="Z141" s="4"/>
    </row>
    <row r="142" ht="9.75" customHeight="1">
      <c r="A142" s="66"/>
      <c r="B142" s="69"/>
      <c r="C142" s="69"/>
      <c r="D142" s="68"/>
      <c r="E142" s="68"/>
      <c r="F142" s="69"/>
      <c r="G142" s="69"/>
      <c r="H142" s="68"/>
      <c r="I142" s="68"/>
      <c r="J142" s="69"/>
      <c r="K142" s="68"/>
      <c r="L142" s="4"/>
      <c r="M142" s="4"/>
      <c r="N142" s="4"/>
      <c r="O142" s="4"/>
      <c r="P142" s="4"/>
      <c r="Q142" s="4"/>
      <c r="R142" s="4"/>
      <c r="S142" s="4"/>
      <c r="T142" s="4"/>
      <c r="U142" s="4"/>
      <c r="V142" s="4"/>
      <c r="W142" s="4"/>
      <c r="X142" s="4"/>
      <c r="Y142" s="4"/>
      <c r="Z142" s="4"/>
    </row>
    <row r="143" ht="9.75" customHeight="1">
      <c r="A143" s="66"/>
      <c r="B143" s="69"/>
      <c r="C143" s="69"/>
      <c r="D143" s="68"/>
      <c r="E143" s="68"/>
      <c r="F143" s="69"/>
      <c r="G143" s="69"/>
      <c r="H143" s="68"/>
      <c r="I143" s="68"/>
      <c r="J143" s="69"/>
      <c r="K143" s="68"/>
      <c r="L143" s="4"/>
      <c r="M143" s="4"/>
      <c r="N143" s="4"/>
      <c r="O143" s="4"/>
      <c r="P143" s="4"/>
      <c r="Q143" s="4"/>
      <c r="R143" s="4"/>
      <c r="S143" s="4"/>
      <c r="T143" s="4"/>
      <c r="U143" s="4"/>
      <c r="V143" s="4"/>
      <c r="W143" s="4"/>
      <c r="X143" s="4"/>
      <c r="Y143" s="4"/>
      <c r="Z143" s="4"/>
    </row>
    <row r="144" ht="9.75" customHeight="1">
      <c r="A144" s="66"/>
      <c r="B144" s="69"/>
      <c r="C144" s="69"/>
      <c r="D144" s="68"/>
      <c r="E144" s="68"/>
      <c r="F144" s="69"/>
      <c r="G144" s="69"/>
      <c r="H144" s="68"/>
      <c r="I144" s="68"/>
      <c r="J144" s="69"/>
      <c r="K144" s="68"/>
      <c r="L144" s="4"/>
      <c r="M144" s="4"/>
      <c r="N144" s="4"/>
      <c r="O144" s="4"/>
      <c r="P144" s="4"/>
      <c r="Q144" s="4"/>
      <c r="R144" s="4"/>
      <c r="S144" s="4"/>
      <c r="T144" s="4"/>
      <c r="U144" s="4"/>
      <c r="V144" s="4"/>
      <c r="W144" s="4"/>
      <c r="X144" s="4"/>
      <c r="Y144" s="4"/>
      <c r="Z144" s="4"/>
    </row>
    <row r="145" ht="9.75" customHeight="1">
      <c r="A145" s="66"/>
      <c r="B145" s="69"/>
      <c r="C145" s="69"/>
      <c r="D145" s="68"/>
      <c r="E145" s="68"/>
      <c r="F145" s="69"/>
      <c r="G145" s="69"/>
      <c r="H145" s="68"/>
      <c r="I145" s="68"/>
      <c r="J145" s="69"/>
      <c r="K145" s="68"/>
      <c r="L145" s="4"/>
      <c r="M145" s="4"/>
      <c r="N145" s="4"/>
      <c r="O145" s="4"/>
      <c r="P145" s="4"/>
      <c r="Q145" s="4"/>
      <c r="R145" s="4"/>
      <c r="S145" s="4"/>
      <c r="T145" s="4"/>
      <c r="U145" s="4"/>
      <c r="V145" s="4"/>
      <c r="W145" s="4"/>
      <c r="X145" s="4"/>
      <c r="Y145" s="4"/>
      <c r="Z145" s="4"/>
    </row>
    <row r="146" ht="9.75" customHeight="1">
      <c r="A146" s="66"/>
      <c r="B146" s="69"/>
      <c r="C146" s="69"/>
      <c r="D146" s="68"/>
      <c r="E146" s="68"/>
      <c r="F146" s="69"/>
      <c r="G146" s="69"/>
      <c r="H146" s="68"/>
      <c r="I146" s="68"/>
      <c r="J146" s="69"/>
      <c r="K146" s="68"/>
      <c r="L146" s="4"/>
      <c r="M146" s="4"/>
      <c r="N146" s="4"/>
      <c r="O146" s="4"/>
      <c r="P146" s="4"/>
      <c r="Q146" s="4"/>
      <c r="R146" s="4"/>
      <c r="S146" s="4"/>
      <c r="T146" s="4"/>
      <c r="U146" s="4"/>
      <c r="V146" s="4"/>
      <c r="W146" s="4"/>
      <c r="X146" s="4"/>
      <c r="Y146" s="4"/>
      <c r="Z146" s="4"/>
    </row>
    <row r="147" ht="9.75" customHeight="1">
      <c r="A147" s="66"/>
      <c r="B147" s="69"/>
      <c r="C147" s="69"/>
      <c r="D147" s="68"/>
      <c r="E147" s="68"/>
      <c r="F147" s="69"/>
      <c r="G147" s="69"/>
      <c r="H147" s="68"/>
      <c r="I147" s="68"/>
      <c r="J147" s="69"/>
      <c r="K147" s="68"/>
      <c r="L147" s="4"/>
      <c r="M147" s="4"/>
      <c r="N147" s="4"/>
      <c r="O147" s="4"/>
      <c r="P147" s="4"/>
      <c r="Q147" s="4"/>
      <c r="R147" s="4"/>
      <c r="S147" s="4"/>
      <c r="T147" s="4"/>
      <c r="U147" s="4"/>
      <c r="V147" s="4"/>
      <c r="W147" s="4"/>
      <c r="X147" s="4"/>
      <c r="Y147" s="4"/>
      <c r="Z147" s="4"/>
    </row>
    <row r="148" ht="9.75" customHeight="1">
      <c r="A148" s="66"/>
      <c r="B148" s="69"/>
      <c r="C148" s="69"/>
      <c r="D148" s="68"/>
      <c r="E148" s="68"/>
      <c r="F148" s="69"/>
      <c r="G148" s="69"/>
      <c r="H148" s="68"/>
      <c r="I148" s="68"/>
      <c r="J148" s="69"/>
      <c r="K148" s="68"/>
      <c r="L148" s="4"/>
      <c r="M148" s="4"/>
      <c r="N148" s="4"/>
      <c r="O148" s="4"/>
      <c r="P148" s="4"/>
      <c r="Q148" s="4"/>
      <c r="R148" s="4"/>
      <c r="S148" s="4"/>
      <c r="T148" s="4"/>
      <c r="U148" s="4"/>
      <c r="V148" s="4"/>
      <c r="W148" s="4"/>
      <c r="X148" s="4"/>
      <c r="Y148" s="4"/>
      <c r="Z148" s="4"/>
    </row>
    <row r="149" ht="9.75" customHeight="1">
      <c r="A149" s="66"/>
      <c r="B149" s="69"/>
      <c r="C149" s="69"/>
      <c r="D149" s="68"/>
      <c r="E149" s="68"/>
      <c r="F149" s="69"/>
      <c r="G149" s="69"/>
      <c r="H149" s="68"/>
      <c r="I149" s="68"/>
      <c r="J149" s="69"/>
      <c r="K149" s="68"/>
      <c r="L149" s="4"/>
      <c r="M149" s="4"/>
      <c r="N149" s="4"/>
      <c r="O149" s="4"/>
      <c r="P149" s="4"/>
      <c r="Q149" s="4"/>
      <c r="R149" s="4"/>
      <c r="S149" s="4"/>
      <c r="T149" s="4"/>
      <c r="U149" s="4"/>
      <c r="V149" s="4"/>
      <c r="W149" s="4"/>
      <c r="X149" s="4"/>
      <c r="Y149" s="4"/>
      <c r="Z149" s="4"/>
    </row>
    <row r="150" ht="9.75" customHeight="1">
      <c r="A150" s="66"/>
      <c r="B150" s="69"/>
      <c r="C150" s="69"/>
      <c r="D150" s="68"/>
      <c r="E150" s="68"/>
      <c r="F150" s="69"/>
      <c r="G150" s="69"/>
      <c r="H150" s="68"/>
      <c r="I150" s="68"/>
      <c r="J150" s="69"/>
      <c r="K150" s="68"/>
      <c r="L150" s="4"/>
      <c r="M150" s="4"/>
      <c r="N150" s="4"/>
      <c r="O150" s="4"/>
      <c r="P150" s="4"/>
      <c r="Q150" s="4"/>
      <c r="R150" s="4"/>
      <c r="S150" s="4"/>
      <c r="T150" s="4"/>
      <c r="U150" s="4"/>
      <c r="V150" s="4"/>
      <c r="W150" s="4"/>
      <c r="X150" s="4"/>
      <c r="Y150" s="4"/>
      <c r="Z150" s="4"/>
    </row>
    <row r="151" ht="9.75" customHeight="1">
      <c r="A151" s="66"/>
      <c r="B151" s="69"/>
      <c r="C151" s="69"/>
      <c r="D151" s="68"/>
      <c r="E151" s="68"/>
      <c r="F151" s="69"/>
      <c r="G151" s="69"/>
      <c r="H151" s="68"/>
      <c r="I151" s="68"/>
      <c r="J151" s="69"/>
      <c r="K151" s="68"/>
      <c r="L151" s="4"/>
      <c r="M151" s="4"/>
      <c r="N151" s="4"/>
      <c r="O151" s="4"/>
      <c r="P151" s="4"/>
      <c r="Q151" s="4"/>
      <c r="R151" s="4"/>
      <c r="S151" s="4"/>
      <c r="T151" s="4"/>
      <c r="U151" s="4"/>
      <c r="V151" s="4"/>
      <c r="W151" s="4"/>
      <c r="X151" s="4"/>
      <c r="Y151" s="4"/>
      <c r="Z151" s="4"/>
    </row>
    <row r="152" ht="9.75" customHeight="1">
      <c r="A152" s="66"/>
      <c r="B152" s="69"/>
      <c r="C152" s="69"/>
      <c r="D152" s="68"/>
      <c r="E152" s="68"/>
      <c r="F152" s="69"/>
      <c r="G152" s="69"/>
      <c r="H152" s="68"/>
      <c r="I152" s="68"/>
      <c r="J152" s="69"/>
      <c r="K152" s="68"/>
      <c r="L152" s="4"/>
      <c r="M152" s="4"/>
      <c r="N152" s="4"/>
      <c r="O152" s="4"/>
      <c r="P152" s="4"/>
      <c r="Q152" s="4"/>
      <c r="R152" s="4"/>
      <c r="S152" s="4"/>
      <c r="T152" s="4"/>
      <c r="U152" s="4"/>
      <c r="V152" s="4"/>
      <c r="W152" s="4"/>
      <c r="X152" s="4"/>
      <c r="Y152" s="4"/>
      <c r="Z152" s="4"/>
    </row>
    <row r="153" ht="9.75" customHeight="1">
      <c r="A153" s="66"/>
      <c r="B153" s="69"/>
      <c r="C153" s="69"/>
      <c r="D153" s="68"/>
      <c r="E153" s="68"/>
      <c r="F153" s="69"/>
      <c r="G153" s="69"/>
      <c r="H153" s="68"/>
      <c r="I153" s="68"/>
      <c r="J153" s="69"/>
      <c r="K153" s="68"/>
      <c r="L153" s="4"/>
      <c r="M153" s="4"/>
      <c r="N153" s="4"/>
      <c r="O153" s="4"/>
      <c r="P153" s="4"/>
      <c r="Q153" s="4"/>
      <c r="R153" s="4"/>
      <c r="S153" s="4"/>
      <c r="T153" s="4"/>
      <c r="U153" s="4"/>
      <c r="V153" s="4"/>
      <c r="W153" s="4"/>
      <c r="X153" s="4"/>
      <c r="Y153" s="4"/>
      <c r="Z153" s="4"/>
    </row>
    <row r="154" ht="9.75" customHeight="1">
      <c r="A154" s="66"/>
      <c r="B154" s="69"/>
      <c r="C154" s="69"/>
      <c r="D154" s="68"/>
      <c r="E154" s="68"/>
      <c r="F154" s="69"/>
      <c r="G154" s="69"/>
      <c r="H154" s="68"/>
      <c r="I154" s="68"/>
      <c r="J154" s="69"/>
      <c r="K154" s="68"/>
      <c r="L154" s="4"/>
      <c r="M154" s="4"/>
      <c r="N154" s="4"/>
      <c r="O154" s="4"/>
      <c r="P154" s="4"/>
      <c r="Q154" s="4"/>
      <c r="R154" s="4"/>
      <c r="S154" s="4"/>
      <c r="T154" s="4"/>
      <c r="U154" s="4"/>
      <c r="V154" s="4"/>
      <c r="W154" s="4"/>
      <c r="X154" s="4"/>
      <c r="Y154" s="4"/>
      <c r="Z154" s="4"/>
    </row>
    <row r="155" ht="9.75" customHeight="1">
      <c r="A155" s="66"/>
      <c r="B155" s="69"/>
      <c r="C155" s="69"/>
      <c r="D155" s="68"/>
      <c r="E155" s="68"/>
      <c r="F155" s="69"/>
      <c r="G155" s="69"/>
      <c r="H155" s="68"/>
      <c r="I155" s="68"/>
      <c r="J155" s="69"/>
      <c r="K155" s="68"/>
      <c r="L155" s="4"/>
      <c r="M155" s="4"/>
      <c r="N155" s="4"/>
      <c r="O155" s="4"/>
      <c r="P155" s="4"/>
      <c r="Q155" s="4"/>
      <c r="R155" s="4"/>
      <c r="S155" s="4"/>
      <c r="T155" s="4"/>
      <c r="U155" s="4"/>
      <c r="V155" s="4"/>
      <c r="W155" s="4"/>
      <c r="X155" s="4"/>
      <c r="Y155" s="4"/>
      <c r="Z155" s="4"/>
    </row>
    <row r="156" ht="9.75" customHeight="1">
      <c r="A156" s="66"/>
      <c r="B156" s="69"/>
      <c r="C156" s="69"/>
      <c r="D156" s="68"/>
      <c r="E156" s="68"/>
      <c r="F156" s="69"/>
      <c r="G156" s="69"/>
      <c r="H156" s="68"/>
      <c r="I156" s="68"/>
      <c r="J156" s="69"/>
      <c r="K156" s="68"/>
      <c r="L156" s="4"/>
      <c r="M156" s="4"/>
      <c r="N156" s="4"/>
      <c r="O156" s="4"/>
      <c r="P156" s="4"/>
      <c r="Q156" s="4"/>
      <c r="R156" s="4"/>
      <c r="S156" s="4"/>
      <c r="T156" s="4"/>
      <c r="U156" s="4"/>
      <c r="V156" s="4"/>
      <c r="W156" s="4"/>
      <c r="X156" s="4"/>
      <c r="Y156" s="4"/>
      <c r="Z156" s="4"/>
    </row>
    <row r="157" ht="9.75" customHeight="1">
      <c r="A157" s="66"/>
      <c r="B157" s="69"/>
      <c r="C157" s="69"/>
      <c r="D157" s="68"/>
      <c r="E157" s="68"/>
      <c r="F157" s="69"/>
      <c r="G157" s="69"/>
      <c r="H157" s="68"/>
      <c r="I157" s="68"/>
      <c r="J157" s="69"/>
      <c r="K157" s="68"/>
      <c r="L157" s="4"/>
      <c r="M157" s="4"/>
      <c r="N157" s="4"/>
      <c r="O157" s="4"/>
      <c r="P157" s="4"/>
      <c r="Q157" s="4"/>
      <c r="R157" s="4"/>
      <c r="S157" s="4"/>
      <c r="T157" s="4"/>
      <c r="U157" s="4"/>
      <c r="V157" s="4"/>
      <c r="W157" s="4"/>
      <c r="X157" s="4"/>
      <c r="Y157" s="4"/>
      <c r="Z157" s="4"/>
    </row>
    <row r="158" ht="9.75" customHeight="1">
      <c r="A158" s="66"/>
      <c r="B158" s="69"/>
      <c r="C158" s="69"/>
      <c r="D158" s="68"/>
      <c r="E158" s="68"/>
      <c r="F158" s="69"/>
      <c r="G158" s="69"/>
      <c r="H158" s="68"/>
      <c r="I158" s="68"/>
      <c r="J158" s="69"/>
      <c r="K158" s="68"/>
      <c r="L158" s="4"/>
      <c r="M158" s="4"/>
      <c r="N158" s="4"/>
      <c r="O158" s="4"/>
      <c r="P158" s="4"/>
      <c r="Q158" s="4"/>
      <c r="R158" s="4"/>
      <c r="S158" s="4"/>
      <c r="T158" s="4"/>
      <c r="U158" s="4"/>
      <c r="V158" s="4"/>
      <c r="W158" s="4"/>
      <c r="X158" s="4"/>
      <c r="Y158" s="4"/>
      <c r="Z158" s="4"/>
    </row>
    <row r="159" ht="9.75" customHeight="1">
      <c r="A159" s="66"/>
      <c r="B159" s="69"/>
      <c r="C159" s="69"/>
      <c r="D159" s="68"/>
      <c r="E159" s="68"/>
      <c r="F159" s="69"/>
      <c r="G159" s="69"/>
      <c r="H159" s="68"/>
      <c r="I159" s="68"/>
      <c r="J159" s="69"/>
      <c r="K159" s="68"/>
      <c r="L159" s="4"/>
      <c r="M159" s="4"/>
      <c r="N159" s="4"/>
      <c r="O159" s="4"/>
      <c r="P159" s="4"/>
      <c r="Q159" s="4"/>
      <c r="R159" s="4"/>
      <c r="S159" s="4"/>
      <c r="T159" s="4"/>
      <c r="U159" s="4"/>
      <c r="V159" s="4"/>
      <c r="W159" s="4"/>
      <c r="X159" s="4"/>
      <c r="Y159" s="4"/>
      <c r="Z159" s="4"/>
    </row>
    <row r="160" ht="9.75" customHeight="1">
      <c r="A160" s="66"/>
      <c r="B160" s="69"/>
      <c r="C160" s="69"/>
      <c r="D160" s="68"/>
      <c r="E160" s="68"/>
      <c r="F160" s="69"/>
      <c r="G160" s="69"/>
      <c r="H160" s="68"/>
      <c r="I160" s="68"/>
      <c r="J160" s="69"/>
      <c r="K160" s="68"/>
      <c r="L160" s="4"/>
      <c r="M160" s="4"/>
      <c r="N160" s="4"/>
      <c r="O160" s="4"/>
      <c r="P160" s="4"/>
      <c r="Q160" s="4"/>
      <c r="R160" s="4"/>
      <c r="S160" s="4"/>
      <c r="T160" s="4"/>
      <c r="U160" s="4"/>
      <c r="V160" s="4"/>
      <c r="W160" s="4"/>
      <c r="X160" s="4"/>
      <c r="Y160" s="4"/>
      <c r="Z160" s="4"/>
    </row>
    <row r="161" ht="9.75" customHeight="1">
      <c r="A161" s="66"/>
      <c r="B161" s="69"/>
      <c r="C161" s="69"/>
      <c r="D161" s="68"/>
      <c r="E161" s="68"/>
      <c r="F161" s="69"/>
      <c r="G161" s="69"/>
      <c r="H161" s="68"/>
      <c r="I161" s="68"/>
      <c r="J161" s="69"/>
      <c r="K161" s="68"/>
      <c r="L161" s="4"/>
      <c r="M161" s="4"/>
      <c r="N161" s="4"/>
      <c r="O161" s="4"/>
      <c r="P161" s="4"/>
      <c r="Q161" s="4"/>
      <c r="R161" s="4"/>
      <c r="S161" s="4"/>
      <c r="T161" s="4"/>
      <c r="U161" s="4"/>
      <c r="V161" s="4"/>
      <c r="W161" s="4"/>
      <c r="X161" s="4"/>
      <c r="Y161" s="4"/>
      <c r="Z161" s="4"/>
    </row>
    <row r="162" ht="9.75" customHeight="1">
      <c r="A162" s="66"/>
      <c r="B162" s="69"/>
      <c r="C162" s="69"/>
      <c r="D162" s="68"/>
      <c r="E162" s="68"/>
      <c r="F162" s="69"/>
      <c r="G162" s="69"/>
      <c r="H162" s="68"/>
      <c r="I162" s="68"/>
      <c r="J162" s="69"/>
      <c r="K162" s="68"/>
      <c r="L162" s="4"/>
      <c r="M162" s="4"/>
      <c r="N162" s="4"/>
      <c r="O162" s="4"/>
      <c r="P162" s="4"/>
      <c r="Q162" s="4"/>
      <c r="R162" s="4"/>
      <c r="S162" s="4"/>
      <c r="T162" s="4"/>
      <c r="U162" s="4"/>
      <c r="V162" s="4"/>
      <c r="W162" s="4"/>
      <c r="X162" s="4"/>
      <c r="Y162" s="4"/>
      <c r="Z162" s="4"/>
    </row>
    <row r="163" ht="9.75" customHeight="1">
      <c r="A163" s="66"/>
      <c r="B163" s="69"/>
      <c r="C163" s="69"/>
      <c r="D163" s="68"/>
      <c r="E163" s="68"/>
      <c r="F163" s="69"/>
      <c r="G163" s="69"/>
      <c r="H163" s="68"/>
      <c r="I163" s="68"/>
      <c r="J163" s="69"/>
      <c r="K163" s="68"/>
      <c r="L163" s="4"/>
      <c r="M163" s="4"/>
      <c r="N163" s="4"/>
      <c r="O163" s="4"/>
      <c r="P163" s="4"/>
      <c r="Q163" s="4"/>
      <c r="R163" s="4"/>
      <c r="S163" s="4"/>
      <c r="T163" s="4"/>
      <c r="U163" s="4"/>
      <c r="V163" s="4"/>
      <c r="W163" s="4"/>
      <c r="X163" s="4"/>
      <c r="Y163" s="4"/>
      <c r="Z163" s="4"/>
    </row>
    <row r="164" ht="9.75" customHeight="1">
      <c r="A164" s="66"/>
      <c r="B164" s="69"/>
      <c r="C164" s="69"/>
      <c r="D164" s="68"/>
      <c r="E164" s="68"/>
      <c r="F164" s="69"/>
      <c r="G164" s="69"/>
      <c r="H164" s="68"/>
      <c r="I164" s="68"/>
      <c r="J164" s="69"/>
      <c r="K164" s="68"/>
      <c r="L164" s="4"/>
      <c r="M164" s="4"/>
      <c r="N164" s="4"/>
      <c r="O164" s="4"/>
      <c r="P164" s="4"/>
      <c r="Q164" s="4"/>
      <c r="R164" s="4"/>
      <c r="S164" s="4"/>
      <c r="T164" s="4"/>
      <c r="U164" s="4"/>
      <c r="V164" s="4"/>
      <c r="W164" s="4"/>
      <c r="X164" s="4"/>
      <c r="Y164" s="4"/>
      <c r="Z164" s="4"/>
    </row>
    <row r="165" ht="9.75" customHeight="1">
      <c r="A165" s="66"/>
      <c r="B165" s="69"/>
      <c r="C165" s="69"/>
      <c r="D165" s="68"/>
      <c r="E165" s="68"/>
      <c r="F165" s="69"/>
      <c r="G165" s="69"/>
      <c r="H165" s="68"/>
      <c r="I165" s="68"/>
      <c r="J165" s="69"/>
      <c r="K165" s="68"/>
      <c r="L165" s="4"/>
      <c r="M165" s="4"/>
      <c r="N165" s="4"/>
      <c r="O165" s="4"/>
      <c r="P165" s="4"/>
      <c r="Q165" s="4"/>
      <c r="R165" s="4"/>
      <c r="S165" s="4"/>
      <c r="T165" s="4"/>
      <c r="U165" s="4"/>
      <c r="V165" s="4"/>
      <c r="W165" s="4"/>
      <c r="X165" s="4"/>
      <c r="Y165" s="4"/>
      <c r="Z165" s="4"/>
    </row>
    <row r="166" ht="9.75" customHeight="1">
      <c r="A166" s="66"/>
      <c r="B166" s="69"/>
      <c r="C166" s="69"/>
      <c r="D166" s="68"/>
      <c r="E166" s="68"/>
      <c r="F166" s="69"/>
      <c r="G166" s="69"/>
      <c r="H166" s="68"/>
      <c r="I166" s="68"/>
      <c r="J166" s="69"/>
      <c r="K166" s="68"/>
      <c r="L166" s="4"/>
      <c r="M166" s="4"/>
      <c r="N166" s="4"/>
      <c r="O166" s="4"/>
      <c r="P166" s="4"/>
      <c r="Q166" s="4"/>
      <c r="R166" s="4"/>
      <c r="S166" s="4"/>
      <c r="T166" s="4"/>
      <c r="U166" s="4"/>
      <c r="V166" s="4"/>
      <c r="W166" s="4"/>
      <c r="X166" s="4"/>
      <c r="Y166" s="4"/>
      <c r="Z166" s="4"/>
    </row>
    <row r="167" ht="9.75" customHeight="1">
      <c r="A167" s="66"/>
      <c r="B167" s="69"/>
      <c r="C167" s="69"/>
      <c r="D167" s="68"/>
      <c r="E167" s="68"/>
      <c r="F167" s="69"/>
      <c r="G167" s="69"/>
      <c r="H167" s="68"/>
      <c r="I167" s="68"/>
      <c r="J167" s="69"/>
      <c r="K167" s="68"/>
      <c r="L167" s="4"/>
      <c r="M167" s="4"/>
      <c r="N167" s="4"/>
      <c r="O167" s="4"/>
      <c r="P167" s="4"/>
      <c r="Q167" s="4"/>
      <c r="R167" s="4"/>
      <c r="S167" s="4"/>
      <c r="T167" s="4"/>
      <c r="U167" s="4"/>
      <c r="V167" s="4"/>
      <c r="W167" s="4"/>
      <c r="X167" s="4"/>
      <c r="Y167" s="4"/>
      <c r="Z167" s="4"/>
    </row>
    <row r="168" ht="9.75" customHeight="1">
      <c r="A168" s="66"/>
      <c r="B168" s="69"/>
      <c r="C168" s="69"/>
      <c r="D168" s="68"/>
      <c r="E168" s="68"/>
      <c r="F168" s="69"/>
      <c r="G168" s="69"/>
      <c r="H168" s="68"/>
      <c r="I168" s="68"/>
      <c r="J168" s="69"/>
      <c r="K168" s="68"/>
      <c r="L168" s="4"/>
      <c r="M168" s="4"/>
      <c r="N168" s="4"/>
      <c r="O168" s="4"/>
      <c r="P168" s="4"/>
      <c r="Q168" s="4"/>
      <c r="R168" s="4"/>
      <c r="S168" s="4"/>
      <c r="T168" s="4"/>
      <c r="U168" s="4"/>
      <c r="V168" s="4"/>
      <c r="W168" s="4"/>
      <c r="X168" s="4"/>
      <c r="Y168" s="4"/>
      <c r="Z168" s="4"/>
    </row>
    <row r="169" ht="9.75" customHeight="1">
      <c r="A169" s="66"/>
      <c r="B169" s="69"/>
      <c r="C169" s="69"/>
      <c r="D169" s="68"/>
      <c r="E169" s="68"/>
      <c r="F169" s="69"/>
      <c r="G169" s="69"/>
      <c r="H169" s="68"/>
      <c r="I169" s="68"/>
      <c r="J169" s="69"/>
      <c r="K169" s="68"/>
      <c r="L169" s="4"/>
      <c r="M169" s="4"/>
      <c r="N169" s="4"/>
      <c r="O169" s="4"/>
      <c r="P169" s="4"/>
      <c r="Q169" s="4"/>
      <c r="R169" s="4"/>
      <c r="S169" s="4"/>
      <c r="T169" s="4"/>
      <c r="U169" s="4"/>
      <c r="V169" s="4"/>
      <c r="W169" s="4"/>
      <c r="X169" s="4"/>
      <c r="Y169" s="4"/>
      <c r="Z169" s="4"/>
    </row>
    <row r="170" ht="9.75" customHeight="1">
      <c r="A170" s="66"/>
      <c r="B170" s="69"/>
      <c r="C170" s="69"/>
      <c r="D170" s="68"/>
      <c r="E170" s="68"/>
      <c r="F170" s="69"/>
      <c r="G170" s="69"/>
      <c r="H170" s="68"/>
      <c r="I170" s="68"/>
      <c r="J170" s="69"/>
      <c r="K170" s="68"/>
      <c r="L170" s="4"/>
      <c r="M170" s="4"/>
      <c r="N170" s="4"/>
      <c r="O170" s="4"/>
      <c r="P170" s="4"/>
      <c r="Q170" s="4"/>
      <c r="R170" s="4"/>
      <c r="S170" s="4"/>
      <c r="T170" s="4"/>
      <c r="U170" s="4"/>
      <c r="V170" s="4"/>
      <c r="W170" s="4"/>
      <c r="X170" s="4"/>
      <c r="Y170" s="4"/>
      <c r="Z170" s="4"/>
    </row>
    <row r="171" ht="9.75" customHeight="1">
      <c r="A171" s="66"/>
      <c r="B171" s="69"/>
      <c r="C171" s="69"/>
      <c r="D171" s="68"/>
      <c r="E171" s="68"/>
      <c r="F171" s="69"/>
      <c r="G171" s="69"/>
      <c r="H171" s="68"/>
      <c r="I171" s="68"/>
      <c r="J171" s="69"/>
      <c r="K171" s="68"/>
      <c r="L171" s="4"/>
      <c r="M171" s="4"/>
      <c r="N171" s="4"/>
      <c r="O171" s="4"/>
      <c r="P171" s="4"/>
      <c r="Q171" s="4"/>
      <c r="R171" s="4"/>
      <c r="S171" s="4"/>
      <c r="T171" s="4"/>
      <c r="U171" s="4"/>
      <c r="V171" s="4"/>
      <c r="W171" s="4"/>
      <c r="X171" s="4"/>
      <c r="Y171" s="4"/>
      <c r="Z171" s="4"/>
    </row>
    <row r="172" ht="9.75" customHeight="1">
      <c r="A172" s="66"/>
      <c r="B172" s="69"/>
      <c r="C172" s="69"/>
      <c r="D172" s="68"/>
      <c r="E172" s="68"/>
      <c r="F172" s="69"/>
      <c r="G172" s="69"/>
      <c r="H172" s="68"/>
      <c r="I172" s="68"/>
      <c r="J172" s="69"/>
      <c r="K172" s="68"/>
      <c r="L172" s="4"/>
      <c r="M172" s="4"/>
      <c r="N172" s="4"/>
      <c r="O172" s="4"/>
      <c r="P172" s="4"/>
      <c r="Q172" s="4"/>
      <c r="R172" s="4"/>
      <c r="S172" s="4"/>
      <c r="T172" s="4"/>
      <c r="U172" s="4"/>
      <c r="V172" s="4"/>
      <c r="W172" s="4"/>
      <c r="X172" s="4"/>
      <c r="Y172" s="4"/>
      <c r="Z172" s="4"/>
    </row>
    <row r="173" ht="9.75" customHeight="1">
      <c r="A173" s="66"/>
      <c r="B173" s="69"/>
      <c r="C173" s="69"/>
      <c r="D173" s="68"/>
      <c r="E173" s="68"/>
      <c r="F173" s="69"/>
      <c r="G173" s="69"/>
      <c r="H173" s="68"/>
      <c r="I173" s="68"/>
      <c r="J173" s="69"/>
      <c r="K173" s="68"/>
      <c r="L173" s="4"/>
      <c r="M173" s="4"/>
      <c r="N173" s="4"/>
      <c r="O173" s="4"/>
      <c r="P173" s="4"/>
      <c r="Q173" s="4"/>
      <c r="R173" s="4"/>
      <c r="S173" s="4"/>
      <c r="T173" s="4"/>
      <c r="U173" s="4"/>
      <c r="V173" s="4"/>
      <c r="W173" s="4"/>
      <c r="X173" s="4"/>
      <c r="Y173" s="4"/>
      <c r="Z173" s="4"/>
    </row>
    <row r="174" ht="9.75" customHeight="1">
      <c r="A174" s="66"/>
      <c r="B174" s="69"/>
      <c r="C174" s="69"/>
      <c r="D174" s="68"/>
      <c r="E174" s="68"/>
      <c r="F174" s="69"/>
      <c r="G174" s="69"/>
      <c r="H174" s="68"/>
      <c r="I174" s="68"/>
      <c r="J174" s="69"/>
      <c r="K174" s="68"/>
      <c r="L174" s="4"/>
      <c r="M174" s="4"/>
      <c r="N174" s="4"/>
      <c r="O174" s="4"/>
      <c r="P174" s="4"/>
      <c r="Q174" s="4"/>
      <c r="R174" s="4"/>
      <c r="S174" s="4"/>
      <c r="T174" s="4"/>
      <c r="U174" s="4"/>
      <c r="V174" s="4"/>
      <c r="W174" s="4"/>
      <c r="X174" s="4"/>
      <c r="Y174" s="4"/>
      <c r="Z174" s="4"/>
    </row>
    <row r="175" ht="9.75" customHeight="1">
      <c r="A175" s="66"/>
      <c r="B175" s="69"/>
      <c r="C175" s="69"/>
      <c r="D175" s="68"/>
      <c r="E175" s="68"/>
      <c r="F175" s="69"/>
      <c r="G175" s="69"/>
      <c r="H175" s="68"/>
      <c r="I175" s="68"/>
      <c r="J175" s="69"/>
      <c r="K175" s="68"/>
      <c r="L175" s="4"/>
      <c r="M175" s="4"/>
      <c r="N175" s="4"/>
      <c r="O175" s="4"/>
      <c r="P175" s="4"/>
      <c r="Q175" s="4"/>
      <c r="R175" s="4"/>
      <c r="S175" s="4"/>
      <c r="T175" s="4"/>
      <c r="U175" s="4"/>
      <c r="V175" s="4"/>
      <c r="W175" s="4"/>
      <c r="X175" s="4"/>
      <c r="Y175" s="4"/>
      <c r="Z175" s="4"/>
    </row>
    <row r="176" ht="9.75" customHeight="1">
      <c r="A176" s="66"/>
      <c r="B176" s="69"/>
      <c r="C176" s="69"/>
      <c r="D176" s="68"/>
      <c r="E176" s="68"/>
      <c r="F176" s="69"/>
      <c r="G176" s="69"/>
      <c r="H176" s="68"/>
      <c r="I176" s="68"/>
      <c r="J176" s="69"/>
      <c r="K176" s="68"/>
      <c r="L176" s="4"/>
      <c r="M176" s="4"/>
      <c r="N176" s="4"/>
      <c r="O176" s="4"/>
      <c r="P176" s="4"/>
      <c r="Q176" s="4"/>
      <c r="R176" s="4"/>
      <c r="S176" s="4"/>
      <c r="T176" s="4"/>
      <c r="U176" s="4"/>
      <c r="V176" s="4"/>
      <c r="W176" s="4"/>
      <c r="X176" s="4"/>
      <c r="Y176" s="4"/>
      <c r="Z176" s="4"/>
    </row>
    <row r="177" ht="9.75" customHeight="1">
      <c r="A177" s="66"/>
      <c r="B177" s="69"/>
      <c r="C177" s="69"/>
      <c r="D177" s="68"/>
      <c r="E177" s="68"/>
      <c r="F177" s="69"/>
      <c r="G177" s="69"/>
      <c r="H177" s="68"/>
      <c r="I177" s="68"/>
      <c r="J177" s="69"/>
      <c r="K177" s="68"/>
      <c r="L177" s="4"/>
      <c r="M177" s="4"/>
      <c r="N177" s="4"/>
      <c r="O177" s="4"/>
      <c r="P177" s="4"/>
      <c r="Q177" s="4"/>
      <c r="R177" s="4"/>
      <c r="S177" s="4"/>
      <c r="T177" s="4"/>
      <c r="U177" s="4"/>
      <c r="V177" s="4"/>
      <c r="W177" s="4"/>
      <c r="X177" s="4"/>
      <c r="Y177" s="4"/>
      <c r="Z177" s="4"/>
    </row>
    <row r="178" ht="9.75" customHeight="1">
      <c r="A178" s="66"/>
      <c r="B178" s="69"/>
      <c r="C178" s="69"/>
      <c r="D178" s="68"/>
      <c r="E178" s="68"/>
      <c r="F178" s="69"/>
      <c r="G178" s="69"/>
      <c r="H178" s="68"/>
      <c r="I178" s="68"/>
      <c r="J178" s="69"/>
      <c r="K178" s="68"/>
      <c r="L178" s="4"/>
      <c r="M178" s="4"/>
      <c r="N178" s="4"/>
      <c r="O178" s="4"/>
      <c r="P178" s="4"/>
      <c r="Q178" s="4"/>
      <c r="R178" s="4"/>
      <c r="S178" s="4"/>
      <c r="T178" s="4"/>
      <c r="U178" s="4"/>
      <c r="V178" s="4"/>
      <c r="W178" s="4"/>
      <c r="X178" s="4"/>
      <c r="Y178" s="4"/>
      <c r="Z178" s="4"/>
    </row>
    <row r="179" ht="9.75" customHeight="1">
      <c r="A179" s="66"/>
      <c r="B179" s="69"/>
      <c r="C179" s="69"/>
      <c r="D179" s="68"/>
      <c r="E179" s="68"/>
      <c r="F179" s="69"/>
      <c r="G179" s="69"/>
      <c r="H179" s="68"/>
      <c r="I179" s="68"/>
      <c r="J179" s="69"/>
      <c r="K179" s="68"/>
      <c r="L179" s="4"/>
      <c r="M179" s="4"/>
      <c r="N179" s="4"/>
      <c r="O179" s="4"/>
      <c r="P179" s="4"/>
      <c r="Q179" s="4"/>
      <c r="R179" s="4"/>
      <c r="S179" s="4"/>
      <c r="T179" s="4"/>
      <c r="U179" s="4"/>
      <c r="V179" s="4"/>
      <c r="W179" s="4"/>
      <c r="X179" s="4"/>
      <c r="Y179" s="4"/>
      <c r="Z179" s="4"/>
    </row>
    <row r="180" ht="9.75" customHeight="1">
      <c r="A180" s="66"/>
      <c r="B180" s="69"/>
      <c r="C180" s="69"/>
      <c r="D180" s="68"/>
      <c r="E180" s="68"/>
      <c r="F180" s="69"/>
      <c r="G180" s="69"/>
      <c r="H180" s="68"/>
      <c r="I180" s="68"/>
      <c r="J180" s="69"/>
      <c r="K180" s="68"/>
      <c r="L180" s="4"/>
      <c r="M180" s="4"/>
      <c r="N180" s="4"/>
      <c r="O180" s="4"/>
      <c r="P180" s="4"/>
      <c r="Q180" s="4"/>
      <c r="R180" s="4"/>
      <c r="S180" s="4"/>
      <c r="T180" s="4"/>
      <c r="U180" s="4"/>
      <c r="V180" s="4"/>
      <c r="W180" s="4"/>
      <c r="X180" s="4"/>
      <c r="Y180" s="4"/>
      <c r="Z180" s="4"/>
    </row>
    <row r="181" ht="9.75" customHeight="1">
      <c r="A181" s="66"/>
      <c r="B181" s="69"/>
      <c r="C181" s="69"/>
      <c r="D181" s="68"/>
      <c r="E181" s="68"/>
      <c r="F181" s="69"/>
      <c r="G181" s="69"/>
      <c r="H181" s="68"/>
      <c r="I181" s="68"/>
      <c r="J181" s="69"/>
      <c r="K181" s="68"/>
      <c r="L181" s="4"/>
      <c r="M181" s="4"/>
      <c r="N181" s="4"/>
      <c r="O181" s="4"/>
      <c r="P181" s="4"/>
      <c r="Q181" s="4"/>
      <c r="R181" s="4"/>
      <c r="S181" s="4"/>
      <c r="T181" s="4"/>
      <c r="U181" s="4"/>
      <c r="V181" s="4"/>
      <c r="W181" s="4"/>
      <c r="X181" s="4"/>
      <c r="Y181" s="4"/>
      <c r="Z181" s="4"/>
    </row>
    <row r="182" ht="9.75" customHeight="1">
      <c r="A182" s="66"/>
      <c r="B182" s="69"/>
      <c r="C182" s="69"/>
      <c r="D182" s="68"/>
      <c r="E182" s="68"/>
      <c r="F182" s="69"/>
      <c r="G182" s="69"/>
      <c r="H182" s="68"/>
      <c r="I182" s="68"/>
      <c r="J182" s="69"/>
      <c r="K182" s="68"/>
      <c r="L182" s="4"/>
      <c r="M182" s="4"/>
      <c r="N182" s="4"/>
      <c r="O182" s="4"/>
      <c r="P182" s="4"/>
      <c r="Q182" s="4"/>
      <c r="R182" s="4"/>
      <c r="S182" s="4"/>
      <c r="T182" s="4"/>
      <c r="U182" s="4"/>
      <c r="V182" s="4"/>
      <c r="W182" s="4"/>
      <c r="X182" s="4"/>
      <c r="Y182" s="4"/>
      <c r="Z182" s="4"/>
    </row>
    <row r="183" ht="9.75" customHeight="1">
      <c r="A183" s="66"/>
      <c r="B183" s="69"/>
      <c r="C183" s="69"/>
      <c r="D183" s="68"/>
      <c r="E183" s="68"/>
      <c r="F183" s="69"/>
      <c r="G183" s="69"/>
      <c r="H183" s="68"/>
      <c r="I183" s="68"/>
      <c r="J183" s="69"/>
      <c r="K183" s="68"/>
      <c r="L183" s="4"/>
      <c r="M183" s="4"/>
      <c r="N183" s="4"/>
      <c r="O183" s="4"/>
      <c r="P183" s="4"/>
      <c r="Q183" s="4"/>
      <c r="R183" s="4"/>
      <c r="S183" s="4"/>
      <c r="T183" s="4"/>
      <c r="U183" s="4"/>
      <c r="V183" s="4"/>
      <c r="W183" s="4"/>
      <c r="X183" s="4"/>
      <c r="Y183" s="4"/>
      <c r="Z183" s="4"/>
    </row>
    <row r="184" ht="9.75" customHeight="1">
      <c r="A184" s="66"/>
      <c r="B184" s="69"/>
      <c r="C184" s="69"/>
      <c r="D184" s="68"/>
      <c r="E184" s="68"/>
      <c r="F184" s="69"/>
      <c r="G184" s="69"/>
      <c r="H184" s="68"/>
      <c r="I184" s="68"/>
      <c r="J184" s="69"/>
      <c r="K184" s="68"/>
      <c r="L184" s="4"/>
      <c r="M184" s="4"/>
      <c r="N184" s="4"/>
      <c r="O184" s="4"/>
      <c r="P184" s="4"/>
      <c r="Q184" s="4"/>
      <c r="R184" s="4"/>
      <c r="S184" s="4"/>
      <c r="T184" s="4"/>
      <c r="U184" s="4"/>
      <c r="V184" s="4"/>
      <c r="W184" s="4"/>
      <c r="X184" s="4"/>
      <c r="Y184" s="4"/>
      <c r="Z184" s="4"/>
    </row>
    <row r="185" ht="9.75" customHeight="1">
      <c r="A185" s="66"/>
      <c r="B185" s="69"/>
      <c r="C185" s="69"/>
      <c r="D185" s="68"/>
      <c r="E185" s="68"/>
      <c r="F185" s="69"/>
      <c r="G185" s="69"/>
      <c r="H185" s="68"/>
      <c r="I185" s="68"/>
      <c r="J185" s="69"/>
      <c r="K185" s="68"/>
      <c r="L185" s="4"/>
      <c r="M185" s="4"/>
      <c r="N185" s="4"/>
      <c r="O185" s="4"/>
      <c r="P185" s="4"/>
      <c r="Q185" s="4"/>
      <c r="R185" s="4"/>
      <c r="S185" s="4"/>
      <c r="T185" s="4"/>
      <c r="U185" s="4"/>
      <c r="V185" s="4"/>
      <c r="W185" s="4"/>
      <c r="X185" s="4"/>
      <c r="Y185" s="4"/>
      <c r="Z185" s="4"/>
    </row>
    <row r="186" ht="9.75" customHeight="1">
      <c r="A186" s="66"/>
      <c r="B186" s="69"/>
      <c r="C186" s="69"/>
      <c r="D186" s="68"/>
      <c r="E186" s="68"/>
      <c r="F186" s="69"/>
      <c r="G186" s="69"/>
      <c r="H186" s="68"/>
      <c r="I186" s="68"/>
      <c r="J186" s="69"/>
      <c r="K186" s="68"/>
      <c r="L186" s="4"/>
      <c r="M186" s="4"/>
      <c r="N186" s="4"/>
      <c r="O186" s="4"/>
      <c r="P186" s="4"/>
      <c r="Q186" s="4"/>
      <c r="R186" s="4"/>
      <c r="S186" s="4"/>
      <c r="T186" s="4"/>
      <c r="U186" s="4"/>
      <c r="V186" s="4"/>
      <c r="W186" s="4"/>
      <c r="X186" s="4"/>
      <c r="Y186" s="4"/>
      <c r="Z186" s="4"/>
    </row>
    <row r="187" ht="9.75" customHeight="1">
      <c r="A187" s="66"/>
      <c r="B187" s="69"/>
      <c r="C187" s="69"/>
      <c r="D187" s="68"/>
      <c r="E187" s="68"/>
      <c r="F187" s="69"/>
      <c r="G187" s="69"/>
      <c r="H187" s="68"/>
      <c r="I187" s="68"/>
      <c r="J187" s="69"/>
      <c r="K187" s="68"/>
      <c r="L187" s="4"/>
      <c r="M187" s="4"/>
      <c r="N187" s="4"/>
      <c r="O187" s="4"/>
      <c r="P187" s="4"/>
      <c r="Q187" s="4"/>
      <c r="R187" s="4"/>
      <c r="S187" s="4"/>
      <c r="T187" s="4"/>
      <c r="U187" s="4"/>
      <c r="V187" s="4"/>
      <c r="W187" s="4"/>
      <c r="X187" s="4"/>
      <c r="Y187" s="4"/>
      <c r="Z187" s="4"/>
    </row>
    <row r="188" ht="9.75" customHeight="1">
      <c r="A188" s="66"/>
      <c r="B188" s="69"/>
      <c r="C188" s="69"/>
      <c r="D188" s="68"/>
      <c r="E188" s="68"/>
      <c r="F188" s="69"/>
      <c r="G188" s="69"/>
      <c r="H188" s="68"/>
      <c r="I188" s="68"/>
      <c r="J188" s="69"/>
      <c r="K188" s="68"/>
      <c r="L188" s="4"/>
      <c r="M188" s="4"/>
      <c r="N188" s="4"/>
      <c r="O188" s="4"/>
      <c r="P188" s="4"/>
      <c r="Q188" s="4"/>
      <c r="R188" s="4"/>
      <c r="S188" s="4"/>
      <c r="T188" s="4"/>
      <c r="U188" s="4"/>
      <c r="V188" s="4"/>
      <c r="W188" s="4"/>
      <c r="X188" s="4"/>
      <c r="Y188" s="4"/>
      <c r="Z188" s="4"/>
    </row>
    <row r="189" ht="9.75" customHeight="1">
      <c r="A189" s="66"/>
      <c r="B189" s="69"/>
      <c r="C189" s="69"/>
      <c r="D189" s="68"/>
      <c r="E189" s="68"/>
      <c r="F189" s="69"/>
      <c r="G189" s="69"/>
      <c r="H189" s="68"/>
      <c r="I189" s="68"/>
      <c r="J189" s="69"/>
      <c r="K189" s="68"/>
      <c r="L189" s="4"/>
      <c r="M189" s="4"/>
      <c r="N189" s="4"/>
      <c r="O189" s="4"/>
      <c r="P189" s="4"/>
      <c r="Q189" s="4"/>
      <c r="R189" s="4"/>
      <c r="S189" s="4"/>
      <c r="T189" s="4"/>
      <c r="U189" s="4"/>
      <c r="V189" s="4"/>
      <c r="W189" s="4"/>
      <c r="X189" s="4"/>
      <c r="Y189" s="4"/>
      <c r="Z189" s="4"/>
    </row>
    <row r="190" ht="9.75" customHeight="1">
      <c r="A190" s="66"/>
      <c r="B190" s="69"/>
      <c r="C190" s="69"/>
      <c r="D190" s="68"/>
      <c r="E190" s="68"/>
      <c r="F190" s="69"/>
      <c r="G190" s="69"/>
      <c r="H190" s="68"/>
      <c r="I190" s="68"/>
      <c r="J190" s="69"/>
      <c r="K190" s="68"/>
      <c r="L190" s="4"/>
      <c r="M190" s="4"/>
      <c r="N190" s="4"/>
      <c r="O190" s="4"/>
      <c r="P190" s="4"/>
      <c r="Q190" s="4"/>
      <c r="R190" s="4"/>
      <c r="S190" s="4"/>
      <c r="T190" s="4"/>
      <c r="U190" s="4"/>
      <c r="V190" s="4"/>
      <c r="W190" s="4"/>
      <c r="X190" s="4"/>
      <c r="Y190" s="4"/>
      <c r="Z190" s="4"/>
    </row>
    <row r="191" ht="9.75" customHeight="1">
      <c r="A191" s="66"/>
      <c r="B191" s="69"/>
      <c r="C191" s="69"/>
      <c r="D191" s="68"/>
      <c r="E191" s="68"/>
      <c r="F191" s="69"/>
      <c r="G191" s="69"/>
      <c r="H191" s="68"/>
      <c r="I191" s="68"/>
      <c r="J191" s="69"/>
      <c r="K191" s="68"/>
      <c r="L191" s="4"/>
      <c r="M191" s="4"/>
      <c r="N191" s="4"/>
      <c r="O191" s="4"/>
      <c r="P191" s="4"/>
      <c r="Q191" s="4"/>
      <c r="R191" s="4"/>
      <c r="S191" s="4"/>
      <c r="T191" s="4"/>
      <c r="U191" s="4"/>
      <c r="V191" s="4"/>
      <c r="W191" s="4"/>
      <c r="X191" s="4"/>
      <c r="Y191" s="4"/>
      <c r="Z191" s="4"/>
    </row>
    <row r="192" ht="9.75" customHeight="1">
      <c r="A192" s="66"/>
      <c r="B192" s="69"/>
      <c r="C192" s="69"/>
      <c r="D192" s="68"/>
      <c r="E192" s="68"/>
      <c r="F192" s="69"/>
      <c r="G192" s="69"/>
      <c r="H192" s="68"/>
      <c r="I192" s="68"/>
      <c r="J192" s="69"/>
      <c r="K192" s="68"/>
      <c r="L192" s="4"/>
      <c r="M192" s="4"/>
      <c r="N192" s="4"/>
      <c r="O192" s="4"/>
      <c r="P192" s="4"/>
      <c r="Q192" s="4"/>
      <c r="R192" s="4"/>
      <c r="S192" s="4"/>
      <c r="T192" s="4"/>
      <c r="U192" s="4"/>
      <c r="V192" s="4"/>
      <c r="W192" s="4"/>
      <c r="X192" s="4"/>
      <c r="Y192" s="4"/>
      <c r="Z192" s="4"/>
    </row>
    <row r="193" ht="9.75" customHeight="1">
      <c r="A193" s="66"/>
      <c r="B193" s="69"/>
      <c r="C193" s="69"/>
      <c r="D193" s="68"/>
      <c r="E193" s="68"/>
      <c r="F193" s="69"/>
      <c r="G193" s="69"/>
      <c r="H193" s="68"/>
      <c r="I193" s="68"/>
      <c r="J193" s="69"/>
      <c r="K193" s="68"/>
      <c r="L193" s="4"/>
      <c r="M193" s="4"/>
      <c r="N193" s="4"/>
      <c r="O193" s="4"/>
      <c r="P193" s="4"/>
      <c r="Q193" s="4"/>
      <c r="R193" s="4"/>
      <c r="S193" s="4"/>
      <c r="T193" s="4"/>
      <c r="U193" s="4"/>
      <c r="V193" s="4"/>
      <c r="W193" s="4"/>
      <c r="X193" s="4"/>
      <c r="Y193" s="4"/>
      <c r="Z193" s="4"/>
    </row>
    <row r="194" ht="9.75" customHeight="1">
      <c r="A194" s="66"/>
      <c r="B194" s="69"/>
      <c r="C194" s="69"/>
      <c r="D194" s="68"/>
      <c r="E194" s="68"/>
      <c r="F194" s="69"/>
      <c r="G194" s="69"/>
      <c r="H194" s="68"/>
      <c r="I194" s="68"/>
      <c r="J194" s="69"/>
      <c r="K194" s="68"/>
      <c r="L194" s="4"/>
      <c r="M194" s="4"/>
      <c r="N194" s="4"/>
      <c r="O194" s="4"/>
      <c r="P194" s="4"/>
      <c r="Q194" s="4"/>
      <c r="R194" s="4"/>
      <c r="S194" s="4"/>
      <c r="T194" s="4"/>
      <c r="U194" s="4"/>
      <c r="V194" s="4"/>
      <c r="W194" s="4"/>
      <c r="X194" s="4"/>
      <c r="Y194" s="4"/>
      <c r="Z194" s="4"/>
    </row>
    <row r="195" ht="9.75" customHeight="1">
      <c r="A195" s="66"/>
      <c r="B195" s="69"/>
      <c r="C195" s="69"/>
      <c r="D195" s="68"/>
      <c r="E195" s="68"/>
      <c r="F195" s="69"/>
      <c r="G195" s="69"/>
      <c r="H195" s="68"/>
      <c r="I195" s="68"/>
      <c r="J195" s="69"/>
      <c r="K195" s="68"/>
      <c r="L195" s="4"/>
      <c r="M195" s="4"/>
      <c r="N195" s="4"/>
      <c r="O195" s="4"/>
      <c r="P195" s="4"/>
      <c r="Q195" s="4"/>
      <c r="R195" s="4"/>
      <c r="S195" s="4"/>
      <c r="T195" s="4"/>
      <c r="U195" s="4"/>
      <c r="V195" s="4"/>
      <c r="W195" s="4"/>
      <c r="X195" s="4"/>
      <c r="Y195" s="4"/>
      <c r="Z195" s="4"/>
    </row>
    <row r="196" ht="9.75" customHeight="1">
      <c r="A196" s="66"/>
      <c r="B196" s="69"/>
      <c r="C196" s="69"/>
      <c r="D196" s="68"/>
      <c r="E196" s="68"/>
      <c r="F196" s="69"/>
      <c r="G196" s="69"/>
      <c r="H196" s="68"/>
      <c r="I196" s="68"/>
      <c r="J196" s="69"/>
      <c r="K196" s="68"/>
      <c r="L196" s="4"/>
      <c r="M196" s="4"/>
      <c r="N196" s="4"/>
      <c r="O196" s="4"/>
      <c r="P196" s="4"/>
      <c r="Q196" s="4"/>
      <c r="R196" s="4"/>
      <c r="S196" s="4"/>
      <c r="T196" s="4"/>
      <c r="U196" s="4"/>
      <c r="V196" s="4"/>
      <c r="W196" s="4"/>
      <c r="X196" s="4"/>
      <c r="Y196" s="4"/>
      <c r="Z196" s="4"/>
    </row>
    <row r="197" ht="9.75" customHeight="1">
      <c r="A197" s="66"/>
      <c r="B197" s="69"/>
      <c r="C197" s="69"/>
      <c r="D197" s="68"/>
      <c r="E197" s="68"/>
      <c r="F197" s="69"/>
      <c r="G197" s="69"/>
      <c r="H197" s="68"/>
      <c r="I197" s="68"/>
      <c r="J197" s="69"/>
      <c r="K197" s="68"/>
      <c r="L197" s="4"/>
      <c r="M197" s="4"/>
      <c r="N197" s="4"/>
      <c r="O197" s="4"/>
      <c r="P197" s="4"/>
      <c r="Q197" s="4"/>
      <c r="R197" s="4"/>
      <c r="S197" s="4"/>
      <c r="T197" s="4"/>
      <c r="U197" s="4"/>
      <c r="V197" s="4"/>
      <c r="W197" s="4"/>
      <c r="X197" s="4"/>
      <c r="Y197" s="4"/>
      <c r="Z197" s="4"/>
    </row>
    <row r="198" ht="9.75" customHeight="1">
      <c r="A198" s="66"/>
      <c r="B198" s="69"/>
      <c r="C198" s="69"/>
      <c r="D198" s="68"/>
      <c r="E198" s="68"/>
      <c r="F198" s="69"/>
      <c r="G198" s="69"/>
      <c r="H198" s="68"/>
      <c r="I198" s="68"/>
      <c r="J198" s="69"/>
      <c r="K198" s="68"/>
      <c r="L198" s="4"/>
      <c r="M198" s="4"/>
      <c r="N198" s="4"/>
      <c r="O198" s="4"/>
      <c r="P198" s="4"/>
      <c r="Q198" s="4"/>
      <c r="R198" s="4"/>
      <c r="S198" s="4"/>
      <c r="T198" s="4"/>
      <c r="U198" s="4"/>
      <c r="V198" s="4"/>
      <c r="W198" s="4"/>
      <c r="X198" s="4"/>
      <c r="Y198" s="4"/>
      <c r="Z198" s="4"/>
    </row>
    <row r="199" ht="9.75" customHeight="1">
      <c r="A199" s="66"/>
      <c r="B199" s="69"/>
      <c r="C199" s="69"/>
      <c r="D199" s="68"/>
      <c r="E199" s="68"/>
      <c r="F199" s="69"/>
      <c r="G199" s="69"/>
      <c r="H199" s="68"/>
      <c r="I199" s="68"/>
      <c r="J199" s="69"/>
      <c r="K199" s="68"/>
      <c r="L199" s="4"/>
      <c r="M199" s="4"/>
      <c r="N199" s="4"/>
      <c r="O199" s="4"/>
      <c r="P199" s="4"/>
      <c r="Q199" s="4"/>
      <c r="R199" s="4"/>
      <c r="S199" s="4"/>
      <c r="T199" s="4"/>
      <c r="U199" s="4"/>
      <c r="V199" s="4"/>
      <c r="W199" s="4"/>
      <c r="X199" s="4"/>
      <c r="Y199" s="4"/>
      <c r="Z199" s="4"/>
    </row>
    <row r="200" ht="9.75" customHeight="1">
      <c r="A200" s="66"/>
      <c r="B200" s="69"/>
      <c r="C200" s="69"/>
      <c r="D200" s="68"/>
      <c r="E200" s="68"/>
      <c r="F200" s="69"/>
      <c r="G200" s="69"/>
      <c r="H200" s="68"/>
      <c r="I200" s="68"/>
      <c r="J200" s="69"/>
      <c r="K200" s="68"/>
      <c r="L200" s="4"/>
      <c r="M200" s="4"/>
      <c r="N200" s="4"/>
      <c r="O200" s="4"/>
      <c r="P200" s="4"/>
      <c r="Q200" s="4"/>
      <c r="R200" s="4"/>
      <c r="S200" s="4"/>
      <c r="T200" s="4"/>
      <c r="U200" s="4"/>
      <c r="V200" s="4"/>
      <c r="W200" s="4"/>
      <c r="X200" s="4"/>
      <c r="Y200" s="4"/>
      <c r="Z200" s="4"/>
    </row>
    <row r="201" ht="9.75" customHeight="1">
      <c r="A201" s="66"/>
      <c r="B201" s="69"/>
      <c r="C201" s="69"/>
      <c r="D201" s="68"/>
      <c r="E201" s="68"/>
      <c r="F201" s="69"/>
      <c r="G201" s="69"/>
      <c r="H201" s="68"/>
      <c r="I201" s="68"/>
      <c r="J201" s="69"/>
      <c r="K201" s="68"/>
      <c r="L201" s="4"/>
      <c r="M201" s="4"/>
      <c r="N201" s="4"/>
      <c r="O201" s="4"/>
      <c r="P201" s="4"/>
      <c r="Q201" s="4"/>
      <c r="R201" s="4"/>
      <c r="S201" s="4"/>
      <c r="T201" s="4"/>
      <c r="U201" s="4"/>
      <c r="V201" s="4"/>
      <c r="W201" s="4"/>
      <c r="X201" s="4"/>
      <c r="Y201" s="4"/>
      <c r="Z201" s="4"/>
    </row>
    <row r="202" ht="9.75" customHeight="1">
      <c r="A202" s="66"/>
      <c r="B202" s="69"/>
      <c r="C202" s="69"/>
      <c r="D202" s="68"/>
      <c r="E202" s="68"/>
      <c r="F202" s="69"/>
      <c r="G202" s="69"/>
      <c r="H202" s="68"/>
      <c r="I202" s="68"/>
      <c r="J202" s="69"/>
      <c r="K202" s="68"/>
      <c r="L202" s="4"/>
      <c r="M202" s="4"/>
      <c r="N202" s="4"/>
      <c r="O202" s="4"/>
      <c r="P202" s="4"/>
      <c r="Q202" s="4"/>
      <c r="R202" s="4"/>
      <c r="S202" s="4"/>
      <c r="T202" s="4"/>
      <c r="U202" s="4"/>
      <c r="V202" s="4"/>
      <c r="W202" s="4"/>
      <c r="X202" s="4"/>
      <c r="Y202" s="4"/>
      <c r="Z202" s="4"/>
    </row>
    <row r="203" ht="9.75" customHeight="1">
      <c r="A203" s="66"/>
      <c r="B203" s="69"/>
      <c r="C203" s="69"/>
      <c r="D203" s="68"/>
      <c r="E203" s="68"/>
      <c r="F203" s="69"/>
      <c r="G203" s="69"/>
      <c r="H203" s="68"/>
      <c r="I203" s="68"/>
      <c r="J203" s="69"/>
      <c r="K203" s="68"/>
      <c r="L203" s="4"/>
      <c r="M203" s="4"/>
      <c r="N203" s="4"/>
      <c r="O203" s="4"/>
      <c r="P203" s="4"/>
      <c r="Q203" s="4"/>
      <c r="R203" s="4"/>
      <c r="S203" s="4"/>
      <c r="T203" s="4"/>
      <c r="U203" s="4"/>
      <c r="V203" s="4"/>
      <c r="W203" s="4"/>
      <c r="X203" s="4"/>
      <c r="Y203" s="4"/>
      <c r="Z203" s="4"/>
    </row>
    <row r="204" ht="9.75" customHeight="1">
      <c r="A204" s="66"/>
      <c r="B204" s="69"/>
      <c r="C204" s="69"/>
      <c r="D204" s="68"/>
      <c r="E204" s="68"/>
      <c r="F204" s="69"/>
      <c r="G204" s="69"/>
      <c r="H204" s="68"/>
      <c r="I204" s="68"/>
      <c r="J204" s="69"/>
      <c r="K204" s="68"/>
      <c r="L204" s="4"/>
      <c r="M204" s="4"/>
      <c r="N204" s="4"/>
      <c r="O204" s="4"/>
      <c r="P204" s="4"/>
      <c r="Q204" s="4"/>
      <c r="R204" s="4"/>
      <c r="S204" s="4"/>
      <c r="T204" s="4"/>
      <c r="U204" s="4"/>
      <c r="V204" s="4"/>
      <c r="W204" s="4"/>
      <c r="X204" s="4"/>
      <c r="Y204" s="4"/>
      <c r="Z204" s="4"/>
    </row>
    <row r="205" ht="9.75" customHeight="1">
      <c r="A205" s="66"/>
      <c r="B205" s="69"/>
      <c r="C205" s="69"/>
      <c r="D205" s="68"/>
      <c r="E205" s="68"/>
      <c r="F205" s="69"/>
      <c r="G205" s="69"/>
      <c r="H205" s="68"/>
      <c r="I205" s="68"/>
      <c r="J205" s="69"/>
      <c r="K205" s="68"/>
      <c r="L205" s="4"/>
      <c r="M205" s="4"/>
      <c r="N205" s="4"/>
      <c r="O205" s="4"/>
      <c r="P205" s="4"/>
      <c r="Q205" s="4"/>
      <c r="R205" s="4"/>
      <c r="S205" s="4"/>
      <c r="T205" s="4"/>
      <c r="U205" s="4"/>
      <c r="V205" s="4"/>
      <c r="W205" s="4"/>
      <c r="X205" s="4"/>
      <c r="Y205" s="4"/>
      <c r="Z205" s="4"/>
    </row>
    <row r="206" ht="9.75" customHeight="1">
      <c r="A206" s="66"/>
      <c r="B206" s="69"/>
      <c r="C206" s="69"/>
      <c r="D206" s="68"/>
      <c r="E206" s="68"/>
      <c r="F206" s="69"/>
      <c r="G206" s="69"/>
      <c r="H206" s="68"/>
      <c r="I206" s="68"/>
      <c r="J206" s="69"/>
      <c r="K206" s="68"/>
      <c r="L206" s="4"/>
      <c r="M206" s="4"/>
      <c r="N206" s="4"/>
      <c r="O206" s="4"/>
      <c r="P206" s="4"/>
      <c r="Q206" s="4"/>
      <c r="R206" s="4"/>
      <c r="S206" s="4"/>
      <c r="T206" s="4"/>
      <c r="U206" s="4"/>
      <c r="V206" s="4"/>
      <c r="W206" s="4"/>
      <c r="X206" s="4"/>
      <c r="Y206" s="4"/>
      <c r="Z206" s="4"/>
    </row>
    <row r="207" ht="9.75" customHeight="1">
      <c r="A207" s="66"/>
      <c r="B207" s="69"/>
      <c r="C207" s="69"/>
      <c r="D207" s="68"/>
      <c r="E207" s="68"/>
      <c r="F207" s="69"/>
      <c r="G207" s="69"/>
      <c r="H207" s="68"/>
      <c r="I207" s="68"/>
      <c r="J207" s="69"/>
      <c r="K207" s="68"/>
      <c r="L207" s="4"/>
      <c r="M207" s="4"/>
      <c r="N207" s="4"/>
      <c r="O207" s="4"/>
      <c r="P207" s="4"/>
      <c r="Q207" s="4"/>
      <c r="R207" s="4"/>
      <c r="S207" s="4"/>
      <c r="T207" s="4"/>
      <c r="U207" s="4"/>
      <c r="V207" s="4"/>
      <c r="W207" s="4"/>
      <c r="X207" s="4"/>
      <c r="Y207" s="4"/>
      <c r="Z207" s="4"/>
    </row>
    <row r="208" ht="9.75" customHeight="1">
      <c r="A208" s="66"/>
      <c r="B208" s="69"/>
      <c r="C208" s="69"/>
      <c r="D208" s="68"/>
      <c r="E208" s="68"/>
      <c r="F208" s="69"/>
      <c r="G208" s="69"/>
      <c r="H208" s="68"/>
      <c r="I208" s="68"/>
      <c r="J208" s="69"/>
      <c r="K208" s="68"/>
      <c r="L208" s="4"/>
      <c r="M208" s="4"/>
      <c r="N208" s="4"/>
      <c r="O208" s="4"/>
      <c r="P208" s="4"/>
      <c r="Q208" s="4"/>
      <c r="R208" s="4"/>
      <c r="S208" s="4"/>
      <c r="T208" s="4"/>
      <c r="U208" s="4"/>
      <c r="V208" s="4"/>
      <c r="W208" s="4"/>
      <c r="X208" s="4"/>
      <c r="Y208" s="4"/>
      <c r="Z208" s="4"/>
    </row>
    <row r="209" ht="9.75" customHeight="1">
      <c r="A209" s="66"/>
      <c r="B209" s="69"/>
      <c r="C209" s="69"/>
      <c r="D209" s="68"/>
      <c r="E209" s="68"/>
      <c r="F209" s="69"/>
      <c r="G209" s="69"/>
      <c r="H209" s="68"/>
      <c r="I209" s="68"/>
      <c r="J209" s="69"/>
      <c r="K209" s="68"/>
      <c r="L209" s="4"/>
      <c r="M209" s="4"/>
      <c r="N209" s="4"/>
      <c r="O209" s="4"/>
      <c r="P209" s="4"/>
      <c r="Q209" s="4"/>
      <c r="R209" s="4"/>
      <c r="S209" s="4"/>
      <c r="T209" s="4"/>
      <c r="U209" s="4"/>
      <c r="V209" s="4"/>
      <c r="W209" s="4"/>
      <c r="X209" s="4"/>
      <c r="Y209" s="4"/>
      <c r="Z209" s="4"/>
    </row>
    <row r="210" ht="9.75" customHeight="1">
      <c r="A210" s="66"/>
      <c r="B210" s="69"/>
      <c r="C210" s="69"/>
      <c r="D210" s="68"/>
      <c r="E210" s="68"/>
      <c r="F210" s="69"/>
      <c r="G210" s="69"/>
      <c r="H210" s="68"/>
      <c r="I210" s="68"/>
      <c r="J210" s="69"/>
      <c r="K210" s="68"/>
      <c r="L210" s="4"/>
      <c r="M210" s="4"/>
      <c r="N210" s="4"/>
      <c r="O210" s="4"/>
      <c r="P210" s="4"/>
      <c r="Q210" s="4"/>
      <c r="R210" s="4"/>
      <c r="S210" s="4"/>
      <c r="T210" s="4"/>
      <c r="U210" s="4"/>
      <c r="V210" s="4"/>
      <c r="W210" s="4"/>
      <c r="X210" s="4"/>
      <c r="Y210" s="4"/>
      <c r="Z210" s="4"/>
    </row>
    <row r="211" ht="9.75" customHeight="1">
      <c r="A211" s="66"/>
      <c r="B211" s="69"/>
      <c r="C211" s="69"/>
      <c r="D211" s="68"/>
      <c r="E211" s="68"/>
      <c r="F211" s="69"/>
      <c r="G211" s="69"/>
      <c r="H211" s="68"/>
      <c r="I211" s="68"/>
      <c r="J211" s="69"/>
      <c r="K211" s="68"/>
      <c r="L211" s="4"/>
      <c r="M211" s="4"/>
      <c r="N211" s="4"/>
      <c r="O211" s="4"/>
      <c r="P211" s="4"/>
      <c r="Q211" s="4"/>
      <c r="R211" s="4"/>
      <c r="S211" s="4"/>
      <c r="T211" s="4"/>
      <c r="U211" s="4"/>
      <c r="V211" s="4"/>
      <c r="W211" s="4"/>
      <c r="X211" s="4"/>
      <c r="Y211" s="4"/>
      <c r="Z211" s="4"/>
    </row>
    <row r="212" ht="9.75" customHeight="1">
      <c r="A212" s="66"/>
      <c r="B212" s="69"/>
      <c r="C212" s="69"/>
      <c r="D212" s="68"/>
      <c r="E212" s="68"/>
      <c r="F212" s="69"/>
      <c r="G212" s="69"/>
      <c r="H212" s="68"/>
      <c r="I212" s="68"/>
      <c r="J212" s="69"/>
      <c r="K212" s="68"/>
      <c r="L212" s="4"/>
      <c r="M212" s="4"/>
      <c r="N212" s="4"/>
      <c r="O212" s="4"/>
      <c r="P212" s="4"/>
      <c r="Q212" s="4"/>
      <c r="R212" s="4"/>
      <c r="S212" s="4"/>
      <c r="T212" s="4"/>
      <c r="U212" s="4"/>
      <c r="V212" s="4"/>
      <c r="W212" s="4"/>
      <c r="X212" s="4"/>
      <c r="Y212" s="4"/>
      <c r="Z212" s="4"/>
    </row>
    <row r="213" ht="9.75" customHeight="1">
      <c r="A213" s="66"/>
      <c r="B213" s="69"/>
      <c r="C213" s="69"/>
      <c r="D213" s="68"/>
      <c r="E213" s="68"/>
      <c r="F213" s="69"/>
      <c r="G213" s="69"/>
      <c r="H213" s="68"/>
      <c r="I213" s="68"/>
      <c r="J213" s="69"/>
      <c r="K213" s="68"/>
      <c r="L213" s="4"/>
      <c r="M213" s="4"/>
      <c r="N213" s="4"/>
      <c r="O213" s="4"/>
      <c r="P213" s="4"/>
      <c r="Q213" s="4"/>
      <c r="R213" s="4"/>
      <c r="S213" s="4"/>
      <c r="T213" s="4"/>
      <c r="U213" s="4"/>
      <c r="V213" s="4"/>
      <c r="W213" s="4"/>
      <c r="X213" s="4"/>
      <c r="Y213" s="4"/>
      <c r="Z213" s="4"/>
    </row>
    <row r="214" ht="9.75" customHeight="1">
      <c r="A214" s="66"/>
      <c r="B214" s="69"/>
      <c r="C214" s="69"/>
      <c r="D214" s="68"/>
      <c r="E214" s="68"/>
      <c r="F214" s="69"/>
      <c r="G214" s="69"/>
      <c r="H214" s="68"/>
      <c r="I214" s="68"/>
      <c r="J214" s="69"/>
      <c r="K214" s="68"/>
      <c r="L214" s="4"/>
      <c r="M214" s="4"/>
      <c r="N214" s="4"/>
      <c r="O214" s="4"/>
      <c r="P214" s="4"/>
      <c r="Q214" s="4"/>
      <c r="R214" s="4"/>
      <c r="S214" s="4"/>
      <c r="T214" s="4"/>
      <c r="U214" s="4"/>
      <c r="V214" s="4"/>
      <c r="W214" s="4"/>
      <c r="X214" s="4"/>
      <c r="Y214" s="4"/>
      <c r="Z214" s="4"/>
    </row>
    <row r="215" ht="9.75" customHeight="1">
      <c r="A215" s="66"/>
      <c r="B215" s="69"/>
      <c r="C215" s="69"/>
      <c r="D215" s="68"/>
      <c r="E215" s="68"/>
      <c r="F215" s="69"/>
      <c r="G215" s="69"/>
      <c r="H215" s="68"/>
      <c r="I215" s="68"/>
      <c r="J215" s="69"/>
      <c r="K215" s="68"/>
      <c r="L215" s="4"/>
      <c r="M215" s="4"/>
      <c r="N215" s="4"/>
      <c r="O215" s="4"/>
      <c r="P215" s="4"/>
      <c r="Q215" s="4"/>
      <c r="R215" s="4"/>
      <c r="S215" s="4"/>
      <c r="T215" s="4"/>
      <c r="U215" s="4"/>
      <c r="V215" s="4"/>
      <c r="W215" s="4"/>
      <c r="X215" s="4"/>
      <c r="Y215" s="4"/>
      <c r="Z215" s="4"/>
    </row>
    <row r="216" ht="9.75" customHeight="1">
      <c r="A216" s="66"/>
      <c r="B216" s="69"/>
      <c r="C216" s="69"/>
      <c r="D216" s="68"/>
      <c r="E216" s="68"/>
      <c r="F216" s="69"/>
      <c r="G216" s="69"/>
      <c r="H216" s="68"/>
      <c r="I216" s="68"/>
      <c r="J216" s="69"/>
      <c r="K216" s="68"/>
      <c r="L216" s="4"/>
      <c r="M216" s="4"/>
      <c r="N216" s="4"/>
      <c r="O216" s="4"/>
      <c r="P216" s="4"/>
      <c r="Q216" s="4"/>
      <c r="R216" s="4"/>
      <c r="S216" s="4"/>
      <c r="T216" s="4"/>
      <c r="U216" s="4"/>
      <c r="V216" s="4"/>
      <c r="W216" s="4"/>
      <c r="X216" s="4"/>
      <c r="Y216" s="4"/>
      <c r="Z216" s="4"/>
    </row>
    <row r="217" ht="9.75" customHeight="1">
      <c r="A217" s="66"/>
      <c r="B217" s="69"/>
      <c r="C217" s="69"/>
      <c r="D217" s="68"/>
      <c r="E217" s="68"/>
      <c r="F217" s="69"/>
      <c r="G217" s="69"/>
      <c r="H217" s="68"/>
      <c r="I217" s="68"/>
      <c r="J217" s="69"/>
      <c r="K217" s="68"/>
      <c r="L217" s="4"/>
      <c r="M217" s="4"/>
      <c r="N217" s="4"/>
      <c r="O217" s="4"/>
      <c r="P217" s="4"/>
      <c r="Q217" s="4"/>
      <c r="R217" s="4"/>
      <c r="S217" s="4"/>
      <c r="T217" s="4"/>
      <c r="U217" s="4"/>
      <c r="V217" s="4"/>
      <c r="W217" s="4"/>
      <c r="X217" s="4"/>
      <c r="Y217" s="4"/>
      <c r="Z217" s="4"/>
    </row>
    <row r="218" ht="9.75" customHeight="1">
      <c r="A218" s="66"/>
      <c r="B218" s="69"/>
      <c r="C218" s="69"/>
      <c r="D218" s="68"/>
      <c r="E218" s="68"/>
      <c r="F218" s="69"/>
      <c r="G218" s="69"/>
      <c r="H218" s="68"/>
      <c r="I218" s="68"/>
      <c r="J218" s="69"/>
      <c r="K218" s="68"/>
      <c r="L218" s="4"/>
      <c r="M218" s="4"/>
      <c r="N218" s="4"/>
      <c r="O218" s="4"/>
      <c r="P218" s="4"/>
      <c r="Q218" s="4"/>
      <c r="R218" s="4"/>
      <c r="S218" s="4"/>
      <c r="T218" s="4"/>
      <c r="U218" s="4"/>
      <c r="V218" s="4"/>
      <c r="W218" s="4"/>
      <c r="X218" s="4"/>
      <c r="Y218" s="4"/>
      <c r="Z218" s="4"/>
    </row>
    <row r="219" ht="9.75" customHeight="1">
      <c r="A219" s="66"/>
      <c r="B219" s="69"/>
      <c r="C219" s="69"/>
      <c r="D219" s="68"/>
      <c r="E219" s="68"/>
      <c r="F219" s="69"/>
      <c r="G219" s="69"/>
      <c r="H219" s="68"/>
      <c r="I219" s="68"/>
      <c r="J219" s="69"/>
      <c r="K219" s="68"/>
      <c r="L219" s="4"/>
      <c r="M219" s="4"/>
      <c r="N219" s="4"/>
      <c r="O219" s="4"/>
      <c r="P219" s="4"/>
      <c r="Q219" s="4"/>
      <c r="R219" s="4"/>
      <c r="S219" s="4"/>
      <c r="T219" s="4"/>
      <c r="U219" s="4"/>
      <c r="V219" s="4"/>
      <c r="W219" s="4"/>
      <c r="X219" s="4"/>
      <c r="Y219" s="4"/>
      <c r="Z219" s="4"/>
    </row>
    <row r="220" ht="9.75" customHeight="1">
      <c r="A220" s="66"/>
      <c r="B220" s="69"/>
      <c r="C220" s="69"/>
      <c r="D220" s="68"/>
      <c r="E220" s="68"/>
      <c r="F220" s="69"/>
      <c r="G220" s="69"/>
      <c r="H220" s="68"/>
      <c r="I220" s="68"/>
      <c r="J220" s="69"/>
      <c r="K220" s="68"/>
      <c r="L220" s="4"/>
      <c r="M220" s="4"/>
      <c r="N220" s="4"/>
      <c r="O220" s="4"/>
      <c r="P220" s="4"/>
      <c r="Q220" s="4"/>
      <c r="R220" s="4"/>
      <c r="S220" s="4"/>
      <c r="T220" s="4"/>
      <c r="U220" s="4"/>
      <c r="V220" s="4"/>
      <c r="W220" s="4"/>
      <c r="X220" s="4"/>
      <c r="Y220" s="4"/>
      <c r="Z220" s="4"/>
    </row>
    <row r="221" ht="9.75" customHeight="1">
      <c r="A221" s="66"/>
      <c r="B221" s="69"/>
      <c r="C221" s="69"/>
      <c r="D221" s="68"/>
      <c r="E221" s="68"/>
      <c r="F221" s="69"/>
      <c r="G221" s="69"/>
      <c r="H221" s="68"/>
      <c r="I221" s="68"/>
      <c r="J221" s="69"/>
      <c r="K221" s="68"/>
      <c r="L221" s="4"/>
      <c r="M221" s="4"/>
      <c r="N221" s="4"/>
      <c r="O221" s="4"/>
      <c r="P221" s="4"/>
      <c r="Q221" s="4"/>
      <c r="R221" s="4"/>
      <c r="S221" s="4"/>
      <c r="T221" s="4"/>
      <c r="U221" s="4"/>
      <c r="V221" s="4"/>
      <c r="W221" s="4"/>
      <c r="X221" s="4"/>
      <c r="Y221" s="4"/>
      <c r="Z221" s="4"/>
    </row>
    <row r="222" ht="9.75" customHeight="1">
      <c r="A222" s="66"/>
      <c r="B222" s="69"/>
      <c r="C222" s="69"/>
      <c r="D222" s="68"/>
      <c r="E222" s="68"/>
      <c r="F222" s="69"/>
      <c r="G222" s="69"/>
      <c r="H222" s="68"/>
      <c r="I222" s="68"/>
      <c r="J222" s="69"/>
      <c r="K222" s="68"/>
      <c r="L222" s="4"/>
      <c r="M222" s="4"/>
      <c r="N222" s="4"/>
      <c r="O222" s="4"/>
      <c r="P222" s="4"/>
      <c r="Q222" s="4"/>
      <c r="R222" s="4"/>
      <c r="S222" s="4"/>
      <c r="T222" s="4"/>
      <c r="U222" s="4"/>
      <c r="V222" s="4"/>
      <c r="W222" s="4"/>
      <c r="X222" s="4"/>
      <c r="Y222" s="4"/>
      <c r="Z222" s="4"/>
    </row>
    <row r="223" ht="9.75" customHeight="1">
      <c r="A223" s="66"/>
      <c r="B223" s="69"/>
      <c r="C223" s="69"/>
      <c r="D223" s="68"/>
      <c r="E223" s="68"/>
      <c r="F223" s="69"/>
      <c r="G223" s="69"/>
      <c r="H223" s="68"/>
      <c r="I223" s="68"/>
      <c r="J223" s="69"/>
      <c r="K223" s="68"/>
      <c r="L223" s="4"/>
      <c r="M223" s="4"/>
      <c r="N223" s="4"/>
      <c r="O223" s="4"/>
      <c r="P223" s="4"/>
      <c r="Q223" s="4"/>
      <c r="R223" s="4"/>
      <c r="S223" s="4"/>
      <c r="T223" s="4"/>
      <c r="U223" s="4"/>
      <c r="V223" s="4"/>
      <c r="W223" s="4"/>
      <c r="X223" s="4"/>
      <c r="Y223" s="4"/>
      <c r="Z223" s="4"/>
    </row>
    <row r="224" ht="9.75" customHeight="1">
      <c r="A224" s="66"/>
      <c r="B224" s="69"/>
      <c r="C224" s="69"/>
      <c r="D224" s="68"/>
      <c r="E224" s="68"/>
      <c r="F224" s="69"/>
      <c r="G224" s="69"/>
      <c r="H224" s="68"/>
      <c r="I224" s="68"/>
      <c r="J224" s="69"/>
      <c r="K224" s="68"/>
      <c r="L224" s="4"/>
      <c r="M224" s="4"/>
      <c r="N224" s="4"/>
      <c r="O224" s="4"/>
      <c r="P224" s="4"/>
      <c r="Q224" s="4"/>
      <c r="R224" s="4"/>
      <c r="S224" s="4"/>
      <c r="T224" s="4"/>
      <c r="U224" s="4"/>
      <c r="V224" s="4"/>
      <c r="W224" s="4"/>
      <c r="X224" s="4"/>
      <c r="Y224" s="4"/>
      <c r="Z224" s="4"/>
    </row>
    <row r="225" ht="9.75" customHeight="1">
      <c r="A225" s="66"/>
      <c r="B225" s="69"/>
      <c r="C225" s="69"/>
      <c r="D225" s="68"/>
      <c r="E225" s="68"/>
      <c r="F225" s="69"/>
      <c r="G225" s="69"/>
      <c r="H225" s="68"/>
      <c r="I225" s="68"/>
      <c r="J225" s="69"/>
      <c r="K225" s="68"/>
      <c r="L225" s="4"/>
      <c r="M225" s="4"/>
      <c r="N225" s="4"/>
      <c r="O225" s="4"/>
      <c r="P225" s="4"/>
      <c r="Q225" s="4"/>
      <c r="R225" s="4"/>
      <c r="S225" s="4"/>
      <c r="T225" s="4"/>
      <c r="U225" s="4"/>
      <c r="V225" s="4"/>
      <c r="W225" s="4"/>
      <c r="X225" s="4"/>
      <c r="Y225" s="4"/>
      <c r="Z225" s="4"/>
    </row>
    <row r="226" ht="9.75" customHeight="1">
      <c r="A226" s="66"/>
      <c r="B226" s="69"/>
      <c r="C226" s="69"/>
      <c r="D226" s="68"/>
      <c r="E226" s="68"/>
      <c r="F226" s="69"/>
      <c r="G226" s="69"/>
      <c r="H226" s="68"/>
      <c r="I226" s="68"/>
      <c r="J226" s="69"/>
      <c r="K226" s="68"/>
      <c r="L226" s="4"/>
      <c r="M226" s="4"/>
      <c r="N226" s="4"/>
      <c r="O226" s="4"/>
      <c r="P226" s="4"/>
      <c r="Q226" s="4"/>
      <c r="R226" s="4"/>
      <c r="S226" s="4"/>
      <c r="T226" s="4"/>
      <c r="U226" s="4"/>
      <c r="V226" s="4"/>
      <c r="W226" s="4"/>
      <c r="X226" s="4"/>
      <c r="Y226" s="4"/>
      <c r="Z226" s="4"/>
    </row>
    <row r="227" ht="9.75" customHeight="1">
      <c r="A227" s="66"/>
      <c r="B227" s="69"/>
      <c r="C227" s="69"/>
      <c r="D227" s="68"/>
      <c r="E227" s="68"/>
      <c r="F227" s="69"/>
      <c r="G227" s="69"/>
      <c r="H227" s="68"/>
      <c r="I227" s="68"/>
      <c r="J227" s="69"/>
      <c r="K227" s="68"/>
      <c r="L227" s="4"/>
      <c r="M227" s="4"/>
      <c r="N227" s="4"/>
      <c r="O227" s="4"/>
      <c r="P227" s="4"/>
      <c r="Q227" s="4"/>
      <c r="R227" s="4"/>
      <c r="S227" s="4"/>
      <c r="T227" s="4"/>
      <c r="U227" s="4"/>
      <c r="V227" s="4"/>
      <c r="W227" s="4"/>
      <c r="X227" s="4"/>
      <c r="Y227" s="4"/>
      <c r="Z227" s="4"/>
    </row>
    <row r="228" ht="9.75" customHeight="1">
      <c r="A228" s="66"/>
      <c r="B228" s="69"/>
      <c r="C228" s="69"/>
      <c r="D228" s="68"/>
      <c r="E228" s="68"/>
      <c r="F228" s="69"/>
      <c r="G228" s="69"/>
      <c r="H228" s="68"/>
      <c r="I228" s="68"/>
      <c r="J228" s="69"/>
      <c r="K228" s="68"/>
      <c r="L228" s="4"/>
      <c r="M228" s="4"/>
      <c r="N228" s="4"/>
      <c r="O228" s="4"/>
      <c r="P228" s="4"/>
      <c r="Q228" s="4"/>
      <c r="R228" s="4"/>
      <c r="S228" s="4"/>
      <c r="T228" s="4"/>
      <c r="U228" s="4"/>
      <c r="V228" s="4"/>
      <c r="W228" s="4"/>
      <c r="X228" s="4"/>
      <c r="Y228" s="4"/>
      <c r="Z228" s="4"/>
    </row>
    <row r="229" ht="9.75" customHeight="1">
      <c r="A229" s="66"/>
      <c r="B229" s="69"/>
      <c r="C229" s="69"/>
      <c r="D229" s="68"/>
      <c r="E229" s="68"/>
      <c r="F229" s="69"/>
      <c r="G229" s="69"/>
      <c r="H229" s="68"/>
      <c r="I229" s="68"/>
      <c r="J229" s="69"/>
      <c r="K229" s="68"/>
      <c r="L229" s="4"/>
      <c r="M229" s="4"/>
      <c r="N229" s="4"/>
      <c r="O229" s="4"/>
      <c r="P229" s="4"/>
      <c r="Q229" s="4"/>
      <c r="R229" s="4"/>
      <c r="S229" s="4"/>
      <c r="T229" s="4"/>
      <c r="U229" s="4"/>
      <c r="V229" s="4"/>
      <c r="W229" s="4"/>
      <c r="X229" s="4"/>
      <c r="Y229" s="4"/>
      <c r="Z229" s="4"/>
    </row>
    <row r="230" ht="9.75" customHeight="1">
      <c r="A230" s="66"/>
      <c r="B230" s="69"/>
      <c r="C230" s="69"/>
      <c r="D230" s="68"/>
      <c r="E230" s="68"/>
      <c r="F230" s="69"/>
      <c r="G230" s="69"/>
      <c r="H230" s="68"/>
      <c r="I230" s="68"/>
      <c r="J230" s="69"/>
      <c r="K230" s="68"/>
      <c r="L230" s="4"/>
      <c r="M230" s="4"/>
      <c r="N230" s="4"/>
      <c r="O230" s="4"/>
      <c r="P230" s="4"/>
      <c r="Q230" s="4"/>
      <c r="R230" s="4"/>
      <c r="S230" s="4"/>
      <c r="T230" s="4"/>
      <c r="U230" s="4"/>
      <c r="V230" s="4"/>
      <c r="W230" s="4"/>
      <c r="X230" s="4"/>
      <c r="Y230" s="4"/>
      <c r="Z230" s="4"/>
    </row>
    <row r="231" ht="9.75" customHeight="1">
      <c r="A231" s="66"/>
      <c r="B231" s="69"/>
      <c r="C231" s="69"/>
      <c r="D231" s="68"/>
      <c r="E231" s="68"/>
      <c r="F231" s="69"/>
      <c r="G231" s="69"/>
      <c r="H231" s="68"/>
      <c r="I231" s="68"/>
      <c r="J231" s="69"/>
      <c r="K231" s="68"/>
      <c r="L231" s="4"/>
      <c r="M231" s="4"/>
      <c r="N231" s="4"/>
      <c r="O231" s="4"/>
      <c r="P231" s="4"/>
      <c r="Q231" s="4"/>
      <c r="R231" s="4"/>
      <c r="S231" s="4"/>
      <c r="T231" s="4"/>
      <c r="U231" s="4"/>
      <c r="V231" s="4"/>
      <c r="W231" s="4"/>
      <c r="X231" s="4"/>
      <c r="Y231" s="4"/>
      <c r="Z231" s="4"/>
    </row>
    <row r="232" ht="9.75" customHeight="1">
      <c r="A232" s="66"/>
      <c r="B232" s="69"/>
      <c r="C232" s="69"/>
      <c r="D232" s="68"/>
      <c r="E232" s="68"/>
      <c r="F232" s="69"/>
      <c r="G232" s="69"/>
      <c r="H232" s="68"/>
      <c r="I232" s="68"/>
      <c r="J232" s="69"/>
      <c r="K232" s="68"/>
      <c r="L232" s="4"/>
      <c r="M232" s="4"/>
      <c r="N232" s="4"/>
      <c r="O232" s="4"/>
      <c r="P232" s="4"/>
      <c r="Q232" s="4"/>
      <c r="R232" s="4"/>
      <c r="S232" s="4"/>
      <c r="T232" s="4"/>
      <c r="U232" s="4"/>
      <c r="V232" s="4"/>
      <c r="W232" s="4"/>
      <c r="X232" s="4"/>
      <c r="Y232" s="4"/>
      <c r="Z232" s="4"/>
    </row>
    <row r="233" ht="9.75" customHeight="1">
      <c r="A233" s="66"/>
      <c r="B233" s="69"/>
      <c r="C233" s="69"/>
      <c r="D233" s="68"/>
      <c r="E233" s="68"/>
      <c r="F233" s="69"/>
      <c r="G233" s="69"/>
      <c r="H233" s="68"/>
      <c r="I233" s="68"/>
      <c r="J233" s="69"/>
      <c r="K233" s="68"/>
      <c r="L233" s="4"/>
      <c r="M233" s="4"/>
      <c r="N233" s="4"/>
      <c r="O233" s="4"/>
      <c r="P233" s="4"/>
      <c r="Q233" s="4"/>
      <c r="R233" s="4"/>
      <c r="S233" s="4"/>
      <c r="T233" s="4"/>
      <c r="U233" s="4"/>
      <c r="V233" s="4"/>
      <c r="W233" s="4"/>
      <c r="X233" s="4"/>
      <c r="Y233" s="4"/>
      <c r="Z233" s="4"/>
    </row>
    <row r="234" ht="9.75" customHeight="1">
      <c r="A234" s="66"/>
      <c r="B234" s="69"/>
      <c r="C234" s="69"/>
      <c r="D234" s="68"/>
      <c r="E234" s="68"/>
      <c r="F234" s="69"/>
      <c r="G234" s="69"/>
      <c r="H234" s="68"/>
      <c r="I234" s="68"/>
      <c r="J234" s="69"/>
      <c r="K234" s="68"/>
      <c r="L234" s="4"/>
      <c r="M234" s="4"/>
      <c r="N234" s="4"/>
      <c r="O234" s="4"/>
      <c r="P234" s="4"/>
      <c r="Q234" s="4"/>
      <c r="R234" s="4"/>
      <c r="S234" s="4"/>
      <c r="T234" s="4"/>
      <c r="U234" s="4"/>
      <c r="V234" s="4"/>
      <c r="W234" s="4"/>
      <c r="X234" s="4"/>
      <c r="Y234" s="4"/>
      <c r="Z234" s="4"/>
    </row>
    <row r="235" ht="9.75" customHeight="1">
      <c r="A235" s="66"/>
      <c r="B235" s="69"/>
      <c r="C235" s="69"/>
      <c r="D235" s="68"/>
      <c r="E235" s="68"/>
      <c r="F235" s="69"/>
      <c r="G235" s="69"/>
      <c r="H235" s="68"/>
      <c r="I235" s="68"/>
      <c r="J235" s="69"/>
      <c r="K235" s="68"/>
      <c r="L235" s="4"/>
      <c r="M235" s="4"/>
      <c r="N235" s="4"/>
      <c r="O235" s="4"/>
      <c r="P235" s="4"/>
      <c r="Q235" s="4"/>
      <c r="R235" s="4"/>
      <c r="S235" s="4"/>
      <c r="T235" s="4"/>
      <c r="U235" s="4"/>
      <c r="V235" s="4"/>
      <c r="W235" s="4"/>
      <c r="X235" s="4"/>
      <c r="Y235" s="4"/>
      <c r="Z235" s="4"/>
    </row>
    <row r="236" ht="9.75" customHeight="1">
      <c r="A236" s="66"/>
      <c r="B236" s="69"/>
      <c r="C236" s="69"/>
      <c r="D236" s="68"/>
      <c r="E236" s="68"/>
      <c r="F236" s="69"/>
      <c r="G236" s="69"/>
      <c r="H236" s="68"/>
      <c r="I236" s="68"/>
      <c r="J236" s="69"/>
      <c r="K236" s="68"/>
      <c r="L236" s="4"/>
      <c r="M236" s="4"/>
      <c r="N236" s="4"/>
      <c r="O236" s="4"/>
      <c r="P236" s="4"/>
      <c r="Q236" s="4"/>
      <c r="R236" s="4"/>
      <c r="S236" s="4"/>
      <c r="T236" s="4"/>
      <c r="U236" s="4"/>
      <c r="V236" s="4"/>
      <c r="W236" s="4"/>
      <c r="X236" s="4"/>
      <c r="Y236" s="4"/>
      <c r="Z236" s="4"/>
    </row>
    <row r="237" ht="9.75" customHeight="1">
      <c r="A237" s="66"/>
      <c r="B237" s="69"/>
      <c r="C237" s="69"/>
      <c r="D237" s="68"/>
      <c r="E237" s="68"/>
      <c r="F237" s="69"/>
      <c r="G237" s="69"/>
      <c r="H237" s="68"/>
      <c r="I237" s="68"/>
      <c r="J237" s="69"/>
      <c r="K237" s="68"/>
      <c r="L237" s="4"/>
      <c r="M237" s="4"/>
      <c r="N237" s="4"/>
      <c r="O237" s="4"/>
      <c r="P237" s="4"/>
      <c r="Q237" s="4"/>
      <c r="R237" s="4"/>
      <c r="S237" s="4"/>
      <c r="T237" s="4"/>
      <c r="U237" s="4"/>
      <c r="V237" s="4"/>
      <c r="W237" s="4"/>
      <c r="X237" s="4"/>
      <c r="Y237" s="4"/>
      <c r="Z237" s="4"/>
    </row>
    <row r="238" ht="9.75" customHeight="1">
      <c r="A238" s="66"/>
      <c r="B238" s="69"/>
      <c r="C238" s="69"/>
      <c r="D238" s="68"/>
      <c r="E238" s="68"/>
      <c r="F238" s="69"/>
      <c r="G238" s="69"/>
      <c r="H238" s="68"/>
      <c r="I238" s="68"/>
      <c r="J238" s="69"/>
      <c r="K238" s="68"/>
      <c r="L238" s="4"/>
      <c r="M238" s="4"/>
      <c r="N238" s="4"/>
      <c r="O238" s="4"/>
      <c r="P238" s="4"/>
      <c r="Q238" s="4"/>
      <c r="R238" s="4"/>
      <c r="S238" s="4"/>
      <c r="T238" s="4"/>
      <c r="U238" s="4"/>
      <c r="V238" s="4"/>
      <c r="W238" s="4"/>
      <c r="X238" s="4"/>
      <c r="Y238" s="4"/>
      <c r="Z238" s="4"/>
    </row>
    <row r="239" ht="9.75" customHeight="1">
      <c r="A239" s="66"/>
      <c r="B239" s="69"/>
      <c r="C239" s="69"/>
      <c r="D239" s="68"/>
      <c r="E239" s="68"/>
      <c r="F239" s="69"/>
      <c r="G239" s="69"/>
      <c r="H239" s="68"/>
      <c r="I239" s="68"/>
      <c r="J239" s="69"/>
      <c r="K239" s="68"/>
      <c r="L239" s="4"/>
      <c r="M239" s="4"/>
      <c r="N239" s="4"/>
      <c r="O239" s="4"/>
      <c r="P239" s="4"/>
      <c r="Q239" s="4"/>
      <c r="R239" s="4"/>
      <c r="S239" s="4"/>
      <c r="T239" s="4"/>
      <c r="U239" s="4"/>
      <c r="V239" s="4"/>
      <c r="W239" s="4"/>
      <c r="X239" s="4"/>
      <c r="Y239" s="4"/>
      <c r="Z239" s="4"/>
    </row>
    <row r="240" ht="9.75" customHeight="1">
      <c r="A240" s="66"/>
      <c r="B240" s="69"/>
      <c r="C240" s="69"/>
      <c r="D240" s="68"/>
      <c r="E240" s="68"/>
      <c r="F240" s="69"/>
      <c r="G240" s="69"/>
      <c r="H240" s="68"/>
      <c r="I240" s="68"/>
      <c r="J240" s="69"/>
      <c r="K240" s="68"/>
      <c r="L240" s="4"/>
      <c r="M240" s="4"/>
      <c r="N240" s="4"/>
      <c r="O240" s="4"/>
      <c r="P240" s="4"/>
      <c r="Q240" s="4"/>
      <c r="R240" s="4"/>
      <c r="S240" s="4"/>
      <c r="T240" s="4"/>
      <c r="U240" s="4"/>
      <c r="V240" s="4"/>
      <c r="W240" s="4"/>
      <c r="X240" s="4"/>
      <c r="Y240" s="4"/>
      <c r="Z240" s="4"/>
    </row>
    <row r="241" ht="9.75" customHeight="1">
      <c r="A241" s="66"/>
      <c r="B241" s="69"/>
      <c r="C241" s="69"/>
      <c r="D241" s="68"/>
      <c r="E241" s="68"/>
      <c r="F241" s="69"/>
      <c r="G241" s="69"/>
      <c r="H241" s="68"/>
      <c r="I241" s="68"/>
      <c r="J241" s="69"/>
      <c r="K241" s="68"/>
      <c r="L241" s="4"/>
      <c r="M241" s="4"/>
      <c r="N241" s="4"/>
      <c r="O241" s="4"/>
      <c r="P241" s="4"/>
      <c r="Q241" s="4"/>
      <c r="R241" s="4"/>
      <c r="S241" s="4"/>
      <c r="T241" s="4"/>
      <c r="U241" s="4"/>
      <c r="V241" s="4"/>
      <c r="W241" s="4"/>
      <c r="X241" s="4"/>
      <c r="Y241" s="4"/>
      <c r="Z241" s="4"/>
    </row>
    <row r="242" ht="9.75" customHeight="1">
      <c r="A242" s="66"/>
      <c r="B242" s="69"/>
      <c r="C242" s="69"/>
      <c r="D242" s="68"/>
      <c r="E242" s="68"/>
      <c r="F242" s="69"/>
      <c r="G242" s="69"/>
      <c r="H242" s="68"/>
      <c r="I242" s="68"/>
      <c r="J242" s="69"/>
      <c r="K242" s="68"/>
      <c r="L242" s="4"/>
      <c r="M242" s="4"/>
      <c r="N242" s="4"/>
      <c r="O242" s="4"/>
      <c r="P242" s="4"/>
      <c r="Q242" s="4"/>
      <c r="R242" s="4"/>
      <c r="S242" s="4"/>
      <c r="T242" s="4"/>
      <c r="U242" s="4"/>
      <c r="V242" s="4"/>
      <c r="W242" s="4"/>
      <c r="X242" s="4"/>
      <c r="Y242" s="4"/>
      <c r="Z242" s="4"/>
    </row>
    <row r="243" ht="9.75" customHeight="1">
      <c r="A243" s="66"/>
      <c r="B243" s="69"/>
      <c r="C243" s="69"/>
      <c r="D243" s="68"/>
      <c r="E243" s="68"/>
      <c r="F243" s="69"/>
      <c r="G243" s="69"/>
      <c r="H243" s="68"/>
      <c r="I243" s="68"/>
      <c r="J243" s="69"/>
      <c r="K243" s="68"/>
      <c r="L243" s="4"/>
      <c r="M243" s="4"/>
      <c r="N243" s="4"/>
      <c r="O243" s="4"/>
      <c r="P243" s="4"/>
      <c r="Q243" s="4"/>
      <c r="R243" s="4"/>
      <c r="S243" s="4"/>
      <c r="T243" s="4"/>
      <c r="U243" s="4"/>
      <c r="V243" s="4"/>
      <c r="W243" s="4"/>
      <c r="X243" s="4"/>
      <c r="Y243" s="4"/>
      <c r="Z243" s="4"/>
    </row>
    <row r="244" ht="9.75" customHeight="1">
      <c r="A244" s="66"/>
      <c r="B244" s="69"/>
      <c r="C244" s="69"/>
      <c r="D244" s="68"/>
      <c r="E244" s="68"/>
      <c r="F244" s="69"/>
      <c r="G244" s="69"/>
      <c r="H244" s="68"/>
      <c r="I244" s="68"/>
      <c r="J244" s="69"/>
      <c r="K244" s="68"/>
      <c r="L244" s="4"/>
      <c r="M244" s="4"/>
      <c r="N244" s="4"/>
      <c r="O244" s="4"/>
      <c r="P244" s="4"/>
      <c r="Q244" s="4"/>
      <c r="R244" s="4"/>
      <c r="S244" s="4"/>
      <c r="T244" s="4"/>
      <c r="U244" s="4"/>
      <c r="V244" s="4"/>
      <c r="W244" s="4"/>
      <c r="X244" s="4"/>
      <c r="Y244" s="4"/>
      <c r="Z244" s="4"/>
    </row>
    <row r="245" ht="9.75" customHeight="1">
      <c r="A245" s="66"/>
      <c r="B245" s="69"/>
      <c r="C245" s="69"/>
      <c r="D245" s="68"/>
      <c r="E245" s="68"/>
      <c r="F245" s="69"/>
      <c r="G245" s="69"/>
      <c r="H245" s="68"/>
      <c r="I245" s="68"/>
      <c r="J245" s="69"/>
      <c r="K245" s="68"/>
      <c r="L245" s="4"/>
      <c r="M245" s="4"/>
      <c r="N245" s="4"/>
      <c r="O245" s="4"/>
      <c r="P245" s="4"/>
      <c r="Q245" s="4"/>
      <c r="R245" s="4"/>
      <c r="S245" s="4"/>
      <c r="T245" s="4"/>
      <c r="U245" s="4"/>
      <c r="V245" s="4"/>
      <c r="W245" s="4"/>
      <c r="X245" s="4"/>
      <c r="Y245" s="4"/>
      <c r="Z245" s="4"/>
    </row>
    <row r="246" ht="9.75" customHeight="1">
      <c r="A246" s="66"/>
      <c r="B246" s="69"/>
      <c r="C246" s="69"/>
      <c r="D246" s="68"/>
      <c r="E246" s="68"/>
      <c r="F246" s="69"/>
      <c r="G246" s="69"/>
      <c r="H246" s="68"/>
      <c r="I246" s="68"/>
      <c r="J246" s="69"/>
      <c r="K246" s="68"/>
      <c r="L246" s="4"/>
      <c r="M246" s="4"/>
      <c r="N246" s="4"/>
      <c r="O246" s="4"/>
      <c r="P246" s="4"/>
      <c r="Q246" s="4"/>
      <c r="R246" s="4"/>
      <c r="S246" s="4"/>
      <c r="T246" s="4"/>
      <c r="U246" s="4"/>
      <c r="V246" s="4"/>
      <c r="W246" s="4"/>
      <c r="X246" s="4"/>
      <c r="Y246" s="4"/>
      <c r="Z246" s="4"/>
    </row>
    <row r="247" ht="9.75" customHeight="1">
      <c r="A247" s="66"/>
      <c r="B247" s="69"/>
      <c r="C247" s="69"/>
      <c r="D247" s="68"/>
      <c r="E247" s="68"/>
      <c r="F247" s="69"/>
      <c r="G247" s="69"/>
      <c r="H247" s="68"/>
      <c r="I247" s="68"/>
      <c r="J247" s="69"/>
      <c r="K247" s="68"/>
      <c r="L247" s="4"/>
      <c r="M247" s="4"/>
      <c r="N247" s="4"/>
      <c r="O247" s="4"/>
      <c r="P247" s="4"/>
      <c r="Q247" s="4"/>
      <c r="R247" s="4"/>
      <c r="S247" s="4"/>
      <c r="T247" s="4"/>
      <c r="U247" s="4"/>
      <c r="V247" s="4"/>
      <c r="W247" s="4"/>
      <c r="X247" s="4"/>
      <c r="Y247" s="4"/>
      <c r="Z247" s="4"/>
    </row>
    <row r="248" ht="9.75" customHeight="1">
      <c r="A248" s="66"/>
      <c r="B248" s="69"/>
      <c r="C248" s="69"/>
      <c r="D248" s="68"/>
      <c r="E248" s="68"/>
      <c r="F248" s="69"/>
      <c r="G248" s="69"/>
      <c r="H248" s="68"/>
      <c r="I248" s="68"/>
      <c r="J248" s="69"/>
      <c r="K248" s="68"/>
      <c r="L248" s="4"/>
      <c r="M248" s="4"/>
      <c r="N248" s="4"/>
      <c r="O248" s="4"/>
      <c r="P248" s="4"/>
      <c r="Q248" s="4"/>
      <c r="R248" s="4"/>
      <c r="S248" s="4"/>
      <c r="T248" s="4"/>
      <c r="U248" s="4"/>
      <c r="V248" s="4"/>
      <c r="W248" s="4"/>
      <c r="X248" s="4"/>
      <c r="Y248" s="4"/>
      <c r="Z248" s="4"/>
    </row>
    <row r="249" ht="9.75" customHeight="1">
      <c r="A249" s="66"/>
      <c r="B249" s="69"/>
      <c r="C249" s="69"/>
      <c r="D249" s="68"/>
      <c r="E249" s="68"/>
      <c r="F249" s="69"/>
      <c r="G249" s="69"/>
      <c r="H249" s="68"/>
      <c r="I249" s="68"/>
      <c r="J249" s="69"/>
      <c r="K249" s="68"/>
      <c r="L249" s="4"/>
      <c r="M249" s="4"/>
      <c r="N249" s="4"/>
      <c r="O249" s="4"/>
      <c r="P249" s="4"/>
      <c r="Q249" s="4"/>
      <c r="R249" s="4"/>
      <c r="S249" s="4"/>
      <c r="T249" s="4"/>
      <c r="U249" s="4"/>
      <c r="V249" s="4"/>
      <c r="W249" s="4"/>
      <c r="X249" s="4"/>
      <c r="Y249" s="4"/>
      <c r="Z249" s="4"/>
    </row>
    <row r="250" ht="9.75" customHeight="1">
      <c r="A250" s="66"/>
      <c r="B250" s="69"/>
      <c r="C250" s="69"/>
      <c r="D250" s="68"/>
      <c r="E250" s="68"/>
      <c r="F250" s="69"/>
      <c r="G250" s="69"/>
      <c r="H250" s="68"/>
      <c r="I250" s="68"/>
      <c r="J250" s="69"/>
      <c r="K250" s="68"/>
      <c r="L250" s="4"/>
      <c r="M250" s="4"/>
      <c r="N250" s="4"/>
      <c r="O250" s="4"/>
      <c r="P250" s="4"/>
      <c r="Q250" s="4"/>
      <c r="R250" s="4"/>
      <c r="S250" s="4"/>
      <c r="T250" s="4"/>
      <c r="U250" s="4"/>
      <c r="V250" s="4"/>
      <c r="W250" s="4"/>
      <c r="X250" s="4"/>
      <c r="Y250" s="4"/>
      <c r="Z250" s="4"/>
    </row>
    <row r="251" ht="9.75" customHeight="1">
      <c r="A251" s="66"/>
      <c r="B251" s="69"/>
      <c r="C251" s="69"/>
      <c r="D251" s="68"/>
      <c r="E251" s="68"/>
      <c r="F251" s="69"/>
      <c r="G251" s="69"/>
      <c r="H251" s="68"/>
      <c r="I251" s="68"/>
      <c r="J251" s="69"/>
      <c r="K251" s="68"/>
      <c r="L251" s="4"/>
      <c r="M251" s="4"/>
      <c r="N251" s="4"/>
      <c r="O251" s="4"/>
      <c r="P251" s="4"/>
      <c r="Q251" s="4"/>
      <c r="R251" s="4"/>
      <c r="S251" s="4"/>
      <c r="T251" s="4"/>
      <c r="U251" s="4"/>
      <c r="V251" s="4"/>
      <c r="W251" s="4"/>
      <c r="X251" s="4"/>
      <c r="Y251" s="4"/>
      <c r="Z251" s="4"/>
    </row>
    <row r="252" ht="9.75" customHeight="1">
      <c r="A252" s="66"/>
      <c r="B252" s="69"/>
      <c r="C252" s="69"/>
      <c r="D252" s="68"/>
      <c r="E252" s="68"/>
      <c r="F252" s="69"/>
      <c r="G252" s="69"/>
      <c r="H252" s="68"/>
      <c r="I252" s="68"/>
      <c r="J252" s="69"/>
      <c r="K252" s="68"/>
      <c r="L252" s="4"/>
      <c r="M252" s="4"/>
      <c r="N252" s="4"/>
      <c r="O252" s="4"/>
      <c r="P252" s="4"/>
      <c r="Q252" s="4"/>
      <c r="R252" s="4"/>
      <c r="S252" s="4"/>
      <c r="T252" s="4"/>
      <c r="U252" s="4"/>
      <c r="V252" s="4"/>
      <c r="W252" s="4"/>
      <c r="X252" s="4"/>
      <c r="Y252" s="4"/>
      <c r="Z252" s="4"/>
    </row>
    <row r="253" ht="9.75" customHeight="1">
      <c r="A253" s="66"/>
      <c r="B253" s="69"/>
      <c r="C253" s="69"/>
      <c r="D253" s="68"/>
      <c r="E253" s="68"/>
      <c r="F253" s="69"/>
      <c r="G253" s="69"/>
      <c r="H253" s="68"/>
      <c r="I253" s="68"/>
      <c r="J253" s="69"/>
      <c r="K253" s="68"/>
      <c r="L253" s="4"/>
      <c r="M253" s="4"/>
      <c r="N253" s="4"/>
      <c r="O253" s="4"/>
      <c r="P253" s="4"/>
      <c r="Q253" s="4"/>
      <c r="R253" s="4"/>
      <c r="S253" s="4"/>
      <c r="T253" s="4"/>
      <c r="U253" s="4"/>
      <c r="V253" s="4"/>
      <c r="W253" s="4"/>
      <c r="X253" s="4"/>
      <c r="Y253" s="4"/>
      <c r="Z253" s="4"/>
    </row>
    <row r="254" ht="9.75" customHeight="1">
      <c r="A254" s="66"/>
      <c r="B254" s="69"/>
      <c r="C254" s="69"/>
      <c r="D254" s="68"/>
      <c r="E254" s="68"/>
      <c r="F254" s="69"/>
      <c r="G254" s="69"/>
      <c r="H254" s="68"/>
      <c r="I254" s="68"/>
      <c r="J254" s="69"/>
      <c r="K254" s="68"/>
      <c r="L254" s="4"/>
      <c r="M254" s="4"/>
      <c r="N254" s="4"/>
      <c r="O254" s="4"/>
      <c r="P254" s="4"/>
      <c r="Q254" s="4"/>
      <c r="R254" s="4"/>
      <c r="S254" s="4"/>
      <c r="T254" s="4"/>
      <c r="U254" s="4"/>
      <c r="V254" s="4"/>
      <c r="W254" s="4"/>
      <c r="X254" s="4"/>
      <c r="Y254" s="4"/>
      <c r="Z254" s="4"/>
    </row>
    <row r="255" ht="9.75" customHeight="1">
      <c r="A255" s="66"/>
      <c r="B255" s="69"/>
      <c r="C255" s="69"/>
      <c r="D255" s="68"/>
      <c r="E255" s="68"/>
      <c r="F255" s="69"/>
      <c r="G255" s="69"/>
      <c r="H255" s="68"/>
      <c r="I255" s="68"/>
      <c r="J255" s="69"/>
      <c r="K255" s="68"/>
      <c r="L255" s="4"/>
      <c r="M255" s="4"/>
      <c r="N255" s="4"/>
      <c r="O255" s="4"/>
      <c r="P255" s="4"/>
      <c r="Q255" s="4"/>
      <c r="R255" s="4"/>
      <c r="S255" s="4"/>
      <c r="T255" s="4"/>
      <c r="U255" s="4"/>
      <c r="V255" s="4"/>
      <c r="W255" s="4"/>
      <c r="X255" s="4"/>
      <c r="Y255" s="4"/>
      <c r="Z255" s="4"/>
    </row>
    <row r="256" ht="9.75" customHeight="1">
      <c r="A256" s="66"/>
      <c r="B256" s="69"/>
      <c r="C256" s="69"/>
      <c r="D256" s="68"/>
      <c r="E256" s="68"/>
      <c r="F256" s="69"/>
      <c r="G256" s="69"/>
      <c r="H256" s="68"/>
      <c r="I256" s="68"/>
      <c r="J256" s="69"/>
      <c r="K256" s="68"/>
      <c r="L256" s="4"/>
      <c r="M256" s="4"/>
      <c r="N256" s="4"/>
      <c r="O256" s="4"/>
      <c r="P256" s="4"/>
      <c r="Q256" s="4"/>
      <c r="R256" s="4"/>
      <c r="S256" s="4"/>
      <c r="T256" s="4"/>
      <c r="U256" s="4"/>
      <c r="V256" s="4"/>
      <c r="W256" s="4"/>
      <c r="X256" s="4"/>
      <c r="Y256" s="4"/>
      <c r="Z256" s="4"/>
    </row>
    <row r="257" ht="9.75" customHeight="1">
      <c r="A257" s="66"/>
      <c r="B257" s="69"/>
      <c r="C257" s="69"/>
      <c r="D257" s="68"/>
      <c r="E257" s="68"/>
      <c r="F257" s="69"/>
      <c r="G257" s="69"/>
      <c r="H257" s="68"/>
      <c r="I257" s="68"/>
      <c r="J257" s="69"/>
      <c r="K257" s="68"/>
      <c r="L257" s="4"/>
      <c r="M257" s="4"/>
      <c r="N257" s="4"/>
      <c r="O257" s="4"/>
      <c r="P257" s="4"/>
      <c r="Q257" s="4"/>
      <c r="R257" s="4"/>
      <c r="S257" s="4"/>
      <c r="T257" s="4"/>
      <c r="U257" s="4"/>
      <c r="V257" s="4"/>
      <c r="W257" s="4"/>
      <c r="X257" s="4"/>
      <c r="Y257" s="4"/>
      <c r="Z257" s="4"/>
    </row>
    <row r="258" ht="9.75" customHeight="1">
      <c r="A258" s="66"/>
      <c r="B258" s="69"/>
      <c r="C258" s="69"/>
      <c r="D258" s="68"/>
      <c r="E258" s="68"/>
      <c r="F258" s="69"/>
      <c r="G258" s="69"/>
      <c r="H258" s="68"/>
      <c r="I258" s="68"/>
      <c r="J258" s="69"/>
      <c r="K258" s="68"/>
      <c r="L258" s="4"/>
      <c r="M258" s="4"/>
      <c r="N258" s="4"/>
      <c r="O258" s="4"/>
      <c r="P258" s="4"/>
      <c r="Q258" s="4"/>
      <c r="R258" s="4"/>
      <c r="S258" s="4"/>
      <c r="T258" s="4"/>
      <c r="U258" s="4"/>
      <c r="V258" s="4"/>
      <c r="W258" s="4"/>
      <c r="X258" s="4"/>
      <c r="Y258" s="4"/>
      <c r="Z258" s="4"/>
    </row>
    <row r="259" ht="9.75" customHeight="1">
      <c r="A259" s="66"/>
      <c r="B259" s="69"/>
      <c r="C259" s="69"/>
      <c r="D259" s="68"/>
      <c r="E259" s="68"/>
      <c r="F259" s="69"/>
      <c r="G259" s="69"/>
      <c r="H259" s="68"/>
      <c r="I259" s="68"/>
      <c r="J259" s="69"/>
      <c r="K259" s="68"/>
      <c r="L259" s="4"/>
      <c r="M259" s="4"/>
      <c r="N259" s="4"/>
      <c r="O259" s="4"/>
      <c r="P259" s="4"/>
      <c r="Q259" s="4"/>
      <c r="R259" s="4"/>
      <c r="S259" s="4"/>
      <c r="T259" s="4"/>
      <c r="U259" s="4"/>
      <c r="V259" s="4"/>
      <c r="W259" s="4"/>
      <c r="X259" s="4"/>
      <c r="Y259" s="4"/>
      <c r="Z259" s="4"/>
    </row>
    <row r="260" ht="9.75" customHeight="1">
      <c r="A260" s="66"/>
      <c r="B260" s="69"/>
      <c r="C260" s="69"/>
      <c r="D260" s="68"/>
      <c r="E260" s="68"/>
      <c r="F260" s="69"/>
      <c r="G260" s="69"/>
      <c r="H260" s="68"/>
      <c r="I260" s="68"/>
      <c r="J260" s="69"/>
      <c r="K260" s="68"/>
      <c r="L260" s="4"/>
      <c r="M260" s="4"/>
      <c r="N260" s="4"/>
      <c r="O260" s="4"/>
      <c r="P260" s="4"/>
      <c r="Q260" s="4"/>
      <c r="R260" s="4"/>
      <c r="S260" s="4"/>
      <c r="T260" s="4"/>
      <c r="U260" s="4"/>
      <c r="V260" s="4"/>
      <c r="W260" s="4"/>
      <c r="X260" s="4"/>
      <c r="Y260" s="4"/>
      <c r="Z260" s="4"/>
    </row>
    <row r="261" ht="9.75" customHeight="1">
      <c r="A261" s="66"/>
      <c r="B261" s="69"/>
      <c r="C261" s="69"/>
      <c r="D261" s="68"/>
      <c r="E261" s="68"/>
      <c r="F261" s="69"/>
      <c r="G261" s="69"/>
      <c r="H261" s="68"/>
      <c r="I261" s="68"/>
      <c r="J261" s="69"/>
      <c r="K261" s="68"/>
      <c r="L261" s="4"/>
      <c r="M261" s="4"/>
      <c r="N261" s="4"/>
      <c r="O261" s="4"/>
      <c r="P261" s="4"/>
      <c r="Q261" s="4"/>
      <c r="R261" s="4"/>
      <c r="S261" s="4"/>
      <c r="T261" s="4"/>
      <c r="U261" s="4"/>
      <c r="V261" s="4"/>
      <c r="W261" s="4"/>
      <c r="X261" s="4"/>
      <c r="Y261" s="4"/>
      <c r="Z261" s="4"/>
    </row>
    <row r="262" ht="9.75" customHeight="1">
      <c r="A262" s="66"/>
      <c r="B262" s="69"/>
      <c r="C262" s="69"/>
      <c r="D262" s="68"/>
      <c r="E262" s="68"/>
      <c r="F262" s="69"/>
      <c r="G262" s="69"/>
      <c r="H262" s="68"/>
      <c r="I262" s="68"/>
      <c r="J262" s="69"/>
      <c r="K262" s="68"/>
      <c r="L262" s="4"/>
      <c r="M262" s="4"/>
      <c r="N262" s="4"/>
      <c r="O262" s="4"/>
      <c r="P262" s="4"/>
      <c r="Q262" s="4"/>
      <c r="R262" s="4"/>
      <c r="S262" s="4"/>
      <c r="T262" s="4"/>
      <c r="U262" s="4"/>
      <c r="V262" s="4"/>
      <c r="W262" s="4"/>
      <c r="X262" s="4"/>
      <c r="Y262" s="4"/>
      <c r="Z262" s="4"/>
    </row>
    <row r="263" ht="9.75" customHeight="1">
      <c r="A263" s="66"/>
      <c r="B263" s="69"/>
      <c r="C263" s="69"/>
      <c r="D263" s="68"/>
      <c r="E263" s="68"/>
      <c r="F263" s="69"/>
      <c r="G263" s="69"/>
      <c r="H263" s="68"/>
      <c r="I263" s="68"/>
      <c r="J263" s="69"/>
      <c r="K263" s="68"/>
      <c r="L263" s="4"/>
      <c r="M263" s="4"/>
      <c r="N263" s="4"/>
      <c r="O263" s="4"/>
      <c r="P263" s="4"/>
      <c r="Q263" s="4"/>
      <c r="R263" s="4"/>
      <c r="S263" s="4"/>
      <c r="T263" s="4"/>
      <c r="U263" s="4"/>
      <c r="V263" s="4"/>
      <c r="W263" s="4"/>
      <c r="X263" s="4"/>
      <c r="Y263" s="4"/>
      <c r="Z263" s="4"/>
    </row>
    <row r="264" ht="9.75" customHeight="1">
      <c r="A264" s="66"/>
      <c r="B264" s="69"/>
      <c r="C264" s="69"/>
      <c r="D264" s="68"/>
      <c r="E264" s="68"/>
      <c r="F264" s="69"/>
      <c r="G264" s="69"/>
      <c r="H264" s="68"/>
      <c r="I264" s="68"/>
      <c r="J264" s="69"/>
      <c r="K264" s="68"/>
      <c r="L264" s="4"/>
      <c r="M264" s="4"/>
      <c r="N264" s="4"/>
      <c r="O264" s="4"/>
      <c r="P264" s="4"/>
      <c r="Q264" s="4"/>
      <c r="R264" s="4"/>
      <c r="S264" s="4"/>
      <c r="T264" s="4"/>
      <c r="U264" s="4"/>
      <c r="V264" s="4"/>
      <c r="W264" s="4"/>
      <c r="X264" s="4"/>
      <c r="Y264" s="4"/>
      <c r="Z264" s="4"/>
    </row>
    <row r="265" ht="9.75" customHeight="1">
      <c r="A265" s="66"/>
      <c r="B265" s="69"/>
      <c r="C265" s="69"/>
      <c r="D265" s="68"/>
      <c r="E265" s="68"/>
      <c r="F265" s="69"/>
      <c r="G265" s="69"/>
      <c r="H265" s="68"/>
      <c r="I265" s="68"/>
      <c r="J265" s="69"/>
      <c r="K265" s="68"/>
      <c r="L265" s="4"/>
      <c r="M265" s="4"/>
      <c r="N265" s="4"/>
      <c r="O265" s="4"/>
      <c r="P265" s="4"/>
      <c r="Q265" s="4"/>
      <c r="R265" s="4"/>
      <c r="S265" s="4"/>
      <c r="T265" s="4"/>
      <c r="U265" s="4"/>
      <c r="V265" s="4"/>
      <c r="W265" s="4"/>
      <c r="X265" s="4"/>
      <c r="Y265" s="4"/>
      <c r="Z265" s="4"/>
    </row>
    <row r="266" ht="9.75" customHeight="1">
      <c r="A266" s="66"/>
      <c r="B266" s="69"/>
      <c r="C266" s="69"/>
      <c r="D266" s="68"/>
      <c r="E266" s="68"/>
      <c r="F266" s="69"/>
      <c r="G266" s="69"/>
      <c r="H266" s="68"/>
      <c r="I266" s="68"/>
      <c r="J266" s="69"/>
      <c r="K266" s="68"/>
      <c r="L266" s="4"/>
      <c r="M266" s="4"/>
      <c r="N266" s="4"/>
      <c r="O266" s="4"/>
      <c r="P266" s="4"/>
      <c r="Q266" s="4"/>
      <c r="R266" s="4"/>
      <c r="S266" s="4"/>
      <c r="T266" s="4"/>
      <c r="U266" s="4"/>
      <c r="V266" s="4"/>
      <c r="W266" s="4"/>
      <c r="X266" s="4"/>
      <c r="Y266" s="4"/>
      <c r="Z266" s="4"/>
    </row>
    <row r="267" ht="9.75" customHeight="1">
      <c r="A267" s="66"/>
      <c r="B267" s="69"/>
      <c r="C267" s="69"/>
      <c r="D267" s="68"/>
      <c r="E267" s="68"/>
      <c r="F267" s="69"/>
      <c r="G267" s="69"/>
      <c r="H267" s="68"/>
      <c r="I267" s="68"/>
      <c r="J267" s="69"/>
      <c r="K267" s="68"/>
      <c r="L267" s="4"/>
      <c r="M267" s="4"/>
      <c r="N267" s="4"/>
      <c r="O267" s="4"/>
      <c r="P267" s="4"/>
      <c r="Q267" s="4"/>
      <c r="R267" s="4"/>
      <c r="S267" s="4"/>
      <c r="T267" s="4"/>
      <c r="U267" s="4"/>
      <c r="V267" s="4"/>
      <c r="W267" s="4"/>
      <c r="X267" s="4"/>
      <c r="Y267" s="4"/>
      <c r="Z267" s="4"/>
    </row>
    <row r="268" ht="9.75" customHeight="1">
      <c r="A268" s="66"/>
      <c r="B268" s="69"/>
      <c r="C268" s="69"/>
      <c r="D268" s="68"/>
      <c r="E268" s="68"/>
      <c r="F268" s="69"/>
      <c r="G268" s="69"/>
      <c r="H268" s="68"/>
      <c r="I268" s="68"/>
      <c r="J268" s="69"/>
      <c r="K268" s="68"/>
      <c r="L268" s="4"/>
      <c r="M268" s="4"/>
      <c r="N268" s="4"/>
      <c r="O268" s="4"/>
      <c r="P268" s="4"/>
      <c r="Q268" s="4"/>
      <c r="R268" s="4"/>
      <c r="S268" s="4"/>
      <c r="T268" s="4"/>
      <c r="U268" s="4"/>
      <c r="V268" s="4"/>
      <c r="W268" s="4"/>
      <c r="X268" s="4"/>
      <c r="Y268" s="4"/>
      <c r="Z268" s="4"/>
    </row>
    <row r="269" ht="9.75" customHeight="1">
      <c r="A269" s="66"/>
      <c r="B269" s="69"/>
      <c r="C269" s="69"/>
      <c r="D269" s="68"/>
      <c r="E269" s="68"/>
      <c r="F269" s="69"/>
      <c r="G269" s="69"/>
      <c r="H269" s="68"/>
      <c r="I269" s="68"/>
      <c r="J269" s="69"/>
      <c r="K269" s="68"/>
      <c r="L269" s="4"/>
      <c r="M269" s="4"/>
      <c r="N269" s="4"/>
      <c r="O269" s="4"/>
      <c r="P269" s="4"/>
      <c r="Q269" s="4"/>
      <c r="R269" s="4"/>
      <c r="S269" s="4"/>
      <c r="T269" s="4"/>
      <c r="U269" s="4"/>
      <c r="V269" s="4"/>
      <c r="W269" s="4"/>
      <c r="X269" s="4"/>
      <c r="Y269" s="4"/>
      <c r="Z269" s="4"/>
    </row>
    <row r="270" ht="9.75" customHeight="1">
      <c r="A270" s="66"/>
      <c r="B270" s="69"/>
      <c r="C270" s="69"/>
      <c r="D270" s="68"/>
      <c r="E270" s="68"/>
      <c r="F270" s="69"/>
      <c r="G270" s="69"/>
      <c r="H270" s="68"/>
      <c r="I270" s="68"/>
      <c r="J270" s="69"/>
      <c r="K270" s="68"/>
      <c r="L270" s="4"/>
      <c r="M270" s="4"/>
      <c r="N270" s="4"/>
      <c r="O270" s="4"/>
      <c r="P270" s="4"/>
      <c r="Q270" s="4"/>
      <c r="R270" s="4"/>
      <c r="S270" s="4"/>
      <c r="T270" s="4"/>
      <c r="U270" s="4"/>
      <c r="V270" s="4"/>
      <c r="W270" s="4"/>
      <c r="X270" s="4"/>
      <c r="Y270" s="4"/>
      <c r="Z270" s="4"/>
    </row>
    <row r="271" ht="9.75" customHeight="1">
      <c r="A271" s="66"/>
      <c r="B271" s="69"/>
      <c r="C271" s="69"/>
      <c r="D271" s="68"/>
      <c r="E271" s="68"/>
      <c r="F271" s="69"/>
      <c r="G271" s="69"/>
      <c r="H271" s="68"/>
      <c r="I271" s="68"/>
      <c r="J271" s="69"/>
      <c r="K271" s="68"/>
      <c r="L271" s="4"/>
      <c r="M271" s="4"/>
      <c r="N271" s="4"/>
      <c r="O271" s="4"/>
      <c r="P271" s="4"/>
      <c r="Q271" s="4"/>
      <c r="R271" s="4"/>
      <c r="S271" s="4"/>
      <c r="T271" s="4"/>
      <c r="U271" s="4"/>
      <c r="V271" s="4"/>
      <c r="W271" s="4"/>
      <c r="X271" s="4"/>
      <c r="Y271" s="4"/>
      <c r="Z271" s="4"/>
    </row>
    <row r="272" ht="9.75" customHeight="1">
      <c r="A272" s="66"/>
      <c r="B272" s="69"/>
      <c r="C272" s="69"/>
      <c r="D272" s="68"/>
      <c r="E272" s="68"/>
      <c r="F272" s="69"/>
      <c r="G272" s="69"/>
      <c r="H272" s="68"/>
      <c r="I272" s="68"/>
      <c r="J272" s="69"/>
      <c r="K272" s="68"/>
      <c r="L272" s="4"/>
      <c r="M272" s="4"/>
      <c r="N272" s="4"/>
      <c r="O272" s="4"/>
      <c r="P272" s="4"/>
      <c r="Q272" s="4"/>
      <c r="R272" s="4"/>
      <c r="S272" s="4"/>
      <c r="T272" s="4"/>
      <c r="U272" s="4"/>
      <c r="V272" s="4"/>
      <c r="W272" s="4"/>
      <c r="X272" s="4"/>
      <c r="Y272" s="4"/>
      <c r="Z272" s="4"/>
    </row>
    <row r="273" ht="9.75" customHeight="1">
      <c r="A273" s="66"/>
      <c r="B273" s="69"/>
      <c r="C273" s="69"/>
      <c r="D273" s="68"/>
      <c r="E273" s="68"/>
      <c r="F273" s="69"/>
      <c r="G273" s="69"/>
      <c r="H273" s="68"/>
      <c r="I273" s="68"/>
      <c r="J273" s="69"/>
      <c r="K273" s="68"/>
      <c r="L273" s="4"/>
      <c r="M273" s="4"/>
      <c r="N273" s="4"/>
      <c r="O273" s="4"/>
      <c r="P273" s="4"/>
      <c r="Q273" s="4"/>
      <c r="R273" s="4"/>
      <c r="S273" s="4"/>
      <c r="T273" s="4"/>
      <c r="U273" s="4"/>
      <c r="V273" s="4"/>
      <c r="W273" s="4"/>
      <c r="X273" s="4"/>
      <c r="Y273" s="4"/>
      <c r="Z273" s="4"/>
    </row>
    <row r="274" ht="9.75" customHeight="1">
      <c r="A274" s="66"/>
      <c r="B274" s="69"/>
      <c r="C274" s="69"/>
      <c r="D274" s="68"/>
      <c r="E274" s="68"/>
      <c r="F274" s="69"/>
      <c r="G274" s="69"/>
      <c r="H274" s="68"/>
      <c r="I274" s="68"/>
      <c r="J274" s="69"/>
      <c r="K274" s="68"/>
      <c r="L274" s="4"/>
      <c r="M274" s="4"/>
      <c r="N274" s="4"/>
      <c r="O274" s="4"/>
      <c r="P274" s="4"/>
      <c r="Q274" s="4"/>
      <c r="R274" s="4"/>
      <c r="S274" s="4"/>
      <c r="T274" s="4"/>
      <c r="U274" s="4"/>
      <c r="V274" s="4"/>
      <c r="W274" s="4"/>
      <c r="X274" s="4"/>
      <c r="Y274" s="4"/>
      <c r="Z274" s="4"/>
    </row>
    <row r="275" ht="9.75" customHeight="1">
      <c r="A275" s="66"/>
      <c r="B275" s="69"/>
      <c r="C275" s="69"/>
      <c r="D275" s="68"/>
      <c r="E275" s="68"/>
      <c r="F275" s="69"/>
      <c r="G275" s="69"/>
      <c r="H275" s="68"/>
      <c r="I275" s="68"/>
      <c r="J275" s="69"/>
      <c r="K275" s="68"/>
      <c r="L275" s="4"/>
      <c r="M275" s="4"/>
      <c r="N275" s="4"/>
      <c r="O275" s="4"/>
      <c r="P275" s="4"/>
      <c r="Q275" s="4"/>
      <c r="R275" s="4"/>
      <c r="S275" s="4"/>
      <c r="T275" s="4"/>
      <c r="U275" s="4"/>
      <c r="V275" s="4"/>
      <c r="W275" s="4"/>
      <c r="X275" s="4"/>
      <c r="Y275" s="4"/>
      <c r="Z275" s="4"/>
    </row>
    <row r="276" ht="9.75" customHeight="1">
      <c r="A276" s="66"/>
      <c r="B276" s="69"/>
      <c r="C276" s="69"/>
      <c r="D276" s="68"/>
      <c r="E276" s="68"/>
      <c r="F276" s="69"/>
      <c r="G276" s="69"/>
      <c r="H276" s="68"/>
      <c r="I276" s="68"/>
      <c r="J276" s="69"/>
      <c r="K276" s="68"/>
      <c r="L276" s="4"/>
      <c r="M276" s="4"/>
      <c r="N276" s="4"/>
      <c r="O276" s="4"/>
      <c r="P276" s="4"/>
      <c r="Q276" s="4"/>
      <c r="R276" s="4"/>
      <c r="S276" s="4"/>
      <c r="T276" s="4"/>
      <c r="U276" s="4"/>
      <c r="V276" s="4"/>
      <c r="W276" s="4"/>
      <c r="X276" s="4"/>
      <c r="Y276" s="4"/>
      <c r="Z276" s="4"/>
    </row>
    <row r="277" ht="9.75" customHeight="1">
      <c r="A277" s="66"/>
      <c r="B277" s="69"/>
      <c r="C277" s="69"/>
      <c r="D277" s="68"/>
      <c r="E277" s="68"/>
      <c r="F277" s="69"/>
      <c r="G277" s="69"/>
      <c r="H277" s="68"/>
      <c r="I277" s="68"/>
      <c r="J277" s="69"/>
      <c r="K277" s="68"/>
      <c r="L277" s="4"/>
      <c r="M277" s="4"/>
      <c r="N277" s="4"/>
      <c r="O277" s="4"/>
      <c r="P277" s="4"/>
      <c r="Q277" s="4"/>
      <c r="R277" s="4"/>
      <c r="S277" s="4"/>
      <c r="T277" s="4"/>
      <c r="U277" s="4"/>
      <c r="V277" s="4"/>
      <c r="W277" s="4"/>
      <c r="X277" s="4"/>
      <c r="Y277" s="4"/>
      <c r="Z277" s="4"/>
    </row>
    <row r="278" ht="9.75" customHeight="1">
      <c r="A278" s="66"/>
      <c r="B278" s="69"/>
      <c r="C278" s="69"/>
      <c r="D278" s="68"/>
      <c r="E278" s="68"/>
      <c r="F278" s="69"/>
      <c r="G278" s="69"/>
      <c r="H278" s="68"/>
      <c r="I278" s="68"/>
      <c r="J278" s="69"/>
      <c r="K278" s="68"/>
      <c r="L278" s="4"/>
      <c r="M278" s="4"/>
      <c r="N278" s="4"/>
      <c r="O278" s="4"/>
      <c r="P278" s="4"/>
      <c r="Q278" s="4"/>
      <c r="R278" s="4"/>
      <c r="S278" s="4"/>
      <c r="T278" s="4"/>
      <c r="U278" s="4"/>
      <c r="V278" s="4"/>
      <c r="W278" s="4"/>
      <c r="X278" s="4"/>
      <c r="Y278" s="4"/>
      <c r="Z278" s="4"/>
    </row>
    <row r="279" ht="9.75" customHeight="1">
      <c r="A279" s="66"/>
      <c r="B279" s="69"/>
      <c r="C279" s="69"/>
      <c r="D279" s="68"/>
      <c r="E279" s="68"/>
      <c r="F279" s="69"/>
      <c r="G279" s="69"/>
      <c r="H279" s="68"/>
      <c r="I279" s="68"/>
      <c r="J279" s="69"/>
      <c r="K279" s="68"/>
      <c r="L279" s="4"/>
      <c r="M279" s="4"/>
      <c r="N279" s="4"/>
      <c r="O279" s="4"/>
      <c r="P279" s="4"/>
      <c r="Q279" s="4"/>
      <c r="R279" s="4"/>
      <c r="S279" s="4"/>
      <c r="T279" s="4"/>
      <c r="U279" s="4"/>
      <c r="V279" s="4"/>
      <c r="W279" s="4"/>
      <c r="X279" s="4"/>
      <c r="Y279" s="4"/>
      <c r="Z279" s="4"/>
    </row>
    <row r="280" ht="9.75" customHeight="1">
      <c r="A280" s="66"/>
      <c r="B280" s="69"/>
      <c r="C280" s="69"/>
      <c r="D280" s="68"/>
      <c r="E280" s="68"/>
      <c r="F280" s="69"/>
      <c r="G280" s="69"/>
      <c r="H280" s="68"/>
      <c r="I280" s="68"/>
      <c r="J280" s="69"/>
      <c r="K280" s="68"/>
      <c r="L280" s="4"/>
      <c r="M280" s="4"/>
      <c r="N280" s="4"/>
      <c r="O280" s="4"/>
      <c r="P280" s="4"/>
      <c r="Q280" s="4"/>
      <c r="R280" s="4"/>
      <c r="S280" s="4"/>
      <c r="T280" s="4"/>
      <c r="U280" s="4"/>
      <c r="V280" s="4"/>
      <c r="W280" s="4"/>
      <c r="X280" s="4"/>
      <c r="Y280" s="4"/>
      <c r="Z280" s="4"/>
    </row>
    <row r="281" ht="9.75" customHeight="1">
      <c r="A281" s="66"/>
      <c r="B281" s="69"/>
      <c r="C281" s="69"/>
      <c r="D281" s="68"/>
      <c r="E281" s="68"/>
      <c r="F281" s="69"/>
      <c r="G281" s="69"/>
      <c r="H281" s="68"/>
      <c r="I281" s="68"/>
      <c r="J281" s="69"/>
      <c r="K281" s="68"/>
      <c r="L281" s="4"/>
      <c r="M281" s="4"/>
      <c r="N281" s="4"/>
      <c r="O281" s="4"/>
      <c r="P281" s="4"/>
      <c r="Q281" s="4"/>
      <c r="R281" s="4"/>
      <c r="S281" s="4"/>
      <c r="T281" s="4"/>
      <c r="U281" s="4"/>
      <c r="V281" s="4"/>
      <c r="W281" s="4"/>
      <c r="X281" s="4"/>
      <c r="Y281" s="4"/>
      <c r="Z281" s="4"/>
    </row>
    <row r="282" ht="9.75" customHeight="1">
      <c r="A282" s="66"/>
      <c r="B282" s="69"/>
      <c r="C282" s="69"/>
      <c r="D282" s="68"/>
      <c r="E282" s="68"/>
      <c r="F282" s="69"/>
      <c r="G282" s="69"/>
      <c r="H282" s="68"/>
      <c r="I282" s="68"/>
      <c r="J282" s="69"/>
      <c r="K282" s="68"/>
      <c r="L282" s="4"/>
      <c r="M282" s="4"/>
      <c r="N282" s="4"/>
      <c r="O282" s="4"/>
      <c r="P282" s="4"/>
      <c r="Q282" s="4"/>
      <c r="R282" s="4"/>
      <c r="S282" s="4"/>
      <c r="T282" s="4"/>
      <c r="U282" s="4"/>
      <c r="V282" s="4"/>
      <c r="W282" s="4"/>
      <c r="X282" s="4"/>
      <c r="Y282" s="4"/>
      <c r="Z282" s="4"/>
    </row>
    <row r="283" ht="9.75" customHeight="1">
      <c r="A283" s="66"/>
      <c r="B283" s="69"/>
      <c r="C283" s="69"/>
      <c r="D283" s="68"/>
      <c r="E283" s="68"/>
      <c r="F283" s="69"/>
      <c r="G283" s="69"/>
      <c r="H283" s="68"/>
      <c r="I283" s="68"/>
      <c r="J283" s="69"/>
      <c r="K283" s="68"/>
      <c r="L283" s="4"/>
      <c r="M283" s="4"/>
      <c r="N283" s="4"/>
      <c r="O283" s="4"/>
      <c r="P283" s="4"/>
      <c r="Q283" s="4"/>
      <c r="R283" s="4"/>
      <c r="S283" s="4"/>
      <c r="T283" s="4"/>
      <c r="U283" s="4"/>
      <c r="V283" s="4"/>
      <c r="W283" s="4"/>
      <c r="X283" s="4"/>
      <c r="Y283" s="4"/>
      <c r="Z283" s="4"/>
    </row>
    <row r="284" ht="9.75" customHeight="1">
      <c r="A284" s="66"/>
      <c r="B284" s="69"/>
      <c r="C284" s="69"/>
      <c r="D284" s="68"/>
      <c r="E284" s="68"/>
      <c r="F284" s="69"/>
      <c r="G284" s="69"/>
      <c r="H284" s="68"/>
      <c r="I284" s="68"/>
      <c r="J284" s="69"/>
      <c r="K284" s="68"/>
      <c r="L284" s="4"/>
      <c r="M284" s="4"/>
      <c r="N284" s="4"/>
      <c r="O284" s="4"/>
      <c r="P284" s="4"/>
      <c r="Q284" s="4"/>
      <c r="R284" s="4"/>
      <c r="S284" s="4"/>
      <c r="T284" s="4"/>
      <c r="U284" s="4"/>
      <c r="V284" s="4"/>
      <c r="W284" s="4"/>
      <c r="X284" s="4"/>
      <c r="Y284" s="4"/>
      <c r="Z284" s="4"/>
    </row>
    <row r="285" ht="9.75" customHeight="1">
      <c r="A285" s="66"/>
      <c r="B285" s="69"/>
      <c r="C285" s="69"/>
      <c r="D285" s="68"/>
      <c r="E285" s="68"/>
      <c r="F285" s="69"/>
      <c r="G285" s="69"/>
      <c r="H285" s="68"/>
      <c r="I285" s="68"/>
      <c r="J285" s="69"/>
      <c r="K285" s="68"/>
      <c r="L285" s="4"/>
      <c r="M285" s="4"/>
      <c r="N285" s="4"/>
      <c r="O285" s="4"/>
      <c r="P285" s="4"/>
      <c r="Q285" s="4"/>
      <c r="R285" s="4"/>
      <c r="S285" s="4"/>
      <c r="T285" s="4"/>
      <c r="U285" s="4"/>
      <c r="V285" s="4"/>
      <c r="W285" s="4"/>
      <c r="X285" s="4"/>
      <c r="Y285" s="4"/>
      <c r="Z285" s="4"/>
    </row>
    <row r="286" ht="9.75" customHeight="1">
      <c r="A286" s="66"/>
      <c r="B286" s="69"/>
      <c r="C286" s="69"/>
      <c r="D286" s="68"/>
      <c r="E286" s="68"/>
      <c r="F286" s="69"/>
      <c r="G286" s="69"/>
      <c r="H286" s="68"/>
      <c r="I286" s="68"/>
      <c r="J286" s="69"/>
      <c r="K286" s="68"/>
      <c r="L286" s="4"/>
      <c r="M286" s="4"/>
      <c r="N286" s="4"/>
      <c r="O286" s="4"/>
      <c r="P286" s="4"/>
      <c r="Q286" s="4"/>
      <c r="R286" s="4"/>
      <c r="S286" s="4"/>
      <c r="T286" s="4"/>
      <c r="U286" s="4"/>
      <c r="V286" s="4"/>
      <c r="W286" s="4"/>
      <c r="X286" s="4"/>
      <c r="Y286" s="4"/>
      <c r="Z286" s="4"/>
    </row>
    <row r="287" ht="9.75" customHeight="1">
      <c r="A287" s="66"/>
      <c r="B287" s="69"/>
      <c r="C287" s="69"/>
      <c r="D287" s="68"/>
      <c r="E287" s="68"/>
      <c r="F287" s="69"/>
      <c r="G287" s="69"/>
      <c r="H287" s="68"/>
      <c r="I287" s="68"/>
      <c r="J287" s="69"/>
      <c r="K287" s="68"/>
      <c r="L287" s="4"/>
      <c r="M287" s="4"/>
      <c r="N287" s="4"/>
      <c r="O287" s="4"/>
      <c r="P287" s="4"/>
      <c r="Q287" s="4"/>
      <c r="R287" s="4"/>
      <c r="S287" s="4"/>
      <c r="T287" s="4"/>
      <c r="U287" s="4"/>
      <c r="V287" s="4"/>
      <c r="W287" s="4"/>
      <c r="X287" s="4"/>
      <c r="Y287" s="4"/>
      <c r="Z287" s="4"/>
    </row>
    <row r="288" ht="9.75" customHeight="1">
      <c r="A288" s="66"/>
      <c r="B288" s="69"/>
      <c r="C288" s="69"/>
      <c r="D288" s="68"/>
      <c r="E288" s="68"/>
      <c r="F288" s="69"/>
      <c r="G288" s="69"/>
      <c r="H288" s="68"/>
      <c r="I288" s="68"/>
      <c r="J288" s="69"/>
      <c r="K288" s="68"/>
      <c r="L288" s="4"/>
      <c r="M288" s="4"/>
      <c r="N288" s="4"/>
      <c r="O288" s="4"/>
      <c r="P288" s="4"/>
      <c r="Q288" s="4"/>
      <c r="R288" s="4"/>
      <c r="S288" s="4"/>
      <c r="T288" s="4"/>
      <c r="U288" s="4"/>
      <c r="V288" s="4"/>
      <c r="W288" s="4"/>
      <c r="X288" s="4"/>
      <c r="Y288" s="4"/>
      <c r="Z288" s="4"/>
    </row>
    <row r="289" ht="9.75" customHeight="1">
      <c r="A289" s="66"/>
      <c r="B289" s="69"/>
      <c r="C289" s="69"/>
      <c r="D289" s="68"/>
      <c r="E289" s="68"/>
      <c r="F289" s="69"/>
      <c r="G289" s="69"/>
      <c r="H289" s="68"/>
      <c r="I289" s="68"/>
      <c r="J289" s="69"/>
      <c r="K289" s="68"/>
      <c r="L289" s="4"/>
      <c r="M289" s="4"/>
      <c r="N289" s="4"/>
      <c r="O289" s="4"/>
      <c r="P289" s="4"/>
      <c r="Q289" s="4"/>
      <c r="R289" s="4"/>
      <c r="S289" s="4"/>
      <c r="T289" s="4"/>
      <c r="U289" s="4"/>
      <c r="V289" s="4"/>
      <c r="W289" s="4"/>
      <c r="X289" s="4"/>
      <c r="Y289" s="4"/>
      <c r="Z289" s="4"/>
    </row>
    <row r="290" ht="9.75" customHeight="1">
      <c r="A290" s="66"/>
      <c r="B290" s="69"/>
      <c r="C290" s="69"/>
      <c r="D290" s="68"/>
      <c r="E290" s="68"/>
      <c r="F290" s="69"/>
      <c r="G290" s="69"/>
      <c r="H290" s="68"/>
      <c r="I290" s="68"/>
      <c r="J290" s="69"/>
      <c r="K290" s="68"/>
      <c r="L290" s="4"/>
      <c r="M290" s="4"/>
      <c r="N290" s="4"/>
      <c r="O290" s="4"/>
      <c r="P290" s="4"/>
      <c r="Q290" s="4"/>
      <c r="R290" s="4"/>
      <c r="S290" s="4"/>
      <c r="T290" s="4"/>
      <c r="U290" s="4"/>
      <c r="V290" s="4"/>
      <c r="W290" s="4"/>
      <c r="X290" s="4"/>
      <c r="Y290" s="4"/>
      <c r="Z290" s="4"/>
    </row>
    <row r="291" ht="9.75" customHeight="1">
      <c r="A291" s="66"/>
      <c r="B291" s="69"/>
      <c r="C291" s="69"/>
      <c r="D291" s="68"/>
      <c r="E291" s="68"/>
      <c r="F291" s="69"/>
      <c r="G291" s="69"/>
      <c r="H291" s="68"/>
      <c r="I291" s="68"/>
      <c r="J291" s="69"/>
      <c r="K291" s="68"/>
      <c r="L291" s="4"/>
      <c r="M291" s="4"/>
      <c r="N291" s="4"/>
      <c r="O291" s="4"/>
      <c r="P291" s="4"/>
      <c r="Q291" s="4"/>
      <c r="R291" s="4"/>
      <c r="S291" s="4"/>
      <c r="T291" s="4"/>
      <c r="U291" s="4"/>
      <c r="V291" s="4"/>
      <c r="W291" s="4"/>
      <c r="X291" s="4"/>
      <c r="Y291" s="4"/>
      <c r="Z291" s="4"/>
    </row>
    <row r="292" ht="9.75" customHeight="1">
      <c r="A292" s="66"/>
      <c r="B292" s="69"/>
      <c r="C292" s="69"/>
      <c r="D292" s="68"/>
      <c r="E292" s="68"/>
      <c r="F292" s="69"/>
      <c r="G292" s="69"/>
      <c r="H292" s="68"/>
      <c r="I292" s="68"/>
      <c r="J292" s="69"/>
      <c r="K292" s="68"/>
      <c r="L292" s="4"/>
      <c r="M292" s="4"/>
      <c r="N292" s="4"/>
      <c r="O292" s="4"/>
      <c r="P292" s="4"/>
      <c r="Q292" s="4"/>
      <c r="R292" s="4"/>
      <c r="S292" s="4"/>
      <c r="T292" s="4"/>
      <c r="U292" s="4"/>
      <c r="V292" s="4"/>
      <c r="W292" s="4"/>
      <c r="X292" s="4"/>
      <c r="Y292" s="4"/>
      <c r="Z292" s="4"/>
    </row>
    <row r="293" ht="9.75" customHeight="1">
      <c r="A293" s="66"/>
      <c r="B293" s="69"/>
      <c r="C293" s="69"/>
      <c r="D293" s="68"/>
      <c r="E293" s="68"/>
      <c r="F293" s="69"/>
      <c r="G293" s="69"/>
      <c r="H293" s="68"/>
      <c r="I293" s="68"/>
      <c r="J293" s="69"/>
      <c r="K293" s="68"/>
      <c r="L293" s="4"/>
      <c r="M293" s="4"/>
      <c r="N293" s="4"/>
      <c r="O293" s="4"/>
      <c r="P293" s="4"/>
      <c r="Q293" s="4"/>
      <c r="R293" s="4"/>
      <c r="S293" s="4"/>
      <c r="T293" s="4"/>
      <c r="U293" s="4"/>
      <c r="V293" s="4"/>
      <c r="W293" s="4"/>
      <c r="X293" s="4"/>
      <c r="Y293" s="4"/>
      <c r="Z293" s="4"/>
    </row>
    <row r="294" ht="9.75" customHeight="1">
      <c r="A294" s="66"/>
      <c r="B294" s="69"/>
      <c r="C294" s="69"/>
      <c r="D294" s="68"/>
      <c r="E294" s="68"/>
      <c r="F294" s="69"/>
      <c r="G294" s="69"/>
      <c r="H294" s="68"/>
      <c r="I294" s="68"/>
      <c r="J294" s="69"/>
      <c r="K294" s="68"/>
      <c r="L294" s="4"/>
      <c r="M294" s="4"/>
      <c r="N294" s="4"/>
      <c r="O294" s="4"/>
      <c r="P294" s="4"/>
      <c r="Q294" s="4"/>
      <c r="R294" s="4"/>
      <c r="S294" s="4"/>
      <c r="T294" s="4"/>
      <c r="U294" s="4"/>
      <c r="V294" s="4"/>
      <c r="W294" s="4"/>
      <c r="X294" s="4"/>
      <c r="Y294" s="4"/>
      <c r="Z294" s="4"/>
    </row>
    <row r="295" ht="9.75" customHeight="1">
      <c r="A295" s="66"/>
      <c r="B295" s="69"/>
      <c r="C295" s="69"/>
      <c r="D295" s="68"/>
      <c r="E295" s="68"/>
      <c r="F295" s="69"/>
      <c r="G295" s="69"/>
      <c r="H295" s="68"/>
      <c r="I295" s="68"/>
      <c r="J295" s="69"/>
      <c r="K295" s="68"/>
      <c r="L295" s="4"/>
      <c r="M295" s="4"/>
      <c r="N295" s="4"/>
      <c r="O295" s="4"/>
      <c r="P295" s="4"/>
      <c r="Q295" s="4"/>
      <c r="R295" s="4"/>
      <c r="S295" s="4"/>
      <c r="T295" s="4"/>
      <c r="U295" s="4"/>
      <c r="V295" s="4"/>
      <c r="W295" s="4"/>
      <c r="X295" s="4"/>
      <c r="Y295" s="4"/>
      <c r="Z295" s="4"/>
    </row>
    <row r="296" ht="9.75" customHeight="1">
      <c r="A296" s="66"/>
      <c r="B296" s="69"/>
      <c r="C296" s="69"/>
      <c r="D296" s="68"/>
      <c r="E296" s="68"/>
      <c r="F296" s="69"/>
      <c r="G296" s="69"/>
      <c r="H296" s="68"/>
      <c r="I296" s="68"/>
      <c r="J296" s="69"/>
      <c r="K296" s="68"/>
      <c r="L296" s="4"/>
      <c r="M296" s="4"/>
      <c r="N296" s="4"/>
      <c r="O296" s="4"/>
      <c r="P296" s="4"/>
      <c r="Q296" s="4"/>
      <c r="R296" s="4"/>
      <c r="S296" s="4"/>
      <c r="T296" s="4"/>
      <c r="U296" s="4"/>
      <c r="V296" s="4"/>
      <c r="W296" s="4"/>
      <c r="X296" s="4"/>
      <c r="Y296" s="4"/>
      <c r="Z296" s="4"/>
    </row>
    <row r="297" ht="9.75" customHeight="1">
      <c r="A297" s="4"/>
      <c r="B297" s="7"/>
      <c r="C297" s="7"/>
      <c r="D297" s="4"/>
      <c r="E297" s="4"/>
      <c r="F297" s="7"/>
      <c r="G297" s="7"/>
      <c r="H297" s="4"/>
      <c r="I297" s="4"/>
      <c r="J297" s="7"/>
      <c r="K297" s="4"/>
      <c r="L297" s="4"/>
      <c r="M297" s="4"/>
      <c r="N297" s="4"/>
      <c r="O297" s="4"/>
      <c r="P297" s="4"/>
      <c r="Q297" s="4"/>
      <c r="R297" s="4"/>
      <c r="S297" s="4"/>
      <c r="T297" s="4"/>
      <c r="U297" s="4"/>
      <c r="V297" s="4"/>
      <c r="W297" s="4"/>
      <c r="X297" s="4"/>
      <c r="Y297" s="4"/>
      <c r="Z297" s="4"/>
    </row>
    <row r="298" ht="9.75" customHeight="1">
      <c r="A298" s="4"/>
      <c r="B298" s="7"/>
      <c r="C298" s="7"/>
      <c r="D298" s="4"/>
      <c r="E298" s="4"/>
      <c r="F298" s="7"/>
      <c r="G298" s="7"/>
      <c r="H298" s="4"/>
      <c r="I298" s="4"/>
      <c r="J298" s="7"/>
      <c r="K298" s="4"/>
      <c r="L298" s="4"/>
      <c r="M298" s="4"/>
      <c r="N298" s="4"/>
      <c r="O298" s="4"/>
      <c r="P298" s="4"/>
      <c r="Q298" s="4"/>
      <c r="R298" s="4"/>
      <c r="S298" s="4"/>
      <c r="T298" s="4"/>
      <c r="U298" s="4"/>
      <c r="V298" s="4"/>
      <c r="W298" s="4"/>
      <c r="X298" s="4"/>
      <c r="Y298" s="4"/>
      <c r="Z298" s="4"/>
    </row>
    <row r="299" ht="9.75" customHeight="1">
      <c r="A299" s="4"/>
      <c r="B299" s="7"/>
      <c r="C299" s="7"/>
      <c r="D299" s="4"/>
      <c r="E299" s="4"/>
      <c r="F299" s="7"/>
      <c r="G299" s="7"/>
      <c r="H299" s="4"/>
      <c r="I299" s="4"/>
      <c r="J299" s="7"/>
      <c r="K299" s="4"/>
      <c r="L299" s="4"/>
      <c r="M299" s="4"/>
      <c r="N299" s="4"/>
      <c r="O299" s="4"/>
      <c r="P299" s="4"/>
      <c r="Q299" s="4"/>
      <c r="R299" s="4"/>
      <c r="S299" s="4"/>
      <c r="T299" s="4"/>
      <c r="U299" s="4"/>
      <c r="V299" s="4"/>
      <c r="W299" s="4"/>
      <c r="X299" s="4"/>
      <c r="Y299" s="4"/>
      <c r="Z299" s="4"/>
    </row>
    <row r="300" ht="9.75" customHeight="1">
      <c r="A300" s="4"/>
      <c r="B300" s="7"/>
      <c r="C300" s="7"/>
      <c r="D300" s="4"/>
      <c r="E300" s="4"/>
      <c r="F300" s="7"/>
      <c r="G300" s="7"/>
      <c r="H300" s="4"/>
      <c r="I300" s="4"/>
      <c r="J300" s="7"/>
      <c r="K300" s="4"/>
      <c r="L300" s="4"/>
      <c r="M300" s="4"/>
      <c r="N300" s="4"/>
      <c r="O300" s="4"/>
      <c r="P300" s="4"/>
      <c r="Q300" s="4"/>
      <c r="R300" s="4"/>
      <c r="S300" s="4"/>
      <c r="T300" s="4"/>
      <c r="U300" s="4"/>
      <c r="V300" s="4"/>
      <c r="W300" s="4"/>
      <c r="X300" s="4"/>
      <c r="Y300" s="4"/>
      <c r="Z300" s="4"/>
    </row>
    <row r="301" ht="9.75" customHeight="1">
      <c r="A301" s="4"/>
      <c r="B301" s="7"/>
      <c r="C301" s="7"/>
      <c r="D301" s="4"/>
      <c r="E301" s="4"/>
      <c r="F301" s="7"/>
      <c r="G301" s="7"/>
      <c r="H301" s="4"/>
      <c r="I301" s="4"/>
      <c r="J301" s="7"/>
      <c r="K301" s="4"/>
      <c r="L301" s="4"/>
      <c r="M301" s="4"/>
      <c r="N301" s="4"/>
      <c r="O301" s="4"/>
      <c r="P301" s="4"/>
      <c r="Q301" s="4"/>
      <c r="R301" s="4"/>
      <c r="S301" s="4"/>
      <c r="T301" s="4"/>
      <c r="U301" s="4"/>
      <c r="V301" s="4"/>
      <c r="W301" s="4"/>
      <c r="X301" s="4"/>
      <c r="Y301" s="4"/>
      <c r="Z301" s="4"/>
    </row>
    <row r="302" ht="9.75" customHeight="1">
      <c r="A302" s="4"/>
      <c r="B302" s="7"/>
      <c r="C302" s="7"/>
      <c r="D302" s="4"/>
      <c r="E302" s="4"/>
      <c r="F302" s="7"/>
      <c r="G302" s="7"/>
      <c r="H302" s="4"/>
      <c r="I302" s="4"/>
      <c r="J302" s="7"/>
      <c r="K302" s="4"/>
      <c r="L302" s="4"/>
      <c r="M302" s="4"/>
      <c r="N302" s="4"/>
      <c r="O302" s="4"/>
      <c r="P302" s="4"/>
      <c r="Q302" s="4"/>
      <c r="R302" s="4"/>
      <c r="S302" s="4"/>
      <c r="T302" s="4"/>
      <c r="U302" s="4"/>
      <c r="V302" s="4"/>
      <c r="W302" s="4"/>
      <c r="X302" s="4"/>
      <c r="Y302" s="4"/>
      <c r="Z302" s="4"/>
    </row>
    <row r="303" ht="9.75" customHeight="1">
      <c r="A303" s="4"/>
      <c r="B303" s="7"/>
      <c r="C303" s="7"/>
      <c r="D303" s="4"/>
      <c r="E303" s="4"/>
      <c r="F303" s="7"/>
      <c r="G303" s="7"/>
      <c r="H303" s="4"/>
      <c r="I303" s="4"/>
      <c r="J303" s="7"/>
      <c r="K303" s="4"/>
      <c r="L303" s="4"/>
      <c r="M303" s="4"/>
      <c r="N303" s="4"/>
      <c r="O303" s="4"/>
      <c r="P303" s="4"/>
      <c r="Q303" s="4"/>
      <c r="R303" s="4"/>
      <c r="S303" s="4"/>
      <c r="T303" s="4"/>
      <c r="U303" s="4"/>
      <c r="V303" s="4"/>
      <c r="W303" s="4"/>
      <c r="X303" s="4"/>
      <c r="Y303" s="4"/>
      <c r="Z303" s="4"/>
    </row>
    <row r="304" ht="9.75" customHeight="1">
      <c r="A304" s="4"/>
      <c r="B304" s="7"/>
      <c r="C304" s="7"/>
      <c r="D304" s="4"/>
      <c r="E304" s="4"/>
      <c r="F304" s="7"/>
      <c r="G304" s="7"/>
      <c r="H304" s="4"/>
      <c r="I304" s="4"/>
      <c r="J304" s="7"/>
      <c r="K304" s="4"/>
      <c r="L304" s="4"/>
      <c r="M304" s="4"/>
      <c r="N304" s="4"/>
      <c r="O304" s="4"/>
      <c r="P304" s="4"/>
      <c r="Q304" s="4"/>
      <c r="R304" s="4"/>
      <c r="S304" s="4"/>
      <c r="T304" s="4"/>
      <c r="U304" s="4"/>
      <c r="V304" s="4"/>
      <c r="W304" s="4"/>
      <c r="X304" s="4"/>
      <c r="Y304" s="4"/>
      <c r="Z304" s="4"/>
    </row>
    <row r="305" ht="9.75" customHeight="1">
      <c r="A305" s="4"/>
      <c r="B305" s="7"/>
      <c r="C305" s="7"/>
      <c r="D305" s="4"/>
      <c r="E305" s="4"/>
      <c r="F305" s="7"/>
      <c r="G305" s="7"/>
      <c r="H305" s="4"/>
      <c r="I305" s="4"/>
      <c r="J305" s="7"/>
      <c r="K305" s="4"/>
      <c r="L305" s="4"/>
      <c r="M305" s="4"/>
      <c r="N305" s="4"/>
      <c r="O305" s="4"/>
      <c r="P305" s="4"/>
      <c r="Q305" s="4"/>
      <c r="R305" s="4"/>
      <c r="S305" s="4"/>
      <c r="T305" s="4"/>
      <c r="U305" s="4"/>
      <c r="V305" s="4"/>
      <c r="W305" s="4"/>
      <c r="X305" s="4"/>
      <c r="Y305" s="4"/>
      <c r="Z305" s="4"/>
    </row>
    <row r="306" ht="9.75" customHeight="1">
      <c r="A306" s="4"/>
      <c r="B306" s="7"/>
      <c r="C306" s="7"/>
      <c r="D306" s="4"/>
      <c r="E306" s="4"/>
      <c r="F306" s="7"/>
      <c r="G306" s="7"/>
      <c r="H306" s="4"/>
      <c r="I306" s="4"/>
      <c r="J306" s="7"/>
      <c r="K306" s="4"/>
      <c r="L306" s="4"/>
      <c r="M306" s="4"/>
      <c r="N306" s="4"/>
      <c r="O306" s="4"/>
      <c r="P306" s="4"/>
      <c r="Q306" s="4"/>
      <c r="R306" s="4"/>
      <c r="S306" s="4"/>
      <c r="T306" s="4"/>
      <c r="U306" s="4"/>
      <c r="V306" s="4"/>
      <c r="W306" s="4"/>
      <c r="X306" s="4"/>
      <c r="Y306" s="4"/>
      <c r="Z306" s="4"/>
    </row>
    <row r="307" ht="9.75" customHeight="1">
      <c r="A307" s="4"/>
      <c r="B307" s="7"/>
      <c r="C307" s="7"/>
      <c r="D307" s="4"/>
      <c r="E307" s="4"/>
      <c r="F307" s="7"/>
      <c r="G307" s="7"/>
      <c r="H307" s="4"/>
      <c r="I307" s="4"/>
      <c r="J307" s="7"/>
      <c r="K307" s="4"/>
      <c r="L307" s="4"/>
      <c r="M307" s="4"/>
      <c r="N307" s="4"/>
      <c r="O307" s="4"/>
      <c r="P307" s="4"/>
      <c r="Q307" s="4"/>
      <c r="R307" s="4"/>
      <c r="S307" s="4"/>
      <c r="T307" s="4"/>
      <c r="U307" s="4"/>
      <c r="V307" s="4"/>
      <c r="W307" s="4"/>
      <c r="X307" s="4"/>
      <c r="Y307" s="4"/>
      <c r="Z307" s="4"/>
    </row>
    <row r="308" ht="9.75" customHeight="1">
      <c r="A308" s="4"/>
      <c r="B308" s="7"/>
      <c r="C308" s="7"/>
      <c r="D308" s="4"/>
      <c r="E308" s="4"/>
      <c r="F308" s="7"/>
      <c r="G308" s="7"/>
      <c r="H308" s="4"/>
      <c r="I308" s="4"/>
      <c r="J308" s="7"/>
      <c r="K308" s="4"/>
      <c r="L308" s="4"/>
      <c r="M308" s="4"/>
      <c r="N308" s="4"/>
      <c r="O308" s="4"/>
      <c r="P308" s="4"/>
      <c r="Q308" s="4"/>
      <c r="R308" s="4"/>
      <c r="S308" s="4"/>
      <c r="T308" s="4"/>
      <c r="U308" s="4"/>
      <c r="V308" s="4"/>
      <c r="W308" s="4"/>
      <c r="X308" s="4"/>
      <c r="Y308" s="4"/>
      <c r="Z308" s="4"/>
    </row>
    <row r="309" ht="9.75" customHeight="1">
      <c r="A309" s="4"/>
      <c r="B309" s="7"/>
      <c r="C309" s="7"/>
      <c r="D309" s="4"/>
      <c r="E309" s="4"/>
      <c r="F309" s="7"/>
      <c r="G309" s="7"/>
      <c r="H309" s="4"/>
      <c r="I309" s="4"/>
      <c r="J309" s="7"/>
      <c r="K309" s="4"/>
      <c r="L309" s="4"/>
      <c r="M309" s="4"/>
      <c r="N309" s="4"/>
      <c r="O309" s="4"/>
      <c r="P309" s="4"/>
      <c r="Q309" s="4"/>
      <c r="R309" s="4"/>
      <c r="S309" s="4"/>
      <c r="T309" s="4"/>
      <c r="U309" s="4"/>
      <c r="V309" s="4"/>
      <c r="W309" s="4"/>
      <c r="X309" s="4"/>
      <c r="Y309" s="4"/>
      <c r="Z309" s="4"/>
    </row>
    <row r="310" ht="9.75" customHeight="1">
      <c r="A310" s="4"/>
      <c r="B310" s="7"/>
      <c r="C310" s="7"/>
      <c r="D310" s="4"/>
      <c r="E310" s="4"/>
      <c r="F310" s="7"/>
      <c r="G310" s="7"/>
      <c r="H310" s="4"/>
      <c r="I310" s="4"/>
      <c r="J310" s="7"/>
      <c r="K310" s="4"/>
      <c r="L310" s="4"/>
      <c r="M310" s="4"/>
      <c r="N310" s="4"/>
      <c r="O310" s="4"/>
      <c r="P310" s="4"/>
      <c r="Q310" s="4"/>
      <c r="R310" s="4"/>
      <c r="S310" s="4"/>
      <c r="T310" s="4"/>
      <c r="U310" s="4"/>
      <c r="V310" s="4"/>
      <c r="W310" s="4"/>
      <c r="X310" s="4"/>
      <c r="Y310" s="4"/>
      <c r="Z310" s="4"/>
    </row>
    <row r="311" ht="9.75" customHeight="1">
      <c r="A311" s="4"/>
      <c r="B311" s="7"/>
      <c r="C311" s="7"/>
      <c r="D311" s="4"/>
      <c r="E311" s="4"/>
      <c r="F311" s="7"/>
      <c r="G311" s="7"/>
      <c r="H311" s="4"/>
      <c r="I311" s="4"/>
      <c r="J311" s="7"/>
      <c r="K311" s="4"/>
      <c r="L311" s="4"/>
      <c r="M311" s="4"/>
      <c r="N311" s="4"/>
      <c r="O311" s="4"/>
      <c r="P311" s="4"/>
      <c r="Q311" s="4"/>
      <c r="R311" s="4"/>
      <c r="S311" s="4"/>
      <c r="T311" s="4"/>
      <c r="U311" s="4"/>
      <c r="V311" s="4"/>
      <c r="W311" s="4"/>
      <c r="X311" s="4"/>
      <c r="Y311" s="4"/>
      <c r="Z311" s="4"/>
    </row>
    <row r="312" ht="9.75" customHeight="1">
      <c r="A312" s="4"/>
      <c r="B312" s="7"/>
      <c r="C312" s="7"/>
      <c r="D312" s="4"/>
      <c r="E312" s="4"/>
      <c r="F312" s="7"/>
      <c r="G312" s="7"/>
      <c r="H312" s="4"/>
      <c r="I312" s="4"/>
      <c r="J312" s="7"/>
      <c r="K312" s="4"/>
      <c r="L312" s="4"/>
      <c r="M312" s="4"/>
      <c r="N312" s="4"/>
      <c r="O312" s="4"/>
      <c r="P312" s="4"/>
      <c r="Q312" s="4"/>
      <c r="R312" s="4"/>
      <c r="S312" s="4"/>
      <c r="T312" s="4"/>
      <c r="U312" s="4"/>
      <c r="V312" s="4"/>
      <c r="W312" s="4"/>
      <c r="X312" s="4"/>
      <c r="Y312" s="4"/>
      <c r="Z312" s="4"/>
    </row>
    <row r="313" ht="9.75" customHeight="1">
      <c r="A313" s="4"/>
      <c r="B313" s="7"/>
      <c r="C313" s="7"/>
      <c r="D313" s="4"/>
      <c r="E313" s="4"/>
      <c r="F313" s="7"/>
      <c r="G313" s="7"/>
      <c r="H313" s="4"/>
      <c r="I313" s="4"/>
      <c r="J313" s="7"/>
      <c r="K313" s="4"/>
      <c r="L313" s="4"/>
      <c r="M313" s="4"/>
      <c r="N313" s="4"/>
      <c r="O313" s="4"/>
      <c r="P313" s="4"/>
      <c r="Q313" s="4"/>
      <c r="R313" s="4"/>
      <c r="S313" s="4"/>
      <c r="T313" s="4"/>
      <c r="U313" s="4"/>
      <c r="V313" s="4"/>
      <c r="W313" s="4"/>
      <c r="X313" s="4"/>
      <c r="Y313" s="4"/>
      <c r="Z313" s="4"/>
    </row>
    <row r="314" ht="9.75" customHeight="1">
      <c r="A314" s="4"/>
      <c r="B314" s="7"/>
      <c r="C314" s="7"/>
      <c r="D314" s="4"/>
      <c r="E314" s="4"/>
      <c r="F314" s="7"/>
      <c r="G314" s="7"/>
      <c r="H314" s="4"/>
      <c r="I314" s="4"/>
      <c r="J314" s="7"/>
      <c r="K314" s="4"/>
      <c r="L314" s="4"/>
      <c r="M314" s="4"/>
      <c r="N314" s="4"/>
      <c r="O314" s="4"/>
      <c r="P314" s="4"/>
      <c r="Q314" s="4"/>
      <c r="R314" s="4"/>
      <c r="S314" s="4"/>
      <c r="T314" s="4"/>
      <c r="U314" s="4"/>
      <c r="V314" s="4"/>
      <c r="W314" s="4"/>
      <c r="X314" s="4"/>
      <c r="Y314" s="4"/>
      <c r="Z314" s="4"/>
    </row>
    <row r="315" ht="9.75" customHeight="1">
      <c r="A315" s="4"/>
      <c r="B315" s="7"/>
      <c r="C315" s="7"/>
      <c r="D315" s="4"/>
      <c r="E315" s="4"/>
      <c r="F315" s="7"/>
      <c r="G315" s="7"/>
      <c r="H315" s="4"/>
      <c r="I315" s="4"/>
      <c r="J315" s="7"/>
      <c r="K315" s="4"/>
      <c r="L315" s="4"/>
      <c r="M315" s="4"/>
      <c r="N315" s="4"/>
      <c r="O315" s="4"/>
      <c r="P315" s="4"/>
      <c r="Q315" s="4"/>
      <c r="R315" s="4"/>
      <c r="S315" s="4"/>
      <c r="T315" s="4"/>
      <c r="U315" s="4"/>
      <c r="V315" s="4"/>
      <c r="W315" s="4"/>
      <c r="X315" s="4"/>
      <c r="Y315" s="4"/>
      <c r="Z315" s="4"/>
    </row>
    <row r="316" ht="9.75" customHeight="1">
      <c r="A316" s="4"/>
      <c r="B316" s="7"/>
      <c r="C316" s="7"/>
      <c r="D316" s="4"/>
      <c r="E316" s="4"/>
      <c r="F316" s="7"/>
      <c r="G316" s="7"/>
      <c r="H316" s="4"/>
      <c r="I316" s="4"/>
      <c r="J316" s="7"/>
      <c r="K316" s="4"/>
      <c r="L316" s="4"/>
      <c r="M316" s="4"/>
      <c r="N316" s="4"/>
      <c r="O316" s="4"/>
      <c r="P316" s="4"/>
      <c r="Q316" s="4"/>
      <c r="R316" s="4"/>
      <c r="S316" s="4"/>
      <c r="T316" s="4"/>
      <c r="U316" s="4"/>
      <c r="V316" s="4"/>
      <c r="W316" s="4"/>
      <c r="X316" s="4"/>
      <c r="Y316" s="4"/>
      <c r="Z316" s="4"/>
    </row>
    <row r="317" ht="9.75" customHeight="1">
      <c r="A317" s="4"/>
      <c r="B317" s="7"/>
      <c r="C317" s="7"/>
      <c r="D317" s="4"/>
      <c r="E317" s="4"/>
      <c r="F317" s="7"/>
      <c r="G317" s="7"/>
      <c r="H317" s="4"/>
      <c r="I317" s="4"/>
      <c r="J317" s="7"/>
      <c r="K317" s="4"/>
      <c r="L317" s="4"/>
      <c r="M317" s="4"/>
      <c r="N317" s="4"/>
      <c r="O317" s="4"/>
      <c r="P317" s="4"/>
      <c r="Q317" s="4"/>
      <c r="R317" s="4"/>
      <c r="S317" s="4"/>
      <c r="T317" s="4"/>
      <c r="U317" s="4"/>
      <c r="V317" s="4"/>
      <c r="W317" s="4"/>
      <c r="X317" s="4"/>
      <c r="Y317" s="4"/>
      <c r="Z317" s="4"/>
    </row>
    <row r="318" ht="9.75" customHeight="1">
      <c r="A318" s="4"/>
      <c r="B318" s="7"/>
      <c r="C318" s="7"/>
      <c r="D318" s="4"/>
      <c r="E318" s="4"/>
      <c r="F318" s="7"/>
      <c r="G318" s="7"/>
      <c r="H318" s="4"/>
      <c r="I318" s="4"/>
      <c r="J318" s="7"/>
      <c r="K318" s="4"/>
      <c r="L318" s="4"/>
      <c r="M318" s="4"/>
      <c r="N318" s="4"/>
      <c r="O318" s="4"/>
      <c r="P318" s="4"/>
      <c r="Q318" s="4"/>
      <c r="R318" s="4"/>
      <c r="S318" s="4"/>
      <c r="T318" s="4"/>
      <c r="U318" s="4"/>
      <c r="V318" s="4"/>
      <c r="W318" s="4"/>
      <c r="X318" s="4"/>
      <c r="Y318" s="4"/>
      <c r="Z318" s="4"/>
    </row>
    <row r="319" ht="9.75" customHeight="1">
      <c r="A319" s="4"/>
      <c r="B319" s="7"/>
      <c r="C319" s="7"/>
      <c r="D319" s="4"/>
      <c r="E319" s="4"/>
      <c r="F319" s="7"/>
      <c r="G319" s="7"/>
      <c r="H319" s="4"/>
      <c r="I319" s="4"/>
      <c r="J319" s="7"/>
      <c r="K319" s="4"/>
      <c r="L319" s="4"/>
      <c r="M319" s="4"/>
      <c r="N319" s="4"/>
      <c r="O319" s="4"/>
      <c r="P319" s="4"/>
      <c r="Q319" s="4"/>
      <c r="R319" s="4"/>
      <c r="S319" s="4"/>
      <c r="T319" s="4"/>
      <c r="U319" s="4"/>
      <c r="V319" s="4"/>
      <c r="W319" s="4"/>
      <c r="X319" s="4"/>
      <c r="Y319" s="4"/>
      <c r="Z319" s="4"/>
    </row>
    <row r="320" ht="9.75" customHeight="1">
      <c r="A320" s="4"/>
      <c r="B320" s="7"/>
      <c r="C320" s="7"/>
      <c r="D320" s="4"/>
      <c r="E320" s="4"/>
      <c r="F320" s="7"/>
      <c r="G320" s="7"/>
      <c r="H320" s="4"/>
      <c r="I320" s="4"/>
      <c r="J320" s="7"/>
      <c r="K320" s="4"/>
      <c r="L320" s="4"/>
      <c r="M320" s="4"/>
      <c r="N320" s="4"/>
      <c r="O320" s="4"/>
      <c r="P320" s="4"/>
      <c r="Q320" s="4"/>
      <c r="R320" s="4"/>
      <c r="S320" s="4"/>
      <c r="T320" s="4"/>
      <c r="U320" s="4"/>
      <c r="V320" s="4"/>
      <c r="W320" s="4"/>
      <c r="X320" s="4"/>
      <c r="Y320" s="4"/>
      <c r="Z320" s="4"/>
    </row>
    <row r="321" ht="9.75" customHeight="1">
      <c r="A321" s="4"/>
      <c r="B321" s="7"/>
      <c r="C321" s="7"/>
      <c r="D321" s="4"/>
      <c r="E321" s="4"/>
      <c r="F321" s="7"/>
      <c r="G321" s="7"/>
      <c r="H321" s="4"/>
      <c r="I321" s="4"/>
      <c r="J321" s="7"/>
      <c r="K321" s="4"/>
      <c r="L321" s="4"/>
      <c r="M321" s="4"/>
      <c r="N321" s="4"/>
      <c r="O321" s="4"/>
      <c r="P321" s="4"/>
      <c r="Q321" s="4"/>
      <c r="R321" s="4"/>
      <c r="S321" s="4"/>
      <c r="T321" s="4"/>
      <c r="U321" s="4"/>
      <c r="V321" s="4"/>
      <c r="W321" s="4"/>
      <c r="X321" s="4"/>
      <c r="Y321" s="4"/>
      <c r="Z321" s="4"/>
    </row>
    <row r="322" ht="9.75" customHeight="1">
      <c r="A322" s="4"/>
      <c r="B322" s="7"/>
      <c r="C322" s="7"/>
      <c r="D322" s="4"/>
      <c r="E322" s="4"/>
      <c r="F322" s="7"/>
      <c r="G322" s="7"/>
      <c r="H322" s="4"/>
      <c r="I322" s="4"/>
      <c r="J322" s="7"/>
      <c r="K322" s="4"/>
      <c r="L322" s="4"/>
      <c r="M322" s="4"/>
      <c r="N322" s="4"/>
      <c r="O322" s="4"/>
      <c r="P322" s="4"/>
      <c r="Q322" s="4"/>
      <c r="R322" s="4"/>
      <c r="S322" s="4"/>
      <c r="T322" s="4"/>
      <c r="U322" s="4"/>
      <c r="V322" s="4"/>
      <c r="W322" s="4"/>
      <c r="X322" s="4"/>
      <c r="Y322" s="4"/>
      <c r="Z322" s="4"/>
    </row>
    <row r="323" ht="9.75" customHeight="1">
      <c r="A323" s="4"/>
      <c r="B323" s="7"/>
      <c r="C323" s="7"/>
      <c r="D323" s="4"/>
      <c r="E323" s="4"/>
      <c r="F323" s="7"/>
      <c r="G323" s="7"/>
      <c r="H323" s="4"/>
      <c r="I323" s="4"/>
      <c r="J323" s="7"/>
      <c r="K323" s="4"/>
      <c r="L323" s="4"/>
      <c r="M323" s="4"/>
      <c r="N323" s="4"/>
      <c r="O323" s="4"/>
      <c r="P323" s="4"/>
      <c r="Q323" s="4"/>
      <c r="R323" s="4"/>
      <c r="S323" s="4"/>
      <c r="T323" s="4"/>
      <c r="U323" s="4"/>
      <c r="V323" s="4"/>
      <c r="W323" s="4"/>
      <c r="X323" s="4"/>
      <c r="Y323" s="4"/>
      <c r="Z323" s="4"/>
    </row>
    <row r="324" ht="9.75" customHeight="1">
      <c r="A324" s="4"/>
      <c r="B324" s="7"/>
      <c r="C324" s="7"/>
      <c r="D324" s="4"/>
      <c r="E324" s="4"/>
      <c r="F324" s="7"/>
      <c r="G324" s="7"/>
      <c r="H324" s="4"/>
      <c r="I324" s="4"/>
      <c r="J324" s="7"/>
      <c r="K324" s="4"/>
      <c r="L324" s="4"/>
      <c r="M324" s="4"/>
      <c r="N324" s="4"/>
      <c r="O324" s="4"/>
      <c r="P324" s="4"/>
      <c r="Q324" s="4"/>
      <c r="R324" s="4"/>
      <c r="S324" s="4"/>
      <c r="T324" s="4"/>
      <c r="U324" s="4"/>
      <c r="V324" s="4"/>
      <c r="W324" s="4"/>
      <c r="X324" s="4"/>
      <c r="Y324" s="4"/>
      <c r="Z324" s="4"/>
    </row>
    <row r="325" ht="9.75" customHeight="1">
      <c r="A325" s="4"/>
      <c r="B325" s="7"/>
      <c r="C325" s="7"/>
      <c r="D325" s="4"/>
      <c r="E325" s="4"/>
      <c r="F325" s="7"/>
      <c r="G325" s="7"/>
      <c r="H325" s="4"/>
      <c r="I325" s="4"/>
      <c r="J325" s="7"/>
      <c r="K325" s="4"/>
      <c r="L325" s="4"/>
      <c r="M325" s="4"/>
      <c r="N325" s="4"/>
      <c r="O325" s="4"/>
      <c r="P325" s="4"/>
      <c r="Q325" s="4"/>
      <c r="R325" s="4"/>
      <c r="S325" s="4"/>
      <c r="T325" s="4"/>
      <c r="U325" s="4"/>
      <c r="V325" s="4"/>
      <c r="W325" s="4"/>
      <c r="X325" s="4"/>
      <c r="Y325" s="4"/>
      <c r="Z325" s="4"/>
    </row>
    <row r="326" ht="9.75" customHeight="1">
      <c r="A326" s="4"/>
      <c r="B326" s="7"/>
      <c r="C326" s="7"/>
      <c r="D326" s="4"/>
      <c r="E326" s="4"/>
      <c r="F326" s="7"/>
      <c r="G326" s="7"/>
      <c r="H326" s="4"/>
      <c r="I326" s="4"/>
      <c r="J326" s="7"/>
      <c r="K326" s="4"/>
      <c r="L326" s="4"/>
      <c r="M326" s="4"/>
      <c r="N326" s="4"/>
      <c r="O326" s="4"/>
      <c r="P326" s="4"/>
      <c r="Q326" s="4"/>
      <c r="R326" s="4"/>
      <c r="S326" s="4"/>
      <c r="T326" s="4"/>
      <c r="U326" s="4"/>
      <c r="V326" s="4"/>
      <c r="W326" s="4"/>
      <c r="X326" s="4"/>
      <c r="Y326" s="4"/>
      <c r="Z326" s="4"/>
    </row>
    <row r="327" ht="9.75" customHeight="1">
      <c r="A327" s="4"/>
      <c r="B327" s="7"/>
      <c r="C327" s="7"/>
      <c r="D327" s="4"/>
      <c r="E327" s="4"/>
      <c r="F327" s="7"/>
      <c r="G327" s="7"/>
      <c r="H327" s="4"/>
      <c r="I327" s="4"/>
      <c r="J327" s="7"/>
      <c r="K327" s="4"/>
      <c r="L327" s="4"/>
      <c r="M327" s="4"/>
      <c r="N327" s="4"/>
      <c r="O327" s="4"/>
      <c r="P327" s="4"/>
      <c r="Q327" s="4"/>
      <c r="R327" s="4"/>
      <c r="S327" s="4"/>
      <c r="T327" s="4"/>
      <c r="U327" s="4"/>
      <c r="V327" s="4"/>
      <c r="W327" s="4"/>
      <c r="X327" s="4"/>
      <c r="Y327" s="4"/>
      <c r="Z327" s="4"/>
    </row>
    <row r="328" ht="9.75" customHeight="1">
      <c r="A328" s="4"/>
      <c r="B328" s="7"/>
      <c r="C328" s="7"/>
      <c r="D328" s="4"/>
      <c r="E328" s="4"/>
      <c r="F328" s="7"/>
      <c r="G328" s="7"/>
      <c r="H328" s="4"/>
      <c r="I328" s="4"/>
      <c r="J328" s="7"/>
      <c r="K328" s="4"/>
      <c r="L328" s="4"/>
      <c r="M328" s="4"/>
      <c r="N328" s="4"/>
      <c r="O328" s="4"/>
      <c r="P328" s="4"/>
      <c r="Q328" s="4"/>
      <c r="R328" s="4"/>
      <c r="S328" s="4"/>
      <c r="T328" s="4"/>
      <c r="U328" s="4"/>
      <c r="V328" s="4"/>
      <c r="W328" s="4"/>
      <c r="X328" s="4"/>
      <c r="Y328" s="4"/>
      <c r="Z328" s="4"/>
    </row>
    <row r="329" ht="9.75" customHeight="1">
      <c r="A329" s="4"/>
      <c r="B329" s="7"/>
      <c r="C329" s="7"/>
      <c r="D329" s="4"/>
      <c r="E329" s="4"/>
      <c r="F329" s="7"/>
      <c r="G329" s="7"/>
      <c r="H329" s="4"/>
      <c r="I329" s="4"/>
      <c r="J329" s="7"/>
      <c r="K329" s="4"/>
      <c r="L329" s="4"/>
      <c r="M329" s="4"/>
      <c r="N329" s="4"/>
      <c r="O329" s="4"/>
      <c r="P329" s="4"/>
      <c r="Q329" s="4"/>
      <c r="R329" s="4"/>
      <c r="S329" s="4"/>
      <c r="T329" s="4"/>
      <c r="U329" s="4"/>
      <c r="V329" s="4"/>
      <c r="W329" s="4"/>
      <c r="X329" s="4"/>
      <c r="Y329" s="4"/>
      <c r="Z329" s="4"/>
    </row>
    <row r="330" ht="9.75" customHeight="1">
      <c r="A330" s="4"/>
      <c r="B330" s="7"/>
      <c r="C330" s="7"/>
      <c r="D330" s="4"/>
      <c r="E330" s="4"/>
      <c r="F330" s="7"/>
      <c r="G330" s="7"/>
      <c r="H330" s="4"/>
      <c r="I330" s="4"/>
      <c r="J330" s="7"/>
      <c r="K330" s="4"/>
      <c r="L330" s="4"/>
      <c r="M330" s="4"/>
      <c r="N330" s="4"/>
      <c r="O330" s="4"/>
      <c r="P330" s="4"/>
      <c r="Q330" s="4"/>
      <c r="R330" s="4"/>
      <c r="S330" s="4"/>
      <c r="T330" s="4"/>
      <c r="U330" s="4"/>
      <c r="V330" s="4"/>
      <c r="W330" s="4"/>
      <c r="X330" s="4"/>
      <c r="Y330" s="4"/>
      <c r="Z330" s="4"/>
    </row>
    <row r="331" ht="9.75" customHeight="1">
      <c r="A331" s="4"/>
      <c r="B331" s="7"/>
      <c r="C331" s="7"/>
      <c r="D331" s="4"/>
      <c r="E331" s="4"/>
      <c r="F331" s="7"/>
      <c r="G331" s="7"/>
      <c r="H331" s="4"/>
      <c r="I331" s="4"/>
      <c r="J331" s="7"/>
      <c r="K331" s="4"/>
      <c r="L331" s="4"/>
      <c r="M331" s="4"/>
      <c r="N331" s="4"/>
      <c r="O331" s="4"/>
      <c r="P331" s="4"/>
      <c r="Q331" s="4"/>
      <c r="R331" s="4"/>
      <c r="S331" s="4"/>
      <c r="T331" s="4"/>
      <c r="U331" s="4"/>
      <c r="V331" s="4"/>
      <c r="W331" s="4"/>
      <c r="X331" s="4"/>
      <c r="Y331" s="4"/>
      <c r="Z331" s="4"/>
    </row>
    <row r="332" ht="9.75" customHeight="1">
      <c r="A332" s="4"/>
      <c r="B332" s="7"/>
      <c r="C332" s="7"/>
      <c r="D332" s="4"/>
      <c r="E332" s="4"/>
      <c r="F332" s="7"/>
      <c r="G332" s="7"/>
      <c r="H332" s="4"/>
      <c r="I332" s="4"/>
      <c r="J332" s="7"/>
      <c r="K332" s="4"/>
      <c r="L332" s="4"/>
      <c r="M332" s="4"/>
      <c r="N332" s="4"/>
      <c r="O332" s="4"/>
      <c r="P332" s="4"/>
      <c r="Q332" s="4"/>
      <c r="R332" s="4"/>
      <c r="S332" s="4"/>
      <c r="T332" s="4"/>
      <c r="U332" s="4"/>
      <c r="V332" s="4"/>
      <c r="W332" s="4"/>
      <c r="X332" s="4"/>
      <c r="Y332" s="4"/>
      <c r="Z332" s="4"/>
    </row>
    <row r="333" ht="9.75" customHeight="1">
      <c r="A333" s="4"/>
      <c r="B333" s="7"/>
      <c r="C333" s="7"/>
      <c r="D333" s="4"/>
      <c r="E333" s="4"/>
      <c r="F333" s="7"/>
      <c r="G333" s="7"/>
      <c r="H333" s="4"/>
      <c r="I333" s="4"/>
      <c r="J333" s="7"/>
      <c r="K333" s="4"/>
      <c r="L333" s="4"/>
      <c r="M333" s="4"/>
      <c r="N333" s="4"/>
      <c r="O333" s="4"/>
      <c r="P333" s="4"/>
      <c r="Q333" s="4"/>
      <c r="R333" s="4"/>
      <c r="S333" s="4"/>
      <c r="T333" s="4"/>
      <c r="U333" s="4"/>
      <c r="V333" s="4"/>
      <c r="W333" s="4"/>
      <c r="X333" s="4"/>
      <c r="Y333" s="4"/>
      <c r="Z333" s="4"/>
    </row>
    <row r="334" ht="9.75" customHeight="1">
      <c r="A334" s="4"/>
      <c r="B334" s="7"/>
      <c r="C334" s="7"/>
      <c r="D334" s="4"/>
      <c r="E334" s="4"/>
      <c r="F334" s="7"/>
      <c r="G334" s="7"/>
      <c r="H334" s="4"/>
      <c r="I334" s="4"/>
      <c r="J334" s="7"/>
      <c r="K334" s="4"/>
      <c r="L334" s="4"/>
      <c r="M334" s="4"/>
      <c r="N334" s="4"/>
      <c r="O334" s="4"/>
      <c r="P334" s="4"/>
      <c r="Q334" s="4"/>
      <c r="R334" s="4"/>
      <c r="S334" s="4"/>
      <c r="T334" s="4"/>
      <c r="U334" s="4"/>
      <c r="V334" s="4"/>
      <c r="W334" s="4"/>
      <c r="X334" s="4"/>
      <c r="Y334" s="4"/>
      <c r="Z334" s="4"/>
    </row>
    <row r="335" ht="9.75" customHeight="1">
      <c r="A335" s="4"/>
      <c r="B335" s="7"/>
      <c r="C335" s="7"/>
      <c r="D335" s="4"/>
      <c r="E335" s="4"/>
      <c r="F335" s="7"/>
      <c r="G335" s="7"/>
      <c r="H335" s="4"/>
      <c r="I335" s="4"/>
      <c r="J335" s="7"/>
      <c r="K335" s="4"/>
      <c r="L335" s="4"/>
      <c r="M335" s="4"/>
      <c r="N335" s="4"/>
      <c r="O335" s="4"/>
      <c r="P335" s="4"/>
      <c r="Q335" s="4"/>
      <c r="R335" s="4"/>
      <c r="S335" s="4"/>
      <c r="T335" s="4"/>
      <c r="U335" s="4"/>
      <c r="V335" s="4"/>
      <c r="W335" s="4"/>
      <c r="X335" s="4"/>
      <c r="Y335" s="4"/>
      <c r="Z335" s="4"/>
    </row>
    <row r="336" ht="9.75" customHeight="1">
      <c r="A336" s="4"/>
      <c r="B336" s="7"/>
      <c r="C336" s="7"/>
      <c r="D336" s="4"/>
      <c r="E336" s="4"/>
      <c r="F336" s="7"/>
      <c r="G336" s="7"/>
      <c r="H336" s="4"/>
      <c r="I336" s="4"/>
      <c r="J336" s="7"/>
      <c r="K336" s="4"/>
      <c r="L336" s="4"/>
      <c r="M336" s="4"/>
      <c r="N336" s="4"/>
      <c r="O336" s="4"/>
      <c r="P336" s="4"/>
      <c r="Q336" s="4"/>
      <c r="R336" s="4"/>
      <c r="S336" s="4"/>
      <c r="T336" s="4"/>
      <c r="U336" s="4"/>
      <c r="V336" s="4"/>
      <c r="W336" s="4"/>
      <c r="X336" s="4"/>
      <c r="Y336" s="4"/>
      <c r="Z336" s="4"/>
    </row>
    <row r="337" ht="9.75" customHeight="1">
      <c r="A337" s="4"/>
      <c r="B337" s="7"/>
      <c r="C337" s="7"/>
      <c r="D337" s="4"/>
      <c r="E337" s="4"/>
      <c r="F337" s="7"/>
      <c r="G337" s="7"/>
      <c r="H337" s="4"/>
      <c r="I337" s="4"/>
      <c r="J337" s="7"/>
      <c r="K337" s="4"/>
      <c r="L337" s="4"/>
      <c r="M337" s="4"/>
      <c r="N337" s="4"/>
      <c r="O337" s="4"/>
      <c r="P337" s="4"/>
      <c r="Q337" s="4"/>
      <c r="R337" s="4"/>
      <c r="S337" s="4"/>
      <c r="T337" s="4"/>
      <c r="U337" s="4"/>
      <c r="V337" s="4"/>
      <c r="W337" s="4"/>
      <c r="X337" s="4"/>
      <c r="Y337" s="4"/>
      <c r="Z337" s="4"/>
    </row>
    <row r="338" ht="9.75" customHeight="1">
      <c r="A338" s="4"/>
      <c r="B338" s="7"/>
      <c r="C338" s="7"/>
      <c r="D338" s="4"/>
      <c r="E338" s="4"/>
      <c r="F338" s="7"/>
      <c r="G338" s="7"/>
      <c r="H338" s="4"/>
      <c r="I338" s="4"/>
      <c r="J338" s="7"/>
      <c r="K338" s="4"/>
      <c r="L338" s="4"/>
      <c r="M338" s="4"/>
      <c r="N338" s="4"/>
      <c r="O338" s="4"/>
      <c r="P338" s="4"/>
      <c r="Q338" s="4"/>
      <c r="R338" s="4"/>
      <c r="S338" s="4"/>
      <c r="T338" s="4"/>
      <c r="U338" s="4"/>
      <c r="V338" s="4"/>
      <c r="W338" s="4"/>
      <c r="X338" s="4"/>
      <c r="Y338" s="4"/>
      <c r="Z338" s="4"/>
    </row>
    <row r="339" ht="9.75" customHeight="1">
      <c r="A339" s="4"/>
      <c r="B339" s="7"/>
      <c r="C339" s="7"/>
      <c r="D339" s="4"/>
      <c r="E339" s="4"/>
      <c r="F339" s="7"/>
      <c r="G339" s="7"/>
      <c r="H339" s="4"/>
      <c r="I339" s="4"/>
      <c r="J339" s="7"/>
      <c r="K339" s="4"/>
      <c r="L339" s="4"/>
      <c r="M339" s="4"/>
      <c r="N339" s="4"/>
      <c r="O339" s="4"/>
      <c r="P339" s="4"/>
      <c r="Q339" s="4"/>
      <c r="R339" s="4"/>
      <c r="S339" s="4"/>
      <c r="T339" s="4"/>
      <c r="U339" s="4"/>
      <c r="V339" s="4"/>
      <c r="W339" s="4"/>
      <c r="X339" s="4"/>
      <c r="Y339" s="4"/>
      <c r="Z339" s="4"/>
    </row>
    <row r="340" ht="9.75" customHeight="1">
      <c r="A340" s="4"/>
      <c r="B340" s="7"/>
      <c r="C340" s="7"/>
      <c r="D340" s="4"/>
      <c r="E340" s="4"/>
      <c r="F340" s="7"/>
      <c r="G340" s="7"/>
      <c r="H340" s="4"/>
      <c r="I340" s="4"/>
      <c r="J340" s="7"/>
      <c r="K340" s="4"/>
      <c r="L340" s="4"/>
      <c r="M340" s="4"/>
      <c r="N340" s="4"/>
      <c r="O340" s="4"/>
      <c r="P340" s="4"/>
      <c r="Q340" s="4"/>
      <c r="R340" s="4"/>
      <c r="S340" s="4"/>
      <c r="T340" s="4"/>
      <c r="U340" s="4"/>
      <c r="V340" s="4"/>
      <c r="W340" s="4"/>
      <c r="X340" s="4"/>
      <c r="Y340" s="4"/>
      <c r="Z340" s="4"/>
    </row>
    <row r="341" ht="9.75" customHeight="1">
      <c r="A341" s="4"/>
      <c r="B341" s="7"/>
      <c r="C341" s="7"/>
      <c r="D341" s="4"/>
      <c r="E341" s="4"/>
      <c r="F341" s="7"/>
      <c r="G341" s="7"/>
      <c r="H341" s="4"/>
      <c r="I341" s="4"/>
      <c r="J341" s="7"/>
      <c r="K341" s="4"/>
      <c r="L341" s="4"/>
      <c r="M341" s="4"/>
      <c r="N341" s="4"/>
      <c r="O341" s="4"/>
      <c r="P341" s="4"/>
      <c r="Q341" s="4"/>
      <c r="R341" s="4"/>
      <c r="S341" s="4"/>
      <c r="T341" s="4"/>
      <c r="U341" s="4"/>
      <c r="V341" s="4"/>
      <c r="W341" s="4"/>
      <c r="X341" s="4"/>
      <c r="Y341" s="4"/>
      <c r="Z341" s="4"/>
    </row>
    <row r="342" ht="9.75" customHeight="1">
      <c r="A342" s="4"/>
      <c r="B342" s="7"/>
      <c r="C342" s="7"/>
      <c r="D342" s="4"/>
      <c r="E342" s="4"/>
      <c r="F342" s="7"/>
      <c r="G342" s="7"/>
      <c r="H342" s="4"/>
      <c r="I342" s="4"/>
      <c r="J342" s="7"/>
      <c r="K342" s="4"/>
      <c r="L342" s="4"/>
      <c r="M342" s="4"/>
      <c r="N342" s="4"/>
      <c r="O342" s="4"/>
      <c r="P342" s="4"/>
      <c r="Q342" s="4"/>
      <c r="R342" s="4"/>
      <c r="S342" s="4"/>
      <c r="T342" s="4"/>
      <c r="U342" s="4"/>
      <c r="V342" s="4"/>
      <c r="W342" s="4"/>
      <c r="X342" s="4"/>
      <c r="Y342" s="4"/>
      <c r="Z342" s="4"/>
    </row>
    <row r="343" ht="9.75" customHeight="1">
      <c r="A343" s="4"/>
      <c r="B343" s="7"/>
      <c r="C343" s="7"/>
      <c r="D343" s="4"/>
      <c r="E343" s="4"/>
      <c r="F343" s="7"/>
      <c r="G343" s="7"/>
      <c r="H343" s="4"/>
      <c r="I343" s="4"/>
      <c r="J343" s="7"/>
      <c r="K343" s="4"/>
      <c r="L343" s="4"/>
      <c r="M343" s="4"/>
      <c r="N343" s="4"/>
      <c r="O343" s="4"/>
      <c r="P343" s="4"/>
      <c r="Q343" s="4"/>
      <c r="R343" s="4"/>
      <c r="S343" s="4"/>
      <c r="T343" s="4"/>
      <c r="U343" s="4"/>
      <c r="V343" s="4"/>
      <c r="W343" s="4"/>
      <c r="X343" s="4"/>
      <c r="Y343" s="4"/>
      <c r="Z343" s="4"/>
    </row>
    <row r="344" ht="9.75" customHeight="1">
      <c r="A344" s="4"/>
      <c r="B344" s="7"/>
      <c r="C344" s="7"/>
      <c r="D344" s="4"/>
      <c r="E344" s="4"/>
      <c r="F344" s="7"/>
      <c r="G344" s="7"/>
      <c r="H344" s="4"/>
      <c r="I344" s="4"/>
      <c r="J344" s="7"/>
      <c r="K344" s="4"/>
      <c r="L344" s="4"/>
      <c r="M344" s="4"/>
      <c r="N344" s="4"/>
      <c r="O344" s="4"/>
      <c r="P344" s="4"/>
      <c r="Q344" s="4"/>
      <c r="R344" s="4"/>
      <c r="S344" s="4"/>
      <c r="T344" s="4"/>
      <c r="U344" s="4"/>
      <c r="V344" s="4"/>
      <c r="W344" s="4"/>
      <c r="X344" s="4"/>
      <c r="Y344" s="4"/>
      <c r="Z344" s="4"/>
    </row>
    <row r="345" ht="9.75" customHeight="1">
      <c r="A345" s="4"/>
      <c r="B345" s="7"/>
      <c r="C345" s="7"/>
      <c r="D345" s="4"/>
      <c r="E345" s="4"/>
      <c r="F345" s="7"/>
      <c r="G345" s="7"/>
      <c r="H345" s="4"/>
      <c r="I345" s="4"/>
      <c r="J345" s="7"/>
      <c r="K345" s="4"/>
      <c r="L345" s="4"/>
      <c r="M345" s="4"/>
      <c r="N345" s="4"/>
      <c r="O345" s="4"/>
      <c r="P345" s="4"/>
      <c r="Q345" s="4"/>
      <c r="R345" s="4"/>
      <c r="S345" s="4"/>
      <c r="T345" s="4"/>
      <c r="U345" s="4"/>
      <c r="V345" s="4"/>
      <c r="W345" s="4"/>
      <c r="X345" s="4"/>
      <c r="Y345" s="4"/>
      <c r="Z345" s="4"/>
    </row>
    <row r="346" ht="9.75" customHeight="1">
      <c r="A346" s="4"/>
      <c r="B346" s="7"/>
      <c r="C346" s="7"/>
      <c r="D346" s="4"/>
      <c r="E346" s="4"/>
      <c r="F346" s="7"/>
      <c r="G346" s="7"/>
      <c r="H346" s="4"/>
      <c r="I346" s="4"/>
      <c r="J346" s="7"/>
      <c r="K346" s="4"/>
      <c r="L346" s="4"/>
      <c r="M346" s="4"/>
      <c r="N346" s="4"/>
      <c r="O346" s="4"/>
      <c r="P346" s="4"/>
      <c r="Q346" s="4"/>
      <c r="R346" s="4"/>
      <c r="S346" s="4"/>
      <c r="T346" s="4"/>
      <c r="U346" s="4"/>
      <c r="V346" s="4"/>
      <c r="W346" s="4"/>
      <c r="X346" s="4"/>
      <c r="Y346" s="4"/>
      <c r="Z346" s="4"/>
    </row>
    <row r="347" ht="9.75" customHeight="1">
      <c r="A347" s="4"/>
      <c r="B347" s="7"/>
      <c r="C347" s="7"/>
      <c r="D347" s="4"/>
      <c r="E347" s="4"/>
      <c r="F347" s="7"/>
      <c r="G347" s="7"/>
      <c r="H347" s="4"/>
      <c r="I347" s="4"/>
      <c r="J347" s="7"/>
      <c r="K347" s="4"/>
      <c r="L347" s="4"/>
      <c r="M347" s="4"/>
      <c r="N347" s="4"/>
      <c r="O347" s="4"/>
      <c r="P347" s="4"/>
      <c r="Q347" s="4"/>
      <c r="R347" s="4"/>
      <c r="S347" s="4"/>
      <c r="T347" s="4"/>
      <c r="U347" s="4"/>
      <c r="V347" s="4"/>
      <c r="W347" s="4"/>
      <c r="X347" s="4"/>
      <c r="Y347" s="4"/>
      <c r="Z347" s="4"/>
    </row>
    <row r="348" ht="9.75" customHeight="1">
      <c r="A348" s="4"/>
      <c r="B348" s="7"/>
      <c r="C348" s="7"/>
      <c r="D348" s="4"/>
      <c r="E348" s="4"/>
      <c r="F348" s="7"/>
      <c r="G348" s="7"/>
      <c r="H348" s="4"/>
      <c r="I348" s="4"/>
      <c r="J348" s="7"/>
      <c r="K348" s="4"/>
      <c r="L348" s="4"/>
      <c r="M348" s="4"/>
      <c r="N348" s="4"/>
      <c r="O348" s="4"/>
      <c r="P348" s="4"/>
      <c r="Q348" s="4"/>
      <c r="R348" s="4"/>
      <c r="S348" s="4"/>
      <c r="T348" s="4"/>
      <c r="U348" s="4"/>
      <c r="V348" s="4"/>
      <c r="W348" s="4"/>
      <c r="X348" s="4"/>
      <c r="Y348" s="4"/>
      <c r="Z348" s="4"/>
    </row>
    <row r="349" ht="9.75" customHeight="1">
      <c r="A349" s="4"/>
      <c r="B349" s="7"/>
      <c r="C349" s="7"/>
      <c r="D349" s="4"/>
      <c r="E349" s="4"/>
      <c r="F349" s="7"/>
      <c r="G349" s="7"/>
      <c r="H349" s="4"/>
      <c r="I349" s="4"/>
      <c r="J349" s="7"/>
      <c r="K349" s="4"/>
      <c r="L349" s="4"/>
      <c r="M349" s="4"/>
      <c r="N349" s="4"/>
      <c r="O349" s="4"/>
      <c r="P349" s="4"/>
      <c r="Q349" s="4"/>
      <c r="R349" s="4"/>
      <c r="S349" s="4"/>
      <c r="T349" s="4"/>
      <c r="U349" s="4"/>
      <c r="V349" s="4"/>
      <c r="W349" s="4"/>
      <c r="X349" s="4"/>
      <c r="Y349" s="4"/>
      <c r="Z349" s="4"/>
    </row>
    <row r="350" ht="9.75" customHeight="1">
      <c r="A350" s="4"/>
      <c r="B350" s="7"/>
      <c r="C350" s="7"/>
      <c r="D350" s="4"/>
      <c r="E350" s="4"/>
      <c r="F350" s="7"/>
      <c r="G350" s="7"/>
      <c r="H350" s="4"/>
      <c r="I350" s="4"/>
      <c r="J350" s="7"/>
      <c r="K350" s="4"/>
      <c r="L350" s="4"/>
      <c r="M350" s="4"/>
      <c r="N350" s="4"/>
      <c r="O350" s="4"/>
      <c r="P350" s="4"/>
      <c r="Q350" s="4"/>
      <c r="R350" s="4"/>
      <c r="S350" s="4"/>
      <c r="T350" s="4"/>
      <c r="U350" s="4"/>
      <c r="V350" s="4"/>
      <c r="W350" s="4"/>
      <c r="X350" s="4"/>
      <c r="Y350" s="4"/>
      <c r="Z350" s="4"/>
    </row>
    <row r="351" ht="9.75" customHeight="1">
      <c r="A351" s="4"/>
      <c r="B351" s="7"/>
      <c r="C351" s="7"/>
      <c r="D351" s="4"/>
      <c r="E351" s="4"/>
      <c r="F351" s="7"/>
      <c r="G351" s="7"/>
      <c r="H351" s="4"/>
      <c r="I351" s="4"/>
      <c r="J351" s="7"/>
      <c r="K351" s="4"/>
      <c r="L351" s="4"/>
      <c r="M351" s="4"/>
      <c r="N351" s="4"/>
      <c r="O351" s="4"/>
      <c r="P351" s="4"/>
      <c r="Q351" s="4"/>
      <c r="R351" s="4"/>
      <c r="S351" s="4"/>
      <c r="T351" s="4"/>
      <c r="U351" s="4"/>
      <c r="V351" s="4"/>
      <c r="W351" s="4"/>
      <c r="X351" s="4"/>
      <c r="Y351" s="4"/>
      <c r="Z351" s="4"/>
    </row>
    <row r="352" ht="9.75" customHeight="1">
      <c r="A352" s="4"/>
      <c r="B352" s="7"/>
      <c r="C352" s="7"/>
      <c r="D352" s="4"/>
      <c r="E352" s="4"/>
      <c r="F352" s="7"/>
      <c r="G352" s="7"/>
      <c r="H352" s="4"/>
      <c r="I352" s="4"/>
      <c r="J352" s="7"/>
      <c r="K352" s="4"/>
      <c r="L352" s="4"/>
      <c r="M352" s="4"/>
      <c r="N352" s="4"/>
      <c r="O352" s="4"/>
      <c r="P352" s="4"/>
      <c r="Q352" s="4"/>
      <c r="R352" s="4"/>
      <c r="S352" s="4"/>
      <c r="T352" s="4"/>
      <c r="U352" s="4"/>
      <c r="V352" s="4"/>
      <c r="W352" s="4"/>
      <c r="X352" s="4"/>
      <c r="Y352" s="4"/>
      <c r="Z352" s="4"/>
    </row>
    <row r="353" ht="9.75" customHeight="1">
      <c r="A353" s="4"/>
      <c r="B353" s="7"/>
      <c r="C353" s="7"/>
      <c r="D353" s="4"/>
      <c r="E353" s="4"/>
      <c r="F353" s="7"/>
      <c r="G353" s="7"/>
      <c r="H353" s="4"/>
      <c r="I353" s="4"/>
      <c r="J353" s="7"/>
      <c r="K353" s="4"/>
      <c r="L353" s="4"/>
      <c r="M353" s="4"/>
      <c r="N353" s="4"/>
      <c r="O353" s="4"/>
      <c r="P353" s="4"/>
      <c r="Q353" s="4"/>
      <c r="R353" s="4"/>
      <c r="S353" s="4"/>
      <c r="T353" s="4"/>
      <c r="U353" s="4"/>
      <c r="V353" s="4"/>
      <c r="W353" s="4"/>
      <c r="X353" s="4"/>
      <c r="Y353" s="4"/>
      <c r="Z353" s="4"/>
    </row>
    <row r="354" ht="9.75" customHeight="1">
      <c r="A354" s="4"/>
      <c r="B354" s="7"/>
      <c r="C354" s="7"/>
      <c r="D354" s="4"/>
      <c r="E354" s="4"/>
      <c r="F354" s="7"/>
      <c r="G354" s="7"/>
      <c r="H354" s="4"/>
      <c r="I354" s="4"/>
      <c r="J354" s="7"/>
      <c r="K354" s="4"/>
      <c r="L354" s="4"/>
      <c r="M354" s="4"/>
      <c r="N354" s="4"/>
      <c r="O354" s="4"/>
      <c r="P354" s="4"/>
      <c r="Q354" s="4"/>
      <c r="R354" s="4"/>
      <c r="S354" s="4"/>
      <c r="T354" s="4"/>
      <c r="U354" s="4"/>
      <c r="V354" s="4"/>
      <c r="W354" s="4"/>
      <c r="X354" s="4"/>
      <c r="Y354" s="4"/>
      <c r="Z354" s="4"/>
    </row>
    <row r="355" ht="9.75" customHeight="1">
      <c r="A355" s="4"/>
      <c r="B355" s="7"/>
      <c r="C355" s="7"/>
      <c r="D355" s="4"/>
      <c r="E355" s="4"/>
      <c r="F355" s="7"/>
      <c r="G355" s="7"/>
      <c r="H355" s="4"/>
      <c r="I355" s="4"/>
      <c r="J355" s="7"/>
      <c r="K355" s="4"/>
      <c r="L355" s="4"/>
      <c r="M355" s="4"/>
      <c r="N355" s="4"/>
      <c r="O355" s="4"/>
      <c r="P355" s="4"/>
      <c r="Q355" s="4"/>
      <c r="R355" s="4"/>
      <c r="S355" s="4"/>
      <c r="T355" s="4"/>
      <c r="U355" s="4"/>
      <c r="V355" s="4"/>
      <c r="W355" s="4"/>
      <c r="X355" s="4"/>
      <c r="Y355" s="4"/>
      <c r="Z355" s="4"/>
    </row>
    <row r="356" ht="9.75" customHeight="1">
      <c r="A356" s="4"/>
      <c r="B356" s="7"/>
      <c r="C356" s="7"/>
      <c r="D356" s="4"/>
      <c r="E356" s="4"/>
      <c r="F356" s="7"/>
      <c r="G356" s="7"/>
      <c r="H356" s="4"/>
      <c r="I356" s="4"/>
      <c r="J356" s="7"/>
      <c r="K356" s="4"/>
      <c r="L356" s="4"/>
      <c r="M356" s="4"/>
      <c r="N356" s="4"/>
      <c r="O356" s="4"/>
      <c r="P356" s="4"/>
      <c r="Q356" s="4"/>
      <c r="R356" s="4"/>
      <c r="S356" s="4"/>
      <c r="T356" s="4"/>
      <c r="U356" s="4"/>
      <c r="V356" s="4"/>
      <c r="W356" s="4"/>
      <c r="X356" s="4"/>
      <c r="Y356" s="4"/>
      <c r="Z356" s="4"/>
    </row>
    <row r="357" ht="9.75" customHeight="1">
      <c r="A357" s="4"/>
      <c r="B357" s="7"/>
      <c r="C357" s="7"/>
      <c r="D357" s="4"/>
      <c r="E357" s="4"/>
      <c r="F357" s="7"/>
      <c r="G357" s="7"/>
      <c r="H357" s="4"/>
      <c r="I357" s="4"/>
      <c r="J357" s="7"/>
      <c r="K357" s="4"/>
      <c r="L357" s="4"/>
      <c r="M357" s="4"/>
      <c r="N357" s="4"/>
      <c r="O357" s="4"/>
      <c r="P357" s="4"/>
      <c r="Q357" s="4"/>
      <c r="R357" s="4"/>
      <c r="S357" s="4"/>
      <c r="T357" s="4"/>
      <c r="U357" s="4"/>
      <c r="V357" s="4"/>
      <c r="W357" s="4"/>
      <c r="X357" s="4"/>
      <c r="Y357" s="4"/>
      <c r="Z357" s="4"/>
    </row>
    <row r="358" ht="9.75" customHeight="1">
      <c r="A358" s="4"/>
      <c r="B358" s="7"/>
      <c r="C358" s="7"/>
      <c r="D358" s="4"/>
      <c r="E358" s="4"/>
      <c r="F358" s="7"/>
      <c r="G358" s="7"/>
      <c r="H358" s="4"/>
      <c r="I358" s="4"/>
      <c r="J358" s="7"/>
      <c r="K358" s="4"/>
      <c r="L358" s="4"/>
      <c r="M358" s="4"/>
      <c r="N358" s="4"/>
      <c r="O358" s="4"/>
      <c r="P358" s="4"/>
      <c r="Q358" s="4"/>
      <c r="R358" s="4"/>
      <c r="S358" s="4"/>
      <c r="T358" s="4"/>
      <c r="U358" s="4"/>
      <c r="V358" s="4"/>
      <c r="W358" s="4"/>
      <c r="X358" s="4"/>
      <c r="Y358" s="4"/>
      <c r="Z358" s="4"/>
    </row>
    <row r="359" ht="9.75" customHeight="1">
      <c r="A359" s="4"/>
      <c r="B359" s="7"/>
      <c r="C359" s="7"/>
      <c r="D359" s="4"/>
      <c r="E359" s="4"/>
      <c r="F359" s="7"/>
      <c r="G359" s="7"/>
      <c r="H359" s="4"/>
      <c r="I359" s="4"/>
      <c r="J359" s="7"/>
      <c r="K359" s="4"/>
      <c r="L359" s="4"/>
      <c r="M359" s="4"/>
      <c r="N359" s="4"/>
      <c r="O359" s="4"/>
      <c r="P359" s="4"/>
      <c r="Q359" s="4"/>
      <c r="R359" s="4"/>
      <c r="S359" s="4"/>
      <c r="T359" s="4"/>
      <c r="U359" s="4"/>
      <c r="V359" s="4"/>
      <c r="W359" s="4"/>
      <c r="X359" s="4"/>
      <c r="Y359" s="4"/>
      <c r="Z359" s="4"/>
    </row>
    <row r="360" ht="9.75" customHeight="1">
      <c r="A360" s="4"/>
      <c r="B360" s="7"/>
      <c r="C360" s="7"/>
      <c r="D360" s="4"/>
      <c r="E360" s="4"/>
      <c r="F360" s="7"/>
      <c r="G360" s="7"/>
      <c r="H360" s="4"/>
      <c r="I360" s="4"/>
      <c r="J360" s="7"/>
      <c r="K360" s="4"/>
      <c r="L360" s="4"/>
      <c r="M360" s="4"/>
      <c r="N360" s="4"/>
      <c r="O360" s="4"/>
      <c r="P360" s="4"/>
      <c r="Q360" s="4"/>
      <c r="R360" s="4"/>
      <c r="S360" s="4"/>
      <c r="T360" s="4"/>
      <c r="U360" s="4"/>
      <c r="V360" s="4"/>
      <c r="W360" s="4"/>
      <c r="X360" s="4"/>
      <c r="Y360" s="4"/>
      <c r="Z360" s="4"/>
    </row>
    <row r="361" ht="9.75" customHeight="1">
      <c r="A361" s="4"/>
      <c r="B361" s="7"/>
      <c r="C361" s="7"/>
      <c r="D361" s="4"/>
      <c r="E361" s="4"/>
      <c r="F361" s="7"/>
      <c r="G361" s="7"/>
      <c r="H361" s="4"/>
      <c r="I361" s="4"/>
      <c r="J361" s="7"/>
      <c r="K361" s="4"/>
      <c r="L361" s="4"/>
      <c r="M361" s="4"/>
      <c r="N361" s="4"/>
      <c r="O361" s="4"/>
      <c r="P361" s="4"/>
      <c r="Q361" s="4"/>
      <c r="R361" s="4"/>
      <c r="S361" s="4"/>
      <c r="T361" s="4"/>
      <c r="U361" s="4"/>
      <c r="V361" s="4"/>
      <c r="W361" s="4"/>
      <c r="X361" s="4"/>
      <c r="Y361" s="4"/>
      <c r="Z361" s="4"/>
    </row>
    <row r="362" ht="9.75" customHeight="1">
      <c r="A362" s="4"/>
      <c r="B362" s="7"/>
      <c r="C362" s="7"/>
      <c r="D362" s="4"/>
      <c r="E362" s="4"/>
      <c r="F362" s="7"/>
      <c r="G362" s="7"/>
      <c r="H362" s="4"/>
      <c r="I362" s="4"/>
      <c r="J362" s="7"/>
      <c r="K362" s="4"/>
      <c r="L362" s="4"/>
      <c r="M362" s="4"/>
      <c r="N362" s="4"/>
      <c r="O362" s="4"/>
      <c r="P362" s="4"/>
      <c r="Q362" s="4"/>
      <c r="R362" s="4"/>
      <c r="S362" s="4"/>
      <c r="T362" s="4"/>
      <c r="U362" s="4"/>
      <c r="V362" s="4"/>
      <c r="W362" s="4"/>
      <c r="X362" s="4"/>
      <c r="Y362" s="4"/>
      <c r="Z362" s="4"/>
    </row>
    <row r="363" ht="9.75" customHeight="1">
      <c r="A363" s="4"/>
      <c r="B363" s="7"/>
      <c r="C363" s="7"/>
      <c r="D363" s="4"/>
      <c r="E363" s="4"/>
      <c r="F363" s="7"/>
      <c r="G363" s="7"/>
      <c r="H363" s="4"/>
      <c r="I363" s="4"/>
      <c r="J363" s="7"/>
      <c r="K363" s="4"/>
      <c r="L363" s="4"/>
      <c r="M363" s="4"/>
      <c r="N363" s="4"/>
      <c r="O363" s="4"/>
      <c r="P363" s="4"/>
      <c r="Q363" s="4"/>
      <c r="R363" s="4"/>
      <c r="S363" s="4"/>
      <c r="T363" s="4"/>
      <c r="U363" s="4"/>
      <c r="V363" s="4"/>
      <c r="W363" s="4"/>
      <c r="X363" s="4"/>
      <c r="Y363" s="4"/>
      <c r="Z363" s="4"/>
    </row>
    <row r="364" ht="9.75" customHeight="1">
      <c r="A364" s="4"/>
      <c r="B364" s="7"/>
      <c r="C364" s="7"/>
      <c r="D364" s="4"/>
      <c r="E364" s="4"/>
      <c r="F364" s="7"/>
      <c r="G364" s="7"/>
      <c r="H364" s="4"/>
      <c r="I364" s="4"/>
      <c r="J364" s="7"/>
      <c r="K364" s="4"/>
      <c r="L364" s="4"/>
      <c r="M364" s="4"/>
      <c r="N364" s="4"/>
      <c r="O364" s="4"/>
      <c r="P364" s="4"/>
      <c r="Q364" s="4"/>
      <c r="R364" s="4"/>
      <c r="S364" s="4"/>
      <c r="T364" s="4"/>
      <c r="U364" s="4"/>
      <c r="V364" s="4"/>
      <c r="W364" s="4"/>
      <c r="X364" s="4"/>
      <c r="Y364" s="4"/>
      <c r="Z364" s="4"/>
    </row>
    <row r="365" ht="9.75" customHeight="1">
      <c r="A365" s="4"/>
      <c r="B365" s="7"/>
      <c r="C365" s="7"/>
      <c r="D365" s="4"/>
      <c r="E365" s="4"/>
      <c r="F365" s="7"/>
      <c r="G365" s="7"/>
      <c r="H365" s="4"/>
      <c r="I365" s="4"/>
      <c r="J365" s="7"/>
      <c r="K365" s="4"/>
      <c r="L365" s="4"/>
      <c r="M365" s="4"/>
      <c r="N365" s="4"/>
      <c r="O365" s="4"/>
      <c r="P365" s="4"/>
      <c r="Q365" s="4"/>
      <c r="R365" s="4"/>
      <c r="S365" s="4"/>
      <c r="T365" s="4"/>
      <c r="U365" s="4"/>
      <c r="V365" s="4"/>
      <c r="W365" s="4"/>
      <c r="X365" s="4"/>
      <c r="Y365" s="4"/>
      <c r="Z365" s="4"/>
    </row>
    <row r="366" ht="9.75" customHeight="1">
      <c r="A366" s="4"/>
      <c r="B366" s="7"/>
      <c r="C366" s="7"/>
      <c r="D366" s="4"/>
      <c r="E366" s="4"/>
      <c r="F366" s="7"/>
      <c r="G366" s="7"/>
      <c r="H366" s="4"/>
      <c r="I366" s="4"/>
      <c r="J366" s="7"/>
      <c r="K366" s="4"/>
      <c r="L366" s="4"/>
      <c r="M366" s="4"/>
      <c r="N366" s="4"/>
      <c r="O366" s="4"/>
      <c r="P366" s="4"/>
      <c r="Q366" s="4"/>
      <c r="R366" s="4"/>
      <c r="S366" s="4"/>
      <c r="T366" s="4"/>
      <c r="U366" s="4"/>
      <c r="V366" s="4"/>
      <c r="W366" s="4"/>
      <c r="X366" s="4"/>
      <c r="Y366" s="4"/>
      <c r="Z366" s="4"/>
    </row>
    <row r="367" ht="9.75" customHeight="1">
      <c r="A367" s="4"/>
      <c r="B367" s="7"/>
      <c r="C367" s="7"/>
      <c r="D367" s="4"/>
      <c r="E367" s="4"/>
      <c r="F367" s="7"/>
      <c r="G367" s="7"/>
      <c r="H367" s="4"/>
      <c r="I367" s="4"/>
      <c r="J367" s="7"/>
      <c r="K367" s="4"/>
      <c r="L367" s="4"/>
      <c r="M367" s="4"/>
      <c r="N367" s="4"/>
      <c r="O367" s="4"/>
      <c r="P367" s="4"/>
      <c r="Q367" s="4"/>
      <c r="R367" s="4"/>
      <c r="S367" s="4"/>
      <c r="T367" s="4"/>
      <c r="U367" s="4"/>
      <c r="V367" s="4"/>
      <c r="W367" s="4"/>
      <c r="X367" s="4"/>
      <c r="Y367" s="4"/>
      <c r="Z367" s="4"/>
    </row>
    <row r="368" ht="9.75" customHeight="1">
      <c r="A368" s="4"/>
      <c r="B368" s="7"/>
      <c r="C368" s="7"/>
      <c r="D368" s="4"/>
      <c r="E368" s="4"/>
      <c r="F368" s="7"/>
      <c r="G368" s="7"/>
      <c r="H368" s="4"/>
      <c r="I368" s="4"/>
      <c r="J368" s="7"/>
      <c r="K368" s="4"/>
      <c r="L368" s="4"/>
      <c r="M368" s="4"/>
      <c r="N368" s="4"/>
      <c r="O368" s="4"/>
      <c r="P368" s="4"/>
      <c r="Q368" s="4"/>
      <c r="R368" s="4"/>
      <c r="S368" s="4"/>
      <c r="T368" s="4"/>
      <c r="U368" s="4"/>
      <c r="V368" s="4"/>
      <c r="W368" s="4"/>
      <c r="X368" s="4"/>
      <c r="Y368" s="4"/>
      <c r="Z368" s="4"/>
    </row>
    <row r="369" ht="9.75" customHeight="1">
      <c r="A369" s="4"/>
      <c r="B369" s="7"/>
      <c r="C369" s="7"/>
      <c r="D369" s="4"/>
      <c r="E369" s="4"/>
      <c r="F369" s="7"/>
      <c r="G369" s="7"/>
      <c r="H369" s="4"/>
      <c r="I369" s="4"/>
      <c r="J369" s="7"/>
      <c r="K369" s="4"/>
      <c r="L369" s="4"/>
      <c r="M369" s="4"/>
      <c r="N369" s="4"/>
      <c r="O369" s="4"/>
      <c r="P369" s="4"/>
      <c r="Q369" s="4"/>
      <c r="R369" s="4"/>
      <c r="S369" s="4"/>
      <c r="T369" s="4"/>
      <c r="U369" s="4"/>
      <c r="V369" s="4"/>
      <c r="W369" s="4"/>
      <c r="X369" s="4"/>
      <c r="Y369" s="4"/>
      <c r="Z369" s="4"/>
    </row>
    <row r="370" ht="9.75" customHeight="1">
      <c r="A370" s="4"/>
      <c r="B370" s="7"/>
      <c r="C370" s="7"/>
      <c r="D370" s="4"/>
      <c r="E370" s="4"/>
      <c r="F370" s="7"/>
      <c r="G370" s="7"/>
      <c r="H370" s="4"/>
      <c r="I370" s="4"/>
      <c r="J370" s="7"/>
      <c r="K370" s="4"/>
      <c r="L370" s="4"/>
      <c r="M370" s="4"/>
      <c r="N370" s="4"/>
      <c r="O370" s="4"/>
      <c r="P370" s="4"/>
      <c r="Q370" s="4"/>
      <c r="R370" s="4"/>
      <c r="S370" s="4"/>
      <c r="T370" s="4"/>
      <c r="U370" s="4"/>
      <c r="V370" s="4"/>
      <c r="W370" s="4"/>
      <c r="X370" s="4"/>
      <c r="Y370" s="4"/>
      <c r="Z370" s="4"/>
    </row>
    <row r="371" ht="9.75" customHeight="1">
      <c r="A371" s="4"/>
      <c r="B371" s="7"/>
      <c r="C371" s="7"/>
      <c r="D371" s="4"/>
      <c r="E371" s="4"/>
      <c r="F371" s="7"/>
      <c r="G371" s="7"/>
      <c r="H371" s="4"/>
      <c r="I371" s="4"/>
      <c r="J371" s="7"/>
      <c r="K371" s="4"/>
      <c r="L371" s="4"/>
      <c r="M371" s="4"/>
      <c r="N371" s="4"/>
      <c r="O371" s="4"/>
      <c r="P371" s="4"/>
      <c r="Q371" s="4"/>
      <c r="R371" s="4"/>
      <c r="S371" s="4"/>
      <c r="T371" s="4"/>
      <c r="U371" s="4"/>
      <c r="V371" s="4"/>
      <c r="W371" s="4"/>
      <c r="X371" s="4"/>
      <c r="Y371" s="4"/>
      <c r="Z371" s="4"/>
    </row>
    <row r="372" ht="9.75" customHeight="1">
      <c r="A372" s="4"/>
      <c r="B372" s="7"/>
      <c r="C372" s="7"/>
      <c r="D372" s="4"/>
      <c r="E372" s="4"/>
      <c r="F372" s="7"/>
      <c r="G372" s="7"/>
      <c r="H372" s="4"/>
      <c r="I372" s="4"/>
      <c r="J372" s="7"/>
      <c r="K372" s="4"/>
      <c r="L372" s="4"/>
      <c r="M372" s="4"/>
      <c r="N372" s="4"/>
      <c r="O372" s="4"/>
      <c r="P372" s="4"/>
      <c r="Q372" s="4"/>
      <c r="R372" s="4"/>
      <c r="S372" s="4"/>
      <c r="T372" s="4"/>
      <c r="U372" s="4"/>
      <c r="V372" s="4"/>
      <c r="W372" s="4"/>
      <c r="X372" s="4"/>
      <c r="Y372" s="4"/>
      <c r="Z372" s="4"/>
    </row>
    <row r="373" ht="9.75" customHeight="1">
      <c r="A373" s="4"/>
      <c r="B373" s="7"/>
      <c r="C373" s="7"/>
      <c r="D373" s="4"/>
      <c r="E373" s="4"/>
      <c r="F373" s="7"/>
      <c r="G373" s="7"/>
      <c r="H373" s="4"/>
      <c r="I373" s="4"/>
      <c r="J373" s="7"/>
      <c r="K373" s="4"/>
      <c r="L373" s="4"/>
      <c r="M373" s="4"/>
      <c r="N373" s="4"/>
      <c r="O373" s="4"/>
      <c r="P373" s="4"/>
      <c r="Q373" s="4"/>
      <c r="R373" s="4"/>
      <c r="S373" s="4"/>
      <c r="T373" s="4"/>
      <c r="U373" s="4"/>
      <c r="V373" s="4"/>
      <c r="W373" s="4"/>
      <c r="X373" s="4"/>
      <c r="Y373" s="4"/>
      <c r="Z373" s="4"/>
    </row>
    <row r="374" ht="9.75" customHeight="1">
      <c r="A374" s="4"/>
      <c r="B374" s="7"/>
      <c r="C374" s="7"/>
      <c r="D374" s="4"/>
      <c r="E374" s="4"/>
      <c r="F374" s="7"/>
      <c r="G374" s="7"/>
      <c r="H374" s="4"/>
      <c r="I374" s="4"/>
      <c r="J374" s="7"/>
      <c r="K374" s="4"/>
      <c r="L374" s="4"/>
      <c r="M374" s="4"/>
      <c r="N374" s="4"/>
      <c r="O374" s="4"/>
      <c r="P374" s="4"/>
      <c r="Q374" s="4"/>
      <c r="R374" s="4"/>
      <c r="S374" s="4"/>
      <c r="T374" s="4"/>
      <c r="U374" s="4"/>
      <c r="V374" s="4"/>
      <c r="W374" s="4"/>
      <c r="X374" s="4"/>
      <c r="Y374" s="4"/>
      <c r="Z374" s="4"/>
    </row>
    <row r="375" ht="9.75" customHeight="1">
      <c r="A375" s="4"/>
      <c r="B375" s="7"/>
      <c r="C375" s="7"/>
      <c r="D375" s="4"/>
      <c r="E375" s="4"/>
      <c r="F375" s="7"/>
      <c r="G375" s="7"/>
      <c r="H375" s="4"/>
      <c r="I375" s="4"/>
      <c r="J375" s="7"/>
      <c r="K375" s="4"/>
      <c r="L375" s="4"/>
      <c r="M375" s="4"/>
      <c r="N375" s="4"/>
      <c r="O375" s="4"/>
      <c r="P375" s="4"/>
      <c r="Q375" s="4"/>
      <c r="R375" s="4"/>
      <c r="S375" s="4"/>
      <c r="T375" s="4"/>
      <c r="U375" s="4"/>
      <c r="V375" s="4"/>
      <c r="W375" s="4"/>
      <c r="X375" s="4"/>
      <c r="Y375" s="4"/>
      <c r="Z375" s="4"/>
    </row>
    <row r="376" ht="9.75" customHeight="1">
      <c r="A376" s="4"/>
      <c r="B376" s="7"/>
      <c r="C376" s="7"/>
      <c r="D376" s="4"/>
      <c r="E376" s="4"/>
      <c r="F376" s="7"/>
      <c r="G376" s="7"/>
      <c r="H376" s="4"/>
      <c r="I376" s="4"/>
      <c r="J376" s="7"/>
      <c r="K376" s="4"/>
      <c r="L376" s="4"/>
      <c r="M376" s="4"/>
      <c r="N376" s="4"/>
      <c r="O376" s="4"/>
      <c r="P376" s="4"/>
      <c r="Q376" s="4"/>
      <c r="R376" s="4"/>
      <c r="S376" s="4"/>
      <c r="T376" s="4"/>
      <c r="U376" s="4"/>
      <c r="V376" s="4"/>
      <c r="W376" s="4"/>
      <c r="X376" s="4"/>
      <c r="Y376" s="4"/>
      <c r="Z376" s="4"/>
    </row>
    <row r="377" ht="9.75" customHeight="1">
      <c r="A377" s="4"/>
      <c r="B377" s="7"/>
      <c r="C377" s="7"/>
      <c r="D377" s="4"/>
      <c r="E377" s="4"/>
      <c r="F377" s="7"/>
      <c r="G377" s="7"/>
      <c r="H377" s="4"/>
      <c r="I377" s="4"/>
      <c r="J377" s="7"/>
      <c r="K377" s="4"/>
      <c r="L377" s="4"/>
      <c r="M377" s="4"/>
      <c r="N377" s="4"/>
      <c r="O377" s="4"/>
      <c r="P377" s="4"/>
      <c r="Q377" s="4"/>
      <c r="R377" s="4"/>
      <c r="S377" s="4"/>
      <c r="T377" s="4"/>
      <c r="U377" s="4"/>
      <c r="V377" s="4"/>
      <c r="W377" s="4"/>
      <c r="X377" s="4"/>
      <c r="Y377" s="4"/>
      <c r="Z377" s="4"/>
    </row>
    <row r="378" ht="9.75" customHeight="1">
      <c r="A378" s="4"/>
      <c r="B378" s="7"/>
      <c r="C378" s="7"/>
      <c r="D378" s="4"/>
      <c r="E378" s="4"/>
      <c r="F378" s="7"/>
      <c r="G378" s="7"/>
      <c r="H378" s="4"/>
      <c r="I378" s="4"/>
      <c r="J378" s="7"/>
      <c r="K378" s="4"/>
      <c r="L378" s="4"/>
      <c r="M378" s="4"/>
      <c r="N378" s="4"/>
      <c r="O378" s="4"/>
      <c r="P378" s="4"/>
      <c r="Q378" s="4"/>
      <c r="R378" s="4"/>
      <c r="S378" s="4"/>
      <c r="T378" s="4"/>
      <c r="U378" s="4"/>
      <c r="V378" s="4"/>
      <c r="W378" s="4"/>
      <c r="X378" s="4"/>
      <c r="Y378" s="4"/>
      <c r="Z378" s="4"/>
    </row>
    <row r="379" ht="9.75" customHeight="1">
      <c r="A379" s="4"/>
      <c r="B379" s="7"/>
      <c r="C379" s="7"/>
      <c r="D379" s="4"/>
      <c r="E379" s="4"/>
      <c r="F379" s="7"/>
      <c r="G379" s="7"/>
      <c r="H379" s="4"/>
      <c r="I379" s="4"/>
      <c r="J379" s="7"/>
      <c r="K379" s="4"/>
      <c r="L379" s="4"/>
      <c r="M379" s="4"/>
      <c r="N379" s="4"/>
      <c r="O379" s="4"/>
      <c r="P379" s="4"/>
      <c r="Q379" s="4"/>
      <c r="R379" s="4"/>
      <c r="S379" s="4"/>
      <c r="T379" s="4"/>
      <c r="U379" s="4"/>
      <c r="V379" s="4"/>
      <c r="W379" s="4"/>
      <c r="X379" s="4"/>
      <c r="Y379" s="4"/>
      <c r="Z379" s="4"/>
    </row>
    <row r="380" ht="9.75" customHeight="1">
      <c r="A380" s="4"/>
      <c r="B380" s="7"/>
      <c r="C380" s="7"/>
      <c r="D380" s="4"/>
      <c r="E380" s="4"/>
      <c r="F380" s="7"/>
      <c r="G380" s="7"/>
      <c r="H380" s="4"/>
      <c r="I380" s="4"/>
      <c r="J380" s="7"/>
      <c r="K380" s="4"/>
      <c r="L380" s="4"/>
      <c r="M380" s="4"/>
      <c r="N380" s="4"/>
      <c r="O380" s="4"/>
      <c r="P380" s="4"/>
      <c r="Q380" s="4"/>
      <c r="R380" s="4"/>
      <c r="S380" s="4"/>
      <c r="T380" s="4"/>
      <c r="U380" s="4"/>
      <c r="V380" s="4"/>
      <c r="W380" s="4"/>
      <c r="X380" s="4"/>
      <c r="Y380" s="4"/>
      <c r="Z380" s="4"/>
    </row>
    <row r="381" ht="9.75" customHeight="1">
      <c r="A381" s="4"/>
      <c r="B381" s="7"/>
      <c r="C381" s="7"/>
      <c r="D381" s="4"/>
      <c r="E381" s="4"/>
      <c r="F381" s="7"/>
      <c r="G381" s="7"/>
      <c r="H381" s="4"/>
      <c r="I381" s="4"/>
      <c r="J381" s="7"/>
      <c r="K381" s="4"/>
      <c r="L381" s="4"/>
      <c r="M381" s="4"/>
      <c r="N381" s="4"/>
      <c r="O381" s="4"/>
      <c r="P381" s="4"/>
      <c r="Q381" s="4"/>
      <c r="R381" s="4"/>
      <c r="S381" s="4"/>
      <c r="T381" s="4"/>
      <c r="U381" s="4"/>
      <c r="V381" s="4"/>
      <c r="W381" s="4"/>
      <c r="X381" s="4"/>
      <c r="Y381" s="4"/>
      <c r="Z381" s="4"/>
    </row>
    <row r="382" ht="9.75" customHeight="1">
      <c r="A382" s="4"/>
      <c r="B382" s="7"/>
      <c r="C382" s="7"/>
      <c r="D382" s="4"/>
      <c r="E382" s="4"/>
      <c r="F382" s="7"/>
      <c r="G382" s="7"/>
      <c r="H382" s="4"/>
      <c r="I382" s="4"/>
      <c r="J382" s="7"/>
      <c r="K382" s="4"/>
      <c r="L382" s="4"/>
      <c r="M382" s="4"/>
      <c r="N382" s="4"/>
      <c r="O382" s="4"/>
      <c r="P382" s="4"/>
      <c r="Q382" s="4"/>
      <c r="R382" s="4"/>
      <c r="S382" s="4"/>
      <c r="T382" s="4"/>
      <c r="U382" s="4"/>
      <c r="V382" s="4"/>
      <c r="W382" s="4"/>
      <c r="X382" s="4"/>
      <c r="Y382" s="4"/>
      <c r="Z382" s="4"/>
    </row>
    <row r="383" ht="9.75" customHeight="1">
      <c r="A383" s="4"/>
      <c r="B383" s="7"/>
      <c r="C383" s="7"/>
      <c r="D383" s="4"/>
      <c r="E383" s="4"/>
      <c r="F383" s="7"/>
      <c r="G383" s="7"/>
      <c r="H383" s="4"/>
      <c r="I383" s="4"/>
      <c r="J383" s="7"/>
      <c r="K383" s="4"/>
      <c r="L383" s="4"/>
      <c r="M383" s="4"/>
      <c r="N383" s="4"/>
      <c r="O383" s="4"/>
      <c r="P383" s="4"/>
      <c r="Q383" s="4"/>
      <c r="R383" s="4"/>
      <c r="S383" s="4"/>
      <c r="T383" s="4"/>
      <c r="U383" s="4"/>
      <c r="V383" s="4"/>
      <c r="W383" s="4"/>
      <c r="X383" s="4"/>
      <c r="Y383" s="4"/>
      <c r="Z383" s="4"/>
    </row>
    <row r="384" ht="9.75" customHeight="1">
      <c r="A384" s="4"/>
      <c r="B384" s="7"/>
      <c r="C384" s="7"/>
      <c r="D384" s="4"/>
      <c r="E384" s="4"/>
      <c r="F384" s="7"/>
      <c r="G384" s="7"/>
      <c r="H384" s="4"/>
      <c r="I384" s="4"/>
      <c r="J384" s="7"/>
      <c r="K384" s="4"/>
      <c r="L384" s="4"/>
      <c r="M384" s="4"/>
      <c r="N384" s="4"/>
      <c r="O384" s="4"/>
      <c r="P384" s="4"/>
      <c r="Q384" s="4"/>
      <c r="R384" s="4"/>
      <c r="S384" s="4"/>
      <c r="T384" s="4"/>
      <c r="U384" s="4"/>
      <c r="V384" s="4"/>
      <c r="W384" s="4"/>
      <c r="X384" s="4"/>
      <c r="Y384" s="4"/>
      <c r="Z384" s="4"/>
    </row>
    <row r="385" ht="9.75" customHeight="1">
      <c r="A385" s="4"/>
      <c r="B385" s="7"/>
      <c r="C385" s="7"/>
      <c r="D385" s="4"/>
      <c r="E385" s="4"/>
      <c r="F385" s="7"/>
      <c r="G385" s="7"/>
      <c r="H385" s="4"/>
      <c r="I385" s="4"/>
      <c r="J385" s="7"/>
      <c r="K385" s="4"/>
      <c r="L385" s="4"/>
      <c r="M385" s="4"/>
      <c r="N385" s="4"/>
      <c r="O385" s="4"/>
      <c r="P385" s="4"/>
      <c r="Q385" s="4"/>
      <c r="R385" s="4"/>
      <c r="S385" s="4"/>
      <c r="T385" s="4"/>
      <c r="U385" s="4"/>
      <c r="V385" s="4"/>
      <c r="W385" s="4"/>
      <c r="X385" s="4"/>
      <c r="Y385" s="4"/>
      <c r="Z385" s="4"/>
    </row>
    <row r="386" ht="9.75" customHeight="1">
      <c r="A386" s="4"/>
      <c r="B386" s="7"/>
      <c r="C386" s="7"/>
      <c r="D386" s="4"/>
      <c r="E386" s="4"/>
      <c r="F386" s="7"/>
      <c r="G386" s="7"/>
      <c r="H386" s="4"/>
      <c r="I386" s="4"/>
      <c r="J386" s="7"/>
      <c r="K386" s="4"/>
      <c r="L386" s="4"/>
      <c r="M386" s="4"/>
      <c r="N386" s="4"/>
      <c r="O386" s="4"/>
      <c r="P386" s="4"/>
      <c r="Q386" s="4"/>
      <c r="R386" s="4"/>
      <c r="S386" s="4"/>
      <c r="T386" s="4"/>
      <c r="U386" s="4"/>
      <c r="V386" s="4"/>
      <c r="W386" s="4"/>
      <c r="X386" s="4"/>
      <c r="Y386" s="4"/>
      <c r="Z386" s="4"/>
    </row>
    <row r="387" ht="9.75" customHeight="1">
      <c r="A387" s="4"/>
      <c r="B387" s="7"/>
      <c r="C387" s="7"/>
      <c r="D387" s="4"/>
      <c r="E387" s="4"/>
      <c r="F387" s="7"/>
      <c r="G387" s="7"/>
      <c r="H387" s="4"/>
      <c r="I387" s="4"/>
      <c r="J387" s="7"/>
      <c r="K387" s="4"/>
      <c r="L387" s="4"/>
      <c r="M387" s="4"/>
      <c r="N387" s="4"/>
      <c r="O387" s="4"/>
      <c r="P387" s="4"/>
      <c r="Q387" s="4"/>
      <c r="R387" s="4"/>
      <c r="S387" s="4"/>
      <c r="T387" s="4"/>
      <c r="U387" s="4"/>
      <c r="V387" s="4"/>
      <c r="W387" s="4"/>
      <c r="X387" s="4"/>
      <c r="Y387" s="4"/>
      <c r="Z387" s="4"/>
    </row>
    <row r="388" ht="9.75" customHeight="1">
      <c r="A388" s="4"/>
      <c r="B388" s="7"/>
      <c r="C388" s="7"/>
      <c r="D388" s="4"/>
      <c r="E388" s="4"/>
      <c r="F388" s="7"/>
      <c r="G388" s="7"/>
      <c r="H388" s="4"/>
      <c r="I388" s="4"/>
      <c r="J388" s="7"/>
      <c r="K388" s="4"/>
      <c r="L388" s="4"/>
      <c r="M388" s="4"/>
      <c r="N388" s="4"/>
      <c r="O388" s="4"/>
      <c r="P388" s="4"/>
      <c r="Q388" s="4"/>
      <c r="R388" s="4"/>
      <c r="S388" s="4"/>
      <c r="T388" s="4"/>
      <c r="U388" s="4"/>
      <c r="V388" s="4"/>
      <c r="W388" s="4"/>
      <c r="X388" s="4"/>
      <c r="Y388" s="4"/>
      <c r="Z388" s="4"/>
    </row>
    <row r="389" ht="9.75" customHeight="1">
      <c r="A389" s="4"/>
      <c r="B389" s="7"/>
      <c r="C389" s="7"/>
      <c r="D389" s="4"/>
      <c r="E389" s="4"/>
      <c r="F389" s="7"/>
      <c r="G389" s="7"/>
      <c r="H389" s="4"/>
      <c r="I389" s="4"/>
      <c r="J389" s="7"/>
      <c r="K389" s="4"/>
      <c r="L389" s="4"/>
      <c r="M389" s="4"/>
      <c r="N389" s="4"/>
      <c r="O389" s="4"/>
      <c r="P389" s="4"/>
      <c r="Q389" s="4"/>
      <c r="R389" s="4"/>
      <c r="S389" s="4"/>
      <c r="T389" s="4"/>
      <c r="U389" s="4"/>
      <c r="V389" s="4"/>
      <c r="W389" s="4"/>
      <c r="X389" s="4"/>
      <c r="Y389" s="4"/>
      <c r="Z389" s="4"/>
    </row>
    <row r="390" ht="9.75" customHeight="1">
      <c r="A390" s="4"/>
      <c r="B390" s="7"/>
      <c r="C390" s="7"/>
      <c r="D390" s="4"/>
      <c r="E390" s="4"/>
      <c r="F390" s="7"/>
      <c r="G390" s="7"/>
      <c r="H390" s="4"/>
      <c r="I390" s="4"/>
      <c r="J390" s="7"/>
      <c r="K390" s="4"/>
      <c r="L390" s="4"/>
      <c r="M390" s="4"/>
      <c r="N390" s="4"/>
      <c r="O390" s="4"/>
      <c r="P390" s="4"/>
      <c r="Q390" s="4"/>
      <c r="R390" s="4"/>
      <c r="S390" s="4"/>
      <c r="T390" s="4"/>
      <c r="U390" s="4"/>
      <c r="V390" s="4"/>
      <c r="W390" s="4"/>
      <c r="X390" s="4"/>
      <c r="Y390" s="4"/>
      <c r="Z390" s="4"/>
    </row>
    <row r="391" ht="9.75" customHeight="1">
      <c r="A391" s="4"/>
      <c r="B391" s="7"/>
      <c r="C391" s="7"/>
      <c r="D391" s="4"/>
      <c r="E391" s="4"/>
      <c r="F391" s="7"/>
      <c r="G391" s="7"/>
      <c r="H391" s="4"/>
      <c r="I391" s="4"/>
      <c r="J391" s="7"/>
      <c r="K391" s="4"/>
      <c r="L391" s="4"/>
      <c r="M391" s="4"/>
      <c r="N391" s="4"/>
      <c r="O391" s="4"/>
      <c r="P391" s="4"/>
      <c r="Q391" s="4"/>
      <c r="R391" s="4"/>
      <c r="S391" s="4"/>
      <c r="T391" s="4"/>
      <c r="U391" s="4"/>
      <c r="V391" s="4"/>
      <c r="W391" s="4"/>
      <c r="X391" s="4"/>
      <c r="Y391" s="4"/>
      <c r="Z391" s="4"/>
    </row>
    <row r="392" ht="9.75" customHeight="1">
      <c r="A392" s="4"/>
      <c r="B392" s="7"/>
      <c r="C392" s="7"/>
      <c r="D392" s="4"/>
      <c r="E392" s="4"/>
      <c r="F392" s="7"/>
      <c r="G392" s="7"/>
      <c r="H392" s="4"/>
      <c r="I392" s="4"/>
      <c r="J392" s="7"/>
      <c r="K392" s="4"/>
      <c r="L392" s="4"/>
      <c r="M392" s="4"/>
      <c r="N392" s="4"/>
      <c r="O392" s="4"/>
      <c r="P392" s="4"/>
      <c r="Q392" s="4"/>
      <c r="R392" s="4"/>
      <c r="S392" s="4"/>
      <c r="T392" s="4"/>
      <c r="U392" s="4"/>
      <c r="V392" s="4"/>
      <c r="W392" s="4"/>
      <c r="X392" s="4"/>
      <c r="Y392" s="4"/>
      <c r="Z392" s="4"/>
    </row>
    <row r="393" ht="9.75" customHeight="1">
      <c r="A393" s="4"/>
      <c r="B393" s="7"/>
      <c r="C393" s="7"/>
      <c r="D393" s="4"/>
      <c r="E393" s="4"/>
      <c r="F393" s="7"/>
      <c r="G393" s="7"/>
      <c r="H393" s="4"/>
      <c r="I393" s="4"/>
      <c r="J393" s="7"/>
      <c r="K393" s="4"/>
      <c r="L393" s="4"/>
      <c r="M393" s="4"/>
      <c r="N393" s="4"/>
      <c r="O393" s="4"/>
      <c r="P393" s="4"/>
      <c r="Q393" s="4"/>
      <c r="R393" s="4"/>
      <c r="S393" s="4"/>
      <c r="T393" s="4"/>
      <c r="U393" s="4"/>
      <c r="V393" s="4"/>
      <c r="W393" s="4"/>
      <c r="X393" s="4"/>
      <c r="Y393" s="4"/>
      <c r="Z393" s="4"/>
    </row>
    <row r="394" ht="9.75" customHeight="1">
      <c r="A394" s="4"/>
      <c r="B394" s="7"/>
      <c r="C394" s="7"/>
      <c r="D394" s="4"/>
      <c r="E394" s="4"/>
      <c r="F394" s="7"/>
      <c r="G394" s="7"/>
      <c r="H394" s="4"/>
      <c r="I394" s="4"/>
      <c r="J394" s="7"/>
      <c r="K394" s="4"/>
      <c r="L394" s="4"/>
      <c r="M394" s="4"/>
      <c r="N394" s="4"/>
      <c r="O394" s="4"/>
      <c r="P394" s="4"/>
      <c r="Q394" s="4"/>
      <c r="R394" s="4"/>
      <c r="S394" s="4"/>
      <c r="T394" s="4"/>
      <c r="U394" s="4"/>
      <c r="V394" s="4"/>
      <c r="W394" s="4"/>
      <c r="X394" s="4"/>
      <c r="Y394" s="4"/>
      <c r="Z394" s="4"/>
    </row>
    <row r="395" ht="9.75" customHeight="1">
      <c r="A395" s="4"/>
      <c r="B395" s="7"/>
      <c r="C395" s="7"/>
      <c r="D395" s="4"/>
      <c r="E395" s="4"/>
      <c r="F395" s="7"/>
      <c r="G395" s="7"/>
      <c r="H395" s="4"/>
      <c r="I395" s="4"/>
      <c r="J395" s="7"/>
      <c r="K395" s="4"/>
      <c r="L395" s="4"/>
      <c r="M395" s="4"/>
      <c r="N395" s="4"/>
      <c r="O395" s="4"/>
      <c r="P395" s="4"/>
      <c r="Q395" s="4"/>
      <c r="R395" s="4"/>
      <c r="S395" s="4"/>
      <c r="T395" s="4"/>
      <c r="U395" s="4"/>
      <c r="V395" s="4"/>
      <c r="W395" s="4"/>
      <c r="X395" s="4"/>
      <c r="Y395" s="4"/>
      <c r="Z395" s="4"/>
    </row>
    <row r="396" ht="9.75" customHeight="1">
      <c r="A396" s="4"/>
      <c r="B396" s="7"/>
      <c r="C396" s="7"/>
      <c r="D396" s="4"/>
      <c r="E396" s="4"/>
      <c r="F396" s="7"/>
      <c r="G396" s="7"/>
      <c r="H396" s="4"/>
      <c r="I396" s="4"/>
      <c r="J396" s="7"/>
      <c r="K396" s="4"/>
      <c r="L396" s="4"/>
      <c r="M396" s="4"/>
      <c r="N396" s="4"/>
      <c r="O396" s="4"/>
      <c r="P396" s="4"/>
      <c r="Q396" s="4"/>
      <c r="R396" s="4"/>
      <c r="S396" s="4"/>
      <c r="T396" s="4"/>
      <c r="U396" s="4"/>
      <c r="V396" s="4"/>
      <c r="W396" s="4"/>
      <c r="X396" s="4"/>
      <c r="Y396" s="4"/>
      <c r="Z396" s="4"/>
    </row>
    <row r="397" ht="9.75" customHeight="1">
      <c r="A397" s="4"/>
      <c r="B397" s="7"/>
      <c r="C397" s="7"/>
      <c r="D397" s="4"/>
      <c r="E397" s="4"/>
      <c r="F397" s="7"/>
      <c r="G397" s="7"/>
      <c r="H397" s="4"/>
      <c r="I397" s="4"/>
      <c r="J397" s="7"/>
      <c r="K397" s="4"/>
      <c r="L397" s="4"/>
      <c r="M397" s="4"/>
      <c r="N397" s="4"/>
      <c r="O397" s="4"/>
      <c r="P397" s="4"/>
      <c r="Q397" s="4"/>
      <c r="R397" s="4"/>
      <c r="S397" s="4"/>
      <c r="T397" s="4"/>
      <c r="U397" s="4"/>
      <c r="V397" s="4"/>
      <c r="W397" s="4"/>
      <c r="X397" s="4"/>
      <c r="Y397" s="4"/>
      <c r="Z397" s="4"/>
    </row>
    <row r="398" ht="9.75" customHeight="1">
      <c r="A398" s="4"/>
      <c r="B398" s="7"/>
      <c r="C398" s="7"/>
      <c r="D398" s="4"/>
      <c r="E398" s="4"/>
      <c r="F398" s="7"/>
      <c r="G398" s="7"/>
      <c r="H398" s="4"/>
      <c r="I398" s="4"/>
      <c r="J398" s="7"/>
      <c r="K398" s="4"/>
      <c r="L398" s="4"/>
      <c r="M398" s="4"/>
      <c r="N398" s="4"/>
      <c r="O398" s="4"/>
      <c r="P398" s="4"/>
      <c r="Q398" s="4"/>
      <c r="R398" s="4"/>
      <c r="S398" s="4"/>
      <c r="T398" s="4"/>
      <c r="U398" s="4"/>
      <c r="V398" s="4"/>
      <c r="W398" s="4"/>
      <c r="X398" s="4"/>
      <c r="Y398" s="4"/>
      <c r="Z398" s="4"/>
    </row>
    <row r="399" ht="9.75" customHeight="1">
      <c r="A399" s="4"/>
      <c r="B399" s="7"/>
      <c r="C399" s="7"/>
      <c r="D399" s="4"/>
      <c r="E399" s="4"/>
      <c r="F399" s="7"/>
      <c r="G399" s="7"/>
      <c r="H399" s="4"/>
      <c r="I399" s="4"/>
      <c r="J399" s="7"/>
      <c r="K399" s="4"/>
      <c r="L399" s="4"/>
      <c r="M399" s="4"/>
      <c r="N399" s="4"/>
      <c r="O399" s="4"/>
      <c r="P399" s="4"/>
      <c r="Q399" s="4"/>
      <c r="R399" s="4"/>
      <c r="S399" s="4"/>
      <c r="T399" s="4"/>
      <c r="U399" s="4"/>
      <c r="V399" s="4"/>
      <c r="W399" s="4"/>
      <c r="X399" s="4"/>
      <c r="Y399" s="4"/>
      <c r="Z399" s="4"/>
    </row>
    <row r="400" ht="9.75" customHeight="1">
      <c r="A400" s="4"/>
      <c r="B400" s="7"/>
      <c r="C400" s="7"/>
      <c r="D400" s="4"/>
      <c r="E400" s="4"/>
      <c r="F400" s="7"/>
      <c r="G400" s="7"/>
      <c r="H400" s="4"/>
      <c r="I400" s="4"/>
      <c r="J400" s="7"/>
      <c r="K400" s="4"/>
      <c r="L400" s="4"/>
      <c r="M400" s="4"/>
      <c r="N400" s="4"/>
      <c r="O400" s="4"/>
      <c r="P400" s="4"/>
      <c r="Q400" s="4"/>
      <c r="R400" s="4"/>
      <c r="S400" s="4"/>
      <c r="T400" s="4"/>
      <c r="U400" s="4"/>
      <c r="V400" s="4"/>
      <c r="W400" s="4"/>
      <c r="X400" s="4"/>
      <c r="Y400" s="4"/>
      <c r="Z400" s="4"/>
    </row>
    <row r="401" ht="9.75" customHeight="1">
      <c r="A401" s="4"/>
      <c r="B401" s="7"/>
      <c r="C401" s="7"/>
      <c r="D401" s="4"/>
      <c r="E401" s="4"/>
      <c r="F401" s="7"/>
      <c r="G401" s="7"/>
      <c r="H401" s="4"/>
      <c r="I401" s="4"/>
      <c r="J401" s="7"/>
      <c r="K401" s="4"/>
      <c r="L401" s="4"/>
      <c r="M401" s="4"/>
      <c r="N401" s="4"/>
      <c r="O401" s="4"/>
      <c r="P401" s="4"/>
      <c r="Q401" s="4"/>
      <c r="R401" s="4"/>
      <c r="S401" s="4"/>
      <c r="T401" s="4"/>
      <c r="U401" s="4"/>
      <c r="V401" s="4"/>
      <c r="W401" s="4"/>
      <c r="X401" s="4"/>
      <c r="Y401" s="4"/>
      <c r="Z401" s="4"/>
    </row>
    <row r="402" ht="9.75" customHeight="1">
      <c r="A402" s="4"/>
      <c r="B402" s="7"/>
      <c r="C402" s="7"/>
      <c r="D402" s="4"/>
      <c r="E402" s="4"/>
      <c r="F402" s="7"/>
      <c r="G402" s="7"/>
      <c r="H402" s="4"/>
      <c r="I402" s="4"/>
      <c r="J402" s="7"/>
      <c r="K402" s="4"/>
      <c r="L402" s="4"/>
      <c r="M402" s="4"/>
      <c r="N402" s="4"/>
      <c r="O402" s="4"/>
      <c r="P402" s="4"/>
      <c r="Q402" s="4"/>
      <c r="R402" s="4"/>
      <c r="S402" s="4"/>
      <c r="T402" s="4"/>
      <c r="U402" s="4"/>
      <c r="V402" s="4"/>
      <c r="W402" s="4"/>
      <c r="X402" s="4"/>
      <c r="Y402" s="4"/>
      <c r="Z402" s="4"/>
    </row>
    <row r="403" ht="9.75" customHeight="1">
      <c r="A403" s="4"/>
      <c r="B403" s="7"/>
      <c r="C403" s="7"/>
      <c r="D403" s="4"/>
      <c r="E403" s="4"/>
      <c r="F403" s="7"/>
      <c r="G403" s="7"/>
      <c r="H403" s="4"/>
      <c r="I403" s="4"/>
      <c r="J403" s="7"/>
      <c r="K403" s="4"/>
      <c r="L403" s="4"/>
      <c r="M403" s="4"/>
      <c r="N403" s="4"/>
      <c r="O403" s="4"/>
      <c r="P403" s="4"/>
      <c r="Q403" s="4"/>
      <c r="R403" s="4"/>
      <c r="S403" s="4"/>
      <c r="T403" s="4"/>
      <c r="U403" s="4"/>
      <c r="V403" s="4"/>
      <c r="W403" s="4"/>
      <c r="X403" s="4"/>
      <c r="Y403" s="4"/>
      <c r="Z403" s="4"/>
    </row>
    <row r="404" ht="9.75" customHeight="1">
      <c r="A404" s="4"/>
      <c r="B404" s="7"/>
      <c r="C404" s="7"/>
      <c r="D404" s="4"/>
      <c r="E404" s="4"/>
      <c r="F404" s="7"/>
      <c r="G404" s="7"/>
      <c r="H404" s="4"/>
      <c r="I404" s="4"/>
      <c r="J404" s="7"/>
      <c r="K404" s="4"/>
      <c r="L404" s="4"/>
      <c r="M404" s="4"/>
      <c r="N404" s="4"/>
      <c r="O404" s="4"/>
      <c r="P404" s="4"/>
      <c r="Q404" s="4"/>
      <c r="R404" s="4"/>
      <c r="S404" s="4"/>
      <c r="T404" s="4"/>
      <c r="U404" s="4"/>
      <c r="V404" s="4"/>
      <c r="W404" s="4"/>
      <c r="X404" s="4"/>
      <c r="Y404" s="4"/>
      <c r="Z404" s="4"/>
    </row>
    <row r="405" ht="9.75" customHeight="1">
      <c r="A405" s="4"/>
      <c r="B405" s="7"/>
      <c r="C405" s="7"/>
      <c r="D405" s="4"/>
      <c r="E405" s="4"/>
      <c r="F405" s="7"/>
      <c r="G405" s="7"/>
      <c r="H405" s="4"/>
      <c r="I405" s="4"/>
      <c r="J405" s="7"/>
      <c r="K405" s="4"/>
      <c r="L405" s="4"/>
      <c r="M405" s="4"/>
      <c r="N405" s="4"/>
      <c r="O405" s="4"/>
      <c r="P405" s="4"/>
      <c r="Q405" s="4"/>
      <c r="R405" s="4"/>
      <c r="S405" s="4"/>
      <c r="T405" s="4"/>
      <c r="U405" s="4"/>
      <c r="V405" s="4"/>
      <c r="W405" s="4"/>
      <c r="X405" s="4"/>
      <c r="Y405" s="4"/>
      <c r="Z405" s="4"/>
    </row>
    <row r="406" ht="9.75" customHeight="1">
      <c r="A406" s="4"/>
      <c r="B406" s="7"/>
      <c r="C406" s="7"/>
      <c r="D406" s="4"/>
      <c r="E406" s="4"/>
      <c r="F406" s="7"/>
      <c r="G406" s="7"/>
      <c r="H406" s="4"/>
      <c r="I406" s="4"/>
      <c r="J406" s="7"/>
      <c r="K406" s="4"/>
      <c r="L406" s="4"/>
      <c r="M406" s="4"/>
      <c r="N406" s="4"/>
      <c r="O406" s="4"/>
      <c r="P406" s="4"/>
      <c r="Q406" s="4"/>
      <c r="R406" s="4"/>
      <c r="S406" s="4"/>
      <c r="T406" s="4"/>
      <c r="U406" s="4"/>
      <c r="V406" s="4"/>
      <c r="W406" s="4"/>
      <c r="X406" s="4"/>
      <c r="Y406" s="4"/>
      <c r="Z406" s="4"/>
    </row>
    <row r="407" ht="9.75" customHeight="1">
      <c r="A407" s="4"/>
      <c r="B407" s="7"/>
      <c r="C407" s="7"/>
      <c r="D407" s="4"/>
      <c r="E407" s="4"/>
      <c r="F407" s="7"/>
      <c r="G407" s="7"/>
      <c r="H407" s="4"/>
      <c r="I407" s="4"/>
      <c r="J407" s="7"/>
      <c r="K407" s="4"/>
      <c r="L407" s="4"/>
      <c r="M407" s="4"/>
      <c r="N407" s="4"/>
      <c r="O407" s="4"/>
      <c r="P407" s="4"/>
      <c r="Q407" s="4"/>
      <c r="R407" s="4"/>
      <c r="S407" s="4"/>
      <c r="T407" s="4"/>
      <c r="U407" s="4"/>
      <c r="V407" s="4"/>
      <c r="W407" s="4"/>
      <c r="X407" s="4"/>
      <c r="Y407" s="4"/>
      <c r="Z407" s="4"/>
    </row>
    <row r="408" ht="9.75" customHeight="1">
      <c r="A408" s="4"/>
      <c r="B408" s="7"/>
      <c r="C408" s="7"/>
      <c r="D408" s="4"/>
      <c r="E408" s="4"/>
      <c r="F408" s="7"/>
      <c r="G408" s="7"/>
      <c r="H408" s="4"/>
      <c r="I408" s="4"/>
      <c r="J408" s="7"/>
      <c r="K408" s="4"/>
      <c r="L408" s="4"/>
      <c r="M408" s="4"/>
      <c r="N408" s="4"/>
      <c r="O408" s="4"/>
      <c r="P408" s="4"/>
      <c r="Q408" s="4"/>
      <c r="R408" s="4"/>
      <c r="S408" s="4"/>
      <c r="T408" s="4"/>
      <c r="U408" s="4"/>
      <c r="V408" s="4"/>
      <c r="W408" s="4"/>
      <c r="X408" s="4"/>
      <c r="Y408" s="4"/>
      <c r="Z408" s="4"/>
    </row>
    <row r="409" ht="9.75" customHeight="1">
      <c r="A409" s="4"/>
      <c r="B409" s="7"/>
      <c r="C409" s="7"/>
      <c r="D409" s="4"/>
      <c r="E409" s="4"/>
      <c r="F409" s="7"/>
      <c r="G409" s="7"/>
      <c r="H409" s="4"/>
      <c r="I409" s="4"/>
      <c r="J409" s="7"/>
      <c r="K409" s="4"/>
      <c r="L409" s="4"/>
      <c r="M409" s="4"/>
      <c r="N409" s="4"/>
      <c r="O409" s="4"/>
      <c r="P409" s="4"/>
      <c r="Q409" s="4"/>
      <c r="R409" s="4"/>
      <c r="S409" s="4"/>
      <c r="T409" s="4"/>
      <c r="U409" s="4"/>
      <c r="V409" s="4"/>
      <c r="W409" s="4"/>
      <c r="X409" s="4"/>
      <c r="Y409" s="4"/>
      <c r="Z409" s="4"/>
    </row>
    <row r="410" ht="9.75" customHeight="1">
      <c r="A410" s="4"/>
      <c r="B410" s="7"/>
      <c r="C410" s="7"/>
      <c r="D410" s="4"/>
      <c r="E410" s="4"/>
      <c r="F410" s="7"/>
      <c r="G410" s="7"/>
      <c r="H410" s="4"/>
      <c r="I410" s="4"/>
      <c r="J410" s="7"/>
      <c r="K410" s="4"/>
      <c r="L410" s="4"/>
      <c r="M410" s="4"/>
      <c r="N410" s="4"/>
      <c r="O410" s="4"/>
      <c r="P410" s="4"/>
      <c r="Q410" s="4"/>
      <c r="R410" s="4"/>
      <c r="S410" s="4"/>
      <c r="T410" s="4"/>
      <c r="U410" s="4"/>
      <c r="V410" s="4"/>
      <c r="W410" s="4"/>
      <c r="X410" s="4"/>
      <c r="Y410" s="4"/>
      <c r="Z410" s="4"/>
    </row>
    <row r="411" ht="9.75" customHeight="1">
      <c r="A411" s="4"/>
      <c r="B411" s="7"/>
      <c r="C411" s="7"/>
      <c r="D411" s="4"/>
      <c r="E411" s="4"/>
      <c r="F411" s="7"/>
      <c r="G411" s="7"/>
      <c r="H411" s="4"/>
      <c r="I411" s="4"/>
      <c r="J411" s="7"/>
      <c r="K411" s="4"/>
      <c r="L411" s="4"/>
      <c r="M411" s="4"/>
      <c r="N411" s="4"/>
      <c r="O411" s="4"/>
      <c r="P411" s="4"/>
      <c r="Q411" s="4"/>
      <c r="R411" s="4"/>
      <c r="S411" s="4"/>
      <c r="T411" s="4"/>
      <c r="U411" s="4"/>
      <c r="V411" s="4"/>
      <c r="W411" s="4"/>
      <c r="X411" s="4"/>
      <c r="Y411" s="4"/>
      <c r="Z411" s="4"/>
    </row>
    <row r="412" ht="9.75" customHeight="1">
      <c r="A412" s="4"/>
      <c r="B412" s="7"/>
      <c r="C412" s="7"/>
      <c r="D412" s="4"/>
      <c r="E412" s="4"/>
      <c r="F412" s="7"/>
      <c r="G412" s="7"/>
      <c r="H412" s="4"/>
      <c r="I412" s="4"/>
      <c r="J412" s="7"/>
      <c r="K412" s="4"/>
      <c r="L412" s="4"/>
      <c r="M412" s="4"/>
      <c r="N412" s="4"/>
      <c r="O412" s="4"/>
      <c r="P412" s="4"/>
      <c r="Q412" s="4"/>
      <c r="R412" s="4"/>
      <c r="S412" s="4"/>
      <c r="T412" s="4"/>
      <c r="U412" s="4"/>
      <c r="V412" s="4"/>
      <c r="W412" s="4"/>
      <c r="X412" s="4"/>
      <c r="Y412" s="4"/>
      <c r="Z412" s="4"/>
    </row>
    <row r="413" ht="9.75" customHeight="1">
      <c r="A413" s="4"/>
      <c r="B413" s="7"/>
      <c r="C413" s="7"/>
      <c r="D413" s="4"/>
      <c r="E413" s="4"/>
      <c r="F413" s="7"/>
      <c r="G413" s="7"/>
      <c r="H413" s="4"/>
      <c r="I413" s="4"/>
      <c r="J413" s="7"/>
      <c r="K413" s="4"/>
      <c r="L413" s="4"/>
      <c r="M413" s="4"/>
      <c r="N413" s="4"/>
      <c r="O413" s="4"/>
      <c r="P413" s="4"/>
      <c r="Q413" s="4"/>
      <c r="R413" s="4"/>
      <c r="S413" s="4"/>
      <c r="T413" s="4"/>
      <c r="U413" s="4"/>
      <c r="V413" s="4"/>
      <c r="W413" s="4"/>
      <c r="X413" s="4"/>
      <c r="Y413" s="4"/>
      <c r="Z413" s="4"/>
    </row>
    <row r="414" ht="9.75" customHeight="1">
      <c r="A414" s="4"/>
      <c r="B414" s="7"/>
      <c r="C414" s="7"/>
      <c r="D414" s="4"/>
      <c r="E414" s="4"/>
      <c r="F414" s="7"/>
      <c r="G414" s="7"/>
      <c r="H414" s="4"/>
      <c r="I414" s="4"/>
      <c r="J414" s="7"/>
      <c r="K414" s="4"/>
      <c r="L414" s="4"/>
      <c r="M414" s="4"/>
      <c r="N414" s="4"/>
      <c r="O414" s="4"/>
      <c r="P414" s="4"/>
      <c r="Q414" s="4"/>
      <c r="R414" s="4"/>
      <c r="S414" s="4"/>
      <c r="T414" s="4"/>
      <c r="U414" s="4"/>
      <c r="V414" s="4"/>
      <c r="W414" s="4"/>
      <c r="X414" s="4"/>
      <c r="Y414" s="4"/>
      <c r="Z414" s="4"/>
    </row>
    <row r="415" ht="9.75" customHeight="1">
      <c r="A415" s="4"/>
      <c r="B415" s="7"/>
      <c r="C415" s="7"/>
      <c r="D415" s="4"/>
      <c r="E415" s="4"/>
      <c r="F415" s="7"/>
      <c r="G415" s="7"/>
      <c r="H415" s="4"/>
      <c r="I415" s="4"/>
      <c r="J415" s="7"/>
      <c r="K415" s="4"/>
      <c r="L415" s="4"/>
      <c r="M415" s="4"/>
      <c r="N415" s="4"/>
      <c r="O415" s="4"/>
      <c r="P415" s="4"/>
      <c r="Q415" s="4"/>
      <c r="R415" s="4"/>
      <c r="S415" s="4"/>
      <c r="T415" s="4"/>
      <c r="U415" s="4"/>
      <c r="V415" s="4"/>
      <c r="W415" s="4"/>
      <c r="X415" s="4"/>
      <c r="Y415" s="4"/>
      <c r="Z415" s="4"/>
    </row>
    <row r="416" ht="9.75" customHeight="1">
      <c r="A416" s="4"/>
      <c r="B416" s="7"/>
      <c r="C416" s="7"/>
      <c r="D416" s="4"/>
      <c r="E416" s="4"/>
      <c r="F416" s="7"/>
      <c r="G416" s="7"/>
      <c r="H416" s="4"/>
      <c r="I416" s="4"/>
      <c r="J416" s="7"/>
      <c r="K416" s="4"/>
      <c r="L416" s="4"/>
      <c r="M416" s="4"/>
      <c r="N416" s="4"/>
      <c r="O416" s="4"/>
      <c r="P416" s="4"/>
      <c r="Q416" s="4"/>
      <c r="R416" s="4"/>
      <c r="S416" s="4"/>
      <c r="T416" s="4"/>
      <c r="U416" s="4"/>
      <c r="V416" s="4"/>
      <c r="W416" s="4"/>
      <c r="X416" s="4"/>
      <c r="Y416" s="4"/>
      <c r="Z416" s="4"/>
    </row>
    <row r="417" ht="9.75" customHeight="1">
      <c r="A417" s="4"/>
      <c r="B417" s="7"/>
      <c r="C417" s="7"/>
      <c r="D417" s="4"/>
      <c r="E417" s="4"/>
      <c r="F417" s="7"/>
      <c r="G417" s="7"/>
      <c r="H417" s="4"/>
      <c r="I417" s="4"/>
      <c r="J417" s="7"/>
      <c r="K417" s="4"/>
      <c r="L417" s="4"/>
      <c r="M417" s="4"/>
      <c r="N417" s="4"/>
      <c r="O417" s="4"/>
      <c r="P417" s="4"/>
      <c r="Q417" s="4"/>
      <c r="R417" s="4"/>
      <c r="S417" s="4"/>
      <c r="T417" s="4"/>
      <c r="U417" s="4"/>
      <c r="V417" s="4"/>
      <c r="W417" s="4"/>
      <c r="X417" s="4"/>
      <c r="Y417" s="4"/>
      <c r="Z417" s="4"/>
    </row>
    <row r="418" ht="9.75" customHeight="1">
      <c r="A418" s="4"/>
      <c r="B418" s="7"/>
      <c r="C418" s="7"/>
      <c r="D418" s="4"/>
      <c r="E418" s="4"/>
      <c r="F418" s="7"/>
      <c r="G418" s="7"/>
      <c r="H418" s="4"/>
      <c r="I418" s="4"/>
      <c r="J418" s="7"/>
      <c r="K418" s="4"/>
      <c r="L418" s="4"/>
      <c r="M418" s="4"/>
      <c r="N418" s="4"/>
      <c r="O418" s="4"/>
      <c r="P418" s="4"/>
      <c r="Q418" s="4"/>
      <c r="R418" s="4"/>
      <c r="S418" s="4"/>
      <c r="T418" s="4"/>
      <c r="U418" s="4"/>
      <c r="V418" s="4"/>
      <c r="W418" s="4"/>
      <c r="X418" s="4"/>
      <c r="Y418" s="4"/>
      <c r="Z418" s="4"/>
    </row>
    <row r="419" ht="9.75" customHeight="1">
      <c r="A419" s="4"/>
      <c r="B419" s="7"/>
      <c r="C419" s="7"/>
      <c r="D419" s="4"/>
      <c r="E419" s="4"/>
      <c r="F419" s="7"/>
      <c r="G419" s="7"/>
      <c r="H419" s="4"/>
      <c r="I419" s="4"/>
      <c r="J419" s="7"/>
      <c r="K419" s="4"/>
      <c r="L419" s="4"/>
      <c r="M419" s="4"/>
      <c r="N419" s="4"/>
      <c r="O419" s="4"/>
      <c r="P419" s="4"/>
      <c r="Q419" s="4"/>
      <c r="R419" s="4"/>
      <c r="S419" s="4"/>
      <c r="T419" s="4"/>
      <c r="U419" s="4"/>
      <c r="V419" s="4"/>
      <c r="W419" s="4"/>
      <c r="X419" s="4"/>
      <c r="Y419" s="4"/>
      <c r="Z419" s="4"/>
    </row>
    <row r="420" ht="9.75" customHeight="1">
      <c r="A420" s="4"/>
      <c r="B420" s="7"/>
      <c r="C420" s="7"/>
      <c r="D420" s="4"/>
      <c r="E420" s="4"/>
      <c r="F420" s="7"/>
      <c r="G420" s="7"/>
      <c r="H420" s="4"/>
      <c r="I420" s="4"/>
      <c r="J420" s="7"/>
      <c r="K420" s="4"/>
      <c r="L420" s="4"/>
      <c r="M420" s="4"/>
      <c r="N420" s="4"/>
      <c r="O420" s="4"/>
      <c r="P420" s="4"/>
      <c r="Q420" s="4"/>
      <c r="R420" s="4"/>
      <c r="S420" s="4"/>
      <c r="T420" s="4"/>
      <c r="U420" s="4"/>
      <c r="V420" s="4"/>
      <c r="W420" s="4"/>
      <c r="X420" s="4"/>
      <c r="Y420" s="4"/>
      <c r="Z420" s="4"/>
    </row>
    <row r="421" ht="9.75" customHeight="1">
      <c r="A421" s="4"/>
      <c r="B421" s="7"/>
      <c r="C421" s="7"/>
      <c r="D421" s="4"/>
      <c r="E421" s="4"/>
      <c r="F421" s="7"/>
      <c r="G421" s="7"/>
      <c r="H421" s="4"/>
      <c r="I421" s="4"/>
      <c r="J421" s="7"/>
      <c r="K421" s="4"/>
      <c r="L421" s="4"/>
      <c r="M421" s="4"/>
      <c r="N421" s="4"/>
      <c r="O421" s="4"/>
      <c r="P421" s="4"/>
      <c r="Q421" s="4"/>
      <c r="R421" s="4"/>
      <c r="S421" s="4"/>
      <c r="T421" s="4"/>
      <c r="U421" s="4"/>
      <c r="V421" s="4"/>
      <c r="W421" s="4"/>
      <c r="X421" s="4"/>
      <c r="Y421" s="4"/>
      <c r="Z421" s="4"/>
    </row>
    <row r="422" ht="9.75" customHeight="1">
      <c r="A422" s="4"/>
      <c r="B422" s="7"/>
      <c r="C422" s="7"/>
      <c r="D422" s="4"/>
      <c r="E422" s="4"/>
      <c r="F422" s="7"/>
      <c r="G422" s="7"/>
      <c r="H422" s="4"/>
      <c r="I422" s="4"/>
      <c r="J422" s="7"/>
      <c r="K422" s="4"/>
      <c r="L422" s="4"/>
      <c r="M422" s="4"/>
      <c r="N422" s="4"/>
      <c r="O422" s="4"/>
      <c r="P422" s="4"/>
      <c r="Q422" s="4"/>
      <c r="R422" s="4"/>
      <c r="S422" s="4"/>
      <c r="T422" s="4"/>
      <c r="U422" s="4"/>
      <c r="V422" s="4"/>
      <c r="W422" s="4"/>
      <c r="X422" s="4"/>
      <c r="Y422" s="4"/>
      <c r="Z422" s="4"/>
    </row>
    <row r="423" ht="9.75" customHeight="1">
      <c r="A423" s="4"/>
      <c r="B423" s="7"/>
      <c r="C423" s="7"/>
      <c r="D423" s="4"/>
      <c r="E423" s="4"/>
      <c r="F423" s="7"/>
      <c r="G423" s="7"/>
      <c r="H423" s="4"/>
      <c r="I423" s="4"/>
      <c r="J423" s="7"/>
      <c r="K423" s="4"/>
      <c r="L423" s="4"/>
      <c r="M423" s="4"/>
      <c r="N423" s="4"/>
      <c r="O423" s="4"/>
      <c r="P423" s="4"/>
      <c r="Q423" s="4"/>
      <c r="R423" s="4"/>
      <c r="S423" s="4"/>
      <c r="T423" s="4"/>
      <c r="U423" s="4"/>
      <c r="V423" s="4"/>
      <c r="W423" s="4"/>
      <c r="X423" s="4"/>
      <c r="Y423" s="4"/>
      <c r="Z423" s="4"/>
    </row>
    <row r="424" ht="9.75" customHeight="1">
      <c r="A424" s="4"/>
      <c r="B424" s="7"/>
      <c r="C424" s="7"/>
      <c r="D424" s="4"/>
      <c r="E424" s="4"/>
      <c r="F424" s="7"/>
      <c r="G424" s="7"/>
      <c r="H424" s="4"/>
      <c r="I424" s="4"/>
      <c r="J424" s="7"/>
      <c r="K424" s="4"/>
      <c r="L424" s="4"/>
      <c r="M424" s="4"/>
      <c r="N424" s="4"/>
      <c r="O424" s="4"/>
      <c r="P424" s="4"/>
      <c r="Q424" s="4"/>
      <c r="R424" s="4"/>
      <c r="S424" s="4"/>
      <c r="T424" s="4"/>
      <c r="U424" s="4"/>
      <c r="V424" s="4"/>
      <c r="W424" s="4"/>
      <c r="X424" s="4"/>
      <c r="Y424" s="4"/>
      <c r="Z424" s="4"/>
    </row>
    <row r="425" ht="9.75" customHeight="1">
      <c r="A425" s="4"/>
      <c r="B425" s="7"/>
      <c r="C425" s="7"/>
      <c r="D425" s="4"/>
      <c r="E425" s="4"/>
      <c r="F425" s="7"/>
      <c r="G425" s="7"/>
      <c r="H425" s="4"/>
      <c r="I425" s="4"/>
      <c r="J425" s="7"/>
      <c r="K425" s="4"/>
      <c r="L425" s="4"/>
      <c r="M425" s="4"/>
      <c r="N425" s="4"/>
      <c r="O425" s="4"/>
      <c r="P425" s="4"/>
      <c r="Q425" s="4"/>
      <c r="R425" s="4"/>
      <c r="S425" s="4"/>
      <c r="T425" s="4"/>
      <c r="U425" s="4"/>
      <c r="V425" s="4"/>
      <c r="W425" s="4"/>
      <c r="X425" s="4"/>
      <c r="Y425" s="4"/>
      <c r="Z425" s="4"/>
    </row>
    <row r="426" ht="9.75" customHeight="1">
      <c r="A426" s="4"/>
      <c r="B426" s="7"/>
      <c r="C426" s="7"/>
      <c r="D426" s="4"/>
      <c r="E426" s="4"/>
      <c r="F426" s="7"/>
      <c r="G426" s="7"/>
      <c r="H426" s="4"/>
      <c r="I426" s="4"/>
      <c r="J426" s="7"/>
      <c r="K426" s="4"/>
      <c r="L426" s="4"/>
      <c r="M426" s="4"/>
      <c r="N426" s="4"/>
      <c r="O426" s="4"/>
      <c r="P426" s="4"/>
      <c r="Q426" s="4"/>
      <c r="R426" s="4"/>
      <c r="S426" s="4"/>
      <c r="T426" s="4"/>
      <c r="U426" s="4"/>
      <c r="V426" s="4"/>
      <c r="W426" s="4"/>
      <c r="X426" s="4"/>
      <c r="Y426" s="4"/>
      <c r="Z426" s="4"/>
    </row>
    <row r="427" ht="9.75" customHeight="1">
      <c r="A427" s="4"/>
      <c r="B427" s="7"/>
      <c r="C427" s="7"/>
      <c r="D427" s="4"/>
      <c r="E427" s="4"/>
      <c r="F427" s="7"/>
      <c r="G427" s="7"/>
      <c r="H427" s="4"/>
      <c r="I427" s="4"/>
      <c r="J427" s="7"/>
      <c r="K427" s="4"/>
      <c r="L427" s="4"/>
      <c r="M427" s="4"/>
      <c r="N427" s="4"/>
      <c r="O427" s="4"/>
      <c r="P427" s="4"/>
      <c r="Q427" s="4"/>
      <c r="R427" s="4"/>
      <c r="S427" s="4"/>
      <c r="T427" s="4"/>
      <c r="U427" s="4"/>
      <c r="V427" s="4"/>
      <c r="W427" s="4"/>
      <c r="X427" s="4"/>
      <c r="Y427" s="4"/>
      <c r="Z427" s="4"/>
    </row>
    <row r="428" ht="9.75" customHeight="1">
      <c r="A428" s="4"/>
      <c r="B428" s="7"/>
      <c r="C428" s="7"/>
      <c r="D428" s="4"/>
      <c r="E428" s="4"/>
      <c r="F428" s="7"/>
      <c r="G428" s="7"/>
      <c r="H428" s="4"/>
      <c r="I428" s="4"/>
      <c r="J428" s="7"/>
      <c r="K428" s="4"/>
      <c r="L428" s="4"/>
      <c r="M428" s="4"/>
      <c r="N428" s="4"/>
      <c r="O428" s="4"/>
      <c r="P428" s="4"/>
      <c r="Q428" s="4"/>
      <c r="R428" s="4"/>
      <c r="S428" s="4"/>
      <c r="T428" s="4"/>
      <c r="U428" s="4"/>
      <c r="V428" s="4"/>
      <c r="W428" s="4"/>
      <c r="X428" s="4"/>
      <c r="Y428" s="4"/>
      <c r="Z428" s="4"/>
    </row>
    <row r="429" ht="9.75" customHeight="1">
      <c r="A429" s="4"/>
      <c r="B429" s="7"/>
      <c r="C429" s="7"/>
      <c r="D429" s="4"/>
      <c r="E429" s="4"/>
      <c r="F429" s="7"/>
      <c r="G429" s="7"/>
      <c r="H429" s="4"/>
      <c r="I429" s="4"/>
      <c r="J429" s="7"/>
      <c r="K429" s="4"/>
      <c r="L429" s="4"/>
      <c r="M429" s="4"/>
      <c r="N429" s="4"/>
      <c r="O429" s="4"/>
      <c r="P429" s="4"/>
      <c r="Q429" s="4"/>
      <c r="R429" s="4"/>
      <c r="S429" s="4"/>
      <c r="T429" s="4"/>
      <c r="U429" s="4"/>
      <c r="V429" s="4"/>
      <c r="W429" s="4"/>
      <c r="X429" s="4"/>
      <c r="Y429" s="4"/>
      <c r="Z429" s="4"/>
    </row>
    <row r="430" ht="9.75" customHeight="1">
      <c r="A430" s="4"/>
      <c r="B430" s="7"/>
      <c r="C430" s="7"/>
      <c r="D430" s="4"/>
      <c r="E430" s="4"/>
      <c r="F430" s="7"/>
      <c r="G430" s="7"/>
      <c r="H430" s="4"/>
      <c r="I430" s="4"/>
      <c r="J430" s="7"/>
      <c r="K430" s="4"/>
      <c r="L430" s="4"/>
      <c r="M430" s="4"/>
      <c r="N430" s="4"/>
      <c r="O430" s="4"/>
      <c r="P430" s="4"/>
      <c r="Q430" s="4"/>
      <c r="R430" s="4"/>
      <c r="S430" s="4"/>
      <c r="T430" s="4"/>
      <c r="U430" s="4"/>
      <c r="V430" s="4"/>
      <c r="W430" s="4"/>
      <c r="X430" s="4"/>
      <c r="Y430" s="4"/>
      <c r="Z430" s="4"/>
    </row>
    <row r="431" ht="9.75" customHeight="1">
      <c r="A431" s="4"/>
      <c r="B431" s="7"/>
      <c r="C431" s="7"/>
      <c r="D431" s="4"/>
      <c r="E431" s="4"/>
      <c r="F431" s="7"/>
      <c r="G431" s="7"/>
      <c r="H431" s="4"/>
      <c r="I431" s="4"/>
      <c r="J431" s="7"/>
      <c r="K431" s="4"/>
      <c r="L431" s="4"/>
      <c r="M431" s="4"/>
      <c r="N431" s="4"/>
      <c r="O431" s="4"/>
      <c r="P431" s="4"/>
      <c r="Q431" s="4"/>
      <c r="R431" s="4"/>
      <c r="S431" s="4"/>
      <c r="T431" s="4"/>
      <c r="U431" s="4"/>
      <c r="V431" s="4"/>
      <c r="W431" s="4"/>
      <c r="X431" s="4"/>
      <c r="Y431" s="4"/>
      <c r="Z431" s="4"/>
    </row>
    <row r="432" ht="9.75" customHeight="1">
      <c r="A432" s="4"/>
      <c r="B432" s="7"/>
      <c r="C432" s="7"/>
      <c r="D432" s="4"/>
      <c r="E432" s="4"/>
      <c r="F432" s="7"/>
      <c r="G432" s="7"/>
      <c r="H432" s="4"/>
      <c r="I432" s="4"/>
      <c r="J432" s="7"/>
      <c r="K432" s="4"/>
      <c r="L432" s="4"/>
      <c r="M432" s="4"/>
      <c r="N432" s="4"/>
      <c r="O432" s="4"/>
      <c r="P432" s="4"/>
      <c r="Q432" s="4"/>
      <c r="R432" s="4"/>
      <c r="S432" s="4"/>
      <c r="T432" s="4"/>
      <c r="U432" s="4"/>
      <c r="V432" s="4"/>
      <c r="W432" s="4"/>
      <c r="X432" s="4"/>
      <c r="Y432" s="4"/>
      <c r="Z432" s="4"/>
    </row>
    <row r="433" ht="9.75" customHeight="1">
      <c r="A433" s="4"/>
      <c r="B433" s="7"/>
      <c r="C433" s="7"/>
      <c r="D433" s="4"/>
      <c r="E433" s="4"/>
      <c r="F433" s="7"/>
      <c r="G433" s="7"/>
      <c r="H433" s="4"/>
      <c r="I433" s="4"/>
      <c r="J433" s="7"/>
      <c r="K433" s="4"/>
      <c r="L433" s="4"/>
      <c r="M433" s="4"/>
      <c r="N433" s="4"/>
      <c r="O433" s="4"/>
      <c r="P433" s="4"/>
      <c r="Q433" s="4"/>
      <c r="R433" s="4"/>
      <c r="S433" s="4"/>
      <c r="T433" s="4"/>
      <c r="U433" s="4"/>
      <c r="V433" s="4"/>
      <c r="W433" s="4"/>
      <c r="X433" s="4"/>
      <c r="Y433" s="4"/>
      <c r="Z433" s="4"/>
    </row>
    <row r="434" ht="9.75" customHeight="1">
      <c r="A434" s="4"/>
      <c r="B434" s="7"/>
      <c r="C434" s="7"/>
      <c r="D434" s="4"/>
      <c r="E434" s="4"/>
      <c r="F434" s="7"/>
      <c r="G434" s="7"/>
      <c r="H434" s="4"/>
      <c r="I434" s="4"/>
      <c r="J434" s="7"/>
      <c r="K434" s="4"/>
      <c r="L434" s="4"/>
      <c r="M434" s="4"/>
      <c r="N434" s="4"/>
      <c r="O434" s="4"/>
      <c r="P434" s="4"/>
      <c r="Q434" s="4"/>
      <c r="R434" s="4"/>
      <c r="S434" s="4"/>
      <c r="T434" s="4"/>
      <c r="U434" s="4"/>
      <c r="V434" s="4"/>
      <c r="W434" s="4"/>
      <c r="X434" s="4"/>
      <c r="Y434" s="4"/>
      <c r="Z434" s="4"/>
    </row>
    <row r="435" ht="9.75" customHeight="1">
      <c r="A435" s="4"/>
      <c r="B435" s="7"/>
      <c r="C435" s="7"/>
      <c r="D435" s="4"/>
      <c r="E435" s="4"/>
      <c r="F435" s="7"/>
      <c r="G435" s="7"/>
      <c r="H435" s="4"/>
      <c r="I435" s="4"/>
      <c r="J435" s="7"/>
      <c r="K435" s="4"/>
      <c r="L435" s="4"/>
      <c r="M435" s="4"/>
      <c r="N435" s="4"/>
      <c r="O435" s="4"/>
      <c r="P435" s="4"/>
      <c r="Q435" s="4"/>
      <c r="R435" s="4"/>
      <c r="S435" s="4"/>
      <c r="T435" s="4"/>
      <c r="U435" s="4"/>
      <c r="V435" s="4"/>
      <c r="W435" s="4"/>
      <c r="X435" s="4"/>
      <c r="Y435" s="4"/>
      <c r="Z435" s="4"/>
    </row>
    <row r="436" ht="9.75" customHeight="1">
      <c r="A436" s="4"/>
      <c r="B436" s="7"/>
      <c r="C436" s="7"/>
      <c r="D436" s="4"/>
      <c r="E436" s="4"/>
      <c r="F436" s="7"/>
      <c r="G436" s="7"/>
      <c r="H436" s="4"/>
      <c r="I436" s="4"/>
      <c r="J436" s="7"/>
      <c r="K436" s="4"/>
      <c r="L436" s="4"/>
      <c r="M436" s="4"/>
      <c r="N436" s="4"/>
      <c r="O436" s="4"/>
      <c r="P436" s="4"/>
      <c r="Q436" s="4"/>
      <c r="R436" s="4"/>
      <c r="S436" s="4"/>
      <c r="T436" s="4"/>
      <c r="U436" s="4"/>
      <c r="V436" s="4"/>
      <c r="W436" s="4"/>
      <c r="X436" s="4"/>
      <c r="Y436" s="4"/>
      <c r="Z436" s="4"/>
    </row>
    <row r="437" ht="9.75" customHeight="1">
      <c r="A437" s="4"/>
      <c r="B437" s="7"/>
      <c r="C437" s="7"/>
      <c r="D437" s="4"/>
      <c r="E437" s="4"/>
      <c r="F437" s="7"/>
      <c r="G437" s="7"/>
      <c r="H437" s="4"/>
      <c r="I437" s="4"/>
      <c r="J437" s="7"/>
      <c r="K437" s="4"/>
      <c r="L437" s="4"/>
      <c r="M437" s="4"/>
      <c r="N437" s="4"/>
      <c r="O437" s="4"/>
      <c r="P437" s="4"/>
      <c r="Q437" s="4"/>
      <c r="R437" s="4"/>
      <c r="S437" s="4"/>
      <c r="T437" s="4"/>
      <c r="U437" s="4"/>
      <c r="V437" s="4"/>
      <c r="W437" s="4"/>
      <c r="X437" s="4"/>
      <c r="Y437" s="4"/>
      <c r="Z437" s="4"/>
    </row>
    <row r="438" ht="9.75" customHeight="1">
      <c r="A438" s="4"/>
      <c r="B438" s="7"/>
      <c r="C438" s="7"/>
      <c r="D438" s="4"/>
      <c r="E438" s="4"/>
      <c r="F438" s="7"/>
      <c r="G438" s="7"/>
      <c r="H438" s="4"/>
      <c r="I438" s="4"/>
      <c r="J438" s="7"/>
      <c r="K438" s="4"/>
      <c r="L438" s="4"/>
      <c r="M438" s="4"/>
      <c r="N438" s="4"/>
      <c r="O438" s="4"/>
      <c r="P438" s="4"/>
      <c r="Q438" s="4"/>
      <c r="R438" s="4"/>
      <c r="S438" s="4"/>
      <c r="T438" s="4"/>
      <c r="U438" s="4"/>
      <c r="V438" s="4"/>
      <c r="W438" s="4"/>
      <c r="X438" s="4"/>
      <c r="Y438" s="4"/>
      <c r="Z438" s="4"/>
    </row>
    <row r="439" ht="9.75" customHeight="1">
      <c r="A439" s="4"/>
      <c r="B439" s="7"/>
      <c r="C439" s="7"/>
      <c r="D439" s="4"/>
      <c r="E439" s="4"/>
      <c r="F439" s="7"/>
      <c r="G439" s="7"/>
      <c r="H439" s="4"/>
      <c r="I439" s="4"/>
      <c r="J439" s="7"/>
      <c r="K439" s="4"/>
      <c r="L439" s="4"/>
      <c r="M439" s="4"/>
      <c r="N439" s="4"/>
      <c r="O439" s="4"/>
      <c r="P439" s="4"/>
      <c r="Q439" s="4"/>
      <c r="R439" s="4"/>
      <c r="S439" s="4"/>
      <c r="T439" s="4"/>
      <c r="U439" s="4"/>
      <c r="V439" s="4"/>
      <c r="W439" s="4"/>
      <c r="X439" s="4"/>
      <c r="Y439" s="4"/>
      <c r="Z439" s="4"/>
    </row>
    <row r="440" ht="9.75" customHeight="1">
      <c r="A440" s="4"/>
      <c r="B440" s="7"/>
      <c r="C440" s="7"/>
      <c r="D440" s="4"/>
      <c r="E440" s="4"/>
      <c r="F440" s="7"/>
      <c r="G440" s="7"/>
      <c r="H440" s="4"/>
      <c r="I440" s="4"/>
      <c r="J440" s="7"/>
      <c r="K440" s="4"/>
      <c r="L440" s="4"/>
      <c r="M440" s="4"/>
      <c r="N440" s="4"/>
      <c r="O440" s="4"/>
      <c r="P440" s="4"/>
      <c r="Q440" s="4"/>
      <c r="R440" s="4"/>
      <c r="S440" s="4"/>
      <c r="T440" s="4"/>
      <c r="U440" s="4"/>
      <c r="V440" s="4"/>
      <c r="W440" s="4"/>
      <c r="X440" s="4"/>
      <c r="Y440" s="4"/>
      <c r="Z440" s="4"/>
    </row>
    <row r="441" ht="9.75" customHeight="1">
      <c r="A441" s="4"/>
      <c r="B441" s="7"/>
      <c r="C441" s="7"/>
      <c r="D441" s="4"/>
      <c r="E441" s="4"/>
      <c r="F441" s="7"/>
      <c r="G441" s="7"/>
      <c r="H441" s="4"/>
      <c r="I441" s="4"/>
      <c r="J441" s="7"/>
      <c r="K441" s="4"/>
      <c r="L441" s="4"/>
      <c r="M441" s="4"/>
      <c r="N441" s="4"/>
      <c r="O441" s="4"/>
      <c r="P441" s="4"/>
      <c r="Q441" s="4"/>
      <c r="R441" s="4"/>
      <c r="S441" s="4"/>
      <c r="T441" s="4"/>
      <c r="U441" s="4"/>
      <c r="V441" s="4"/>
      <c r="W441" s="4"/>
      <c r="X441" s="4"/>
      <c r="Y441" s="4"/>
      <c r="Z441" s="4"/>
    </row>
    <row r="442" ht="9.75" customHeight="1">
      <c r="A442" s="4"/>
      <c r="B442" s="7"/>
      <c r="C442" s="7"/>
      <c r="D442" s="4"/>
      <c r="E442" s="4"/>
      <c r="F442" s="7"/>
      <c r="G442" s="7"/>
      <c r="H442" s="4"/>
      <c r="I442" s="4"/>
      <c r="J442" s="7"/>
      <c r="K442" s="4"/>
      <c r="L442" s="4"/>
      <c r="M442" s="4"/>
      <c r="N442" s="4"/>
      <c r="O442" s="4"/>
      <c r="P442" s="4"/>
      <c r="Q442" s="4"/>
      <c r="R442" s="4"/>
      <c r="S442" s="4"/>
      <c r="T442" s="4"/>
      <c r="U442" s="4"/>
      <c r="V442" s="4"/>
      <c r="W442" s="4"/>
      <c r="X442" s="4"/>
      <c r="Y442" s="4"/>
      <c r="Z442" s="4"/>
    </row>
    <row r="443" ht="9.75" customHeight="1">
      <c r="A443" s="4"/>
      <c r="B443" s="7"/>
      <c r="C443" s="7"/>
      <c r="D443" s="4"/>
      <c r="E443" s="4"/>
      <c r="F443" s="7"/>
      <c r="G443" s="7"/>
      <c r="H443" s="4"/>
      <c r="I443" s="4"/>
      <c r="J443" s="7"/>
      <c r="K443" s="4"/>
      <c r="L443" s="4"/>
      <c r="M443" s="4"/>
      <c r="N443" s="4"/>
      <c r="O443" s="4"/>
      <c r="P443" s="4"/>
      <c r="Q443" s="4"/>
      <c r="R443" s="4"/>
      <c r="S443" s="4"/>
      <c r="T443" s="4"/>
      <c r="U443" s="4"/>
      <c r="V443" s="4"/>
      <c r="W443" s="4"/>
      <c r="X443" s="4"/>
      <c r="Y443" s="4"/>
      <c r="Z443" s="4"/>
    </row>
    <row r="444" ht="9.75" customHeight="1">
      <c r="A444" s="4"/>
      <c r="B444" s="7"/>
      <c r="C444" s="7"/>
      <c r="D444" s="4"/>
      <c r="E444" s="4"/>
      <c r="F444" s="7"/>
      <c r="G444" s="7"/>
      <c r="H444" s="4"/>
      <c r="I444" s="4"/>
      <c r="J444" s="7"/>
      <c r="K444" s="4"/>
      <c r="L444" s="4"/>
      <c r="M444" s="4"/>
      <c r="N444" s="4"/>
      <c r="O444" s="4"/>
      <c r="P444" s="4"/>
      <c r="Q444" s="4"/>
      <c r="R444" s="4"/>
      <c r="S444" s="4"/>
      <c r="T444" s="4"/>
      <c r="U444" s="4"/>
      <c r="V444" s="4"/>
      <c r="W444" s="4"/>
      <c r="X444" s="4"/>
      <c r="Y444" s="4"/>
      <c r="Z444" s="4"/>
    </row>
    <row r="445" ht="9.75" customHeight="1">
      <c r="A445" s="4"/>
      <c r="B445" s="7"/>
      <c r="C445" s="7"/>
      <c r="D445" s="4"/>
      <c r="E445" s="4"/>
      <c r="F445" s="7"/>
      <c r="G445" s="7"/>
      <c r="H445" s="4"/>
      <c r="I445" s="4"/>
      <c r="J445" s="7"/>
      <c r="K445" s="4"/>
      <c r="L445" s="4"/>
      <c r="M445" s="4"/>
      <c r="N445" s="4"/>
      <c r="O445" s="4"/>
      <c r="P445" s="4"/>
      <c r="Q445" s="4"/>
      <c r="R445" s="4"/>
      <c r="S445" s="4"/>
      <c r="T445" s="4"/>
      <c r="U445" s="4"/>
      <c r="V445" s="4"/>
      <c r="W445" s="4"/>
      <c r="X445" s="4"/>
      <c r="Y445" s="4"/>
      <c r="Z445" s="4"/>
    </row>
    <row r="446" ht="9.75" customHeight="1">
      <c r="A446" s="4"/>
      <c r="B446" s="7"/>
      <c r="C446" s="7"/>
      <c r="D446" s="4"/>
      <c r="E446" s="4"/>
      <c r="F446" s="7"/>
      <c r="G446" s="7"/>
      <c r="H446" s="4"/>
      <c r="I446" s="4"/>
      <c r="J446" s="7"/>
      <c r="K446" s="4"/>
      <c r="L446" s="4"/>
      <c r="M446" s="4"/>
      <c r="N446" s="4"/>
      <c r="O446" s="4"/>
      <c r="P446" s="4"/>
      <c r="Q446" s="4"/>
      <c r="R446" s="4"/>
      <c r="S446" s="4"/>
      <c r="T446" s="4"/>
      <c r="U446" s="4"/>
      <c r="V446" s="4"/>
      <c r="W446" s="4"/>
      <c r="X446" s="4"/>
      <c r="Y446" s="4"/>
      <c r="Z446" s="4"/>
    </row>
    <row r="447" ht="9.75" customHeight="1">
      <c r="A447" s="4"/>
      <c r="B447" s="7"/>
      <c r="C447" s="7"/>
      <c r="D447" s="4"/>
      <c r="E447" s="4"/>
      <c r="F447" s="7"/>
      <c r="G447" s="7"/>
      <c r="H447" s="4"/>
      <c r="I447" s="4"/>
      <c r="J447" s="7"/>
      <c r="K447" s="4"/>
      <c r="L447" s="4"/>
      <c r="M447" s="4"/>
      <c r="N447" s="4"/>
      <c r="O447" s="4"/>
      <c r="P447" s="4"/>
      <c r="Q447" s="4"/>
      <c r="R447" s="4"/>
      <c r="S447" s="4"/>
      <c r="T447" s="4"/>
      <c r="U447" s="4"/>
      <c r="V447" s="4"/>
      <c r="W447" s="4"/>
      <c r="X447" s="4"/>
      <c r="Y447" s="4"/>
      <c r="Z447" s="4"/>
    </row>
    <row r="448" ht="9.75" customHeight="1">
      <c r="A448" s="4"/>
      <c r="B448" s="7"/>
      <c r="C448" s="7"/>
      <c r="D448" s="4"/>
      <c r="E448" s="4"/>
      <c r="F448" s="7"/>
      <c r="G448" s="7"/>
      <c r="H448" s="4"/>
      <c r="I448" s="4"/>
      <c r="J448" s="7"/>
      <c r="K448" s="4"/>
      <c r="L448" s="4"/>
      <c r="M448" s="4"/>
      <c r="N448" s="4"/>
      <c r="O448" s="4"/>
      <c r="P448" s="4"/>
      <c r="Q448" s="4"/>
      <c r="R448" s="4"/>
      <c r="S448" s="4"/>
      <c r="T448" s="4"/>
      <c r="U448" s="4"/>
      <c r="V448" s="4"/>
      <c r="W448" s="4"/>
      <c r="X448" s="4"/>
      <c r="Y448" s="4"/>
      <c r="Z448" s="4"/>
    </row>
    <row r="449" ht="9.75" customHeight="1">
      <c r="A449" s="4"/>
      <c r="B449" s="7"/>
      <c r="C449" s="7"/>
      <c r="D449" s="4"/>
      <c r="E449" s="4"/>
      <c r="F449" s="7"/>
      <c r="G449" s="7"/>
      <c r="H449" s="4"/>
      <c r="I449" s="4"/>
      <c r="J449" s="7"/>
      <c r="K449" s="4"/>
      <c r="L449" s="4"/>
      <c r="M449" s="4"/>
      <c r="N449" s="4"/>
      <c r="O449" s="4"/>
      <c r="P449" s="4"/>
      <c r="Q449" s="4"/>
      <c r="R449" s="4"/>
      <c r="S449" s="4"/>
      <c r="T449" s="4"/>
      <c r="U449" s="4"/>
      <c r="V449" s="4"/>
      <c r="W449" s="4"/>
      <c r="X449" s="4"/>
      <c r="Y449" s="4"/>
      <c r="Z449" s="4"/>
    </row>
    <row r="450" ht="9.75" customHeight="1">
      <c r="A450" s="4"/>
      <c r="B450" s="7"/>
      <c r="C450" s="7"/>
      <c r="D450" s="4"/>
      <c r="E450" s="4"/>
      <c r="F450" s="7"/>
      <c r="G450" s="7"/>
      <c r="H450" s="4"/>
      <c r="I450" s="4"/>
      <c r="J450" s="7"/>
      <c r="K450" s="4"/>
      <c r="L450" s="4"/>
      <c r="M450" s="4"/>
      <c r="N450" s="4"/>
      <c r="O450" s="4"/>
      <c r="P450" s="4"/>
      <c r="Q450" s="4"/>
      <c r="R450" s="4"/>
      <c r="S450" s="4"/>
      <c r="T450" s="4"/>
      <c r="U450" s="4"/>
      <c r="V450" s="4"/>
      <c r="W450" s="4"/>
      <c r="X450" s="4"/>
      <c r="Y450" s="4"/>
      <c r="Z450" s="4"/>
    </row>
    <row r="451" ht="9.75" customHeight="1">
      <c r="A451" s="4"/>
      <c r="B451" s="7"/>
      <c r="C451" s="7"/>
      <c r="D451" s="4"/>
      <c r="E451" s="4"/>
      <c r="F451" s="7"/>
      <c r="G451" s="7"/>
      <c r="H451" s="4"/>
      <c r="I451" s="4"/>
      <c r="J451" s="7"/>
      <c r="K451" s="4"/>
      <c r="L451" s="4"/>
      <c r="M451" s="4"/>
      <c r="N451" s="4"/>
      <c r="O451" s="4"/>
      <c r="P451" s="4"/>
      <c r="Q451" s="4"/>
      <c r="R451" s="4"/>
      <c r="S451" s="4"/>
      <c r="T451" s="4"/>
      <c r="U451" s="4"/>
      <c r="V451" s="4"/>
      <c r="W451" s="4"/>
      <c r="X451" s="4"/>
      <c r="Y451" s="4"/>
      <c r="Z451" s="4"/>
    </row>
    <row r="452" ht="9.75" customHeight="1">
      <c r="A452" s="4"/>
      <c r="B452" s="7"/>
      <c r="C452" s="7"/>
      <c r="D452" s="4"/>
      <c r="E452" s="4"/>
      <c r="F452" s="7"/>
      <c r="G452" s="7"/>
      <c r="H452" s="4"/>
      <c r="I452" s="4"/>
      <c r="J452" s="7"/>
      <c r="K452" s="4"/>
      <c r="L452" s="4"/>
      <c r="M452" s="4"/>
      <c r="N452" s="4"/>
      <c r="O452" s="4"/>
      <c r="P452" s="4"/>
      <c r="Q452" s="4"/>
      <c r="R452" s="4"/>
      <c r="S452" s="4"/>
      <c r="T452" s="4"/>
      <c r="U452" s="4"/>
      <c r="V452" s="4"/>
      <c r="W452" s="4"/>
      <c r="X452" s="4"/>
      <c r="Y452" s="4"/>
      <c r="Z452" s="4"/>
    </row>
    <row r="453" ht="9.75" customHeight="1">
      <c r="A453" s="4"/>
      <c r="B453" s="7"/>
      <c r="C453" s="7"/>
      <c r="D453" s="4"/>
      <c r="E453" s="4"/>
      <c r="F453" s="7"/>
      <c r="G453" s="7"/>
      <c r="H453" s="4"/>
      <c r="I453" s="4"/>
      <c r="J453" s="7"/>
      <c r="K453" s="4"/>
      <c r="L453" s="4"/>
      <c r="M453" s="4"/>
      <c r="N453" s="4"/>
      <c r="O453" s="4"/>
      <c r="P453" s="4"/>
      <c r="Q453" s="4"/>
      <c r="R453" s="4"/>
      <c r="S453" s="4"/>
      <c r="T453" s="4"/>
      <c r="U453" s="4"/>
      <c r="V453" s="4"/>
      <c r="W453" s="4"/>
      <c r="X453" s="4"/>
      <c r="Y453" s="4"/>
      <c r="Z453" s="4"/>
    </row>
    <row r="454" ht="9.75" customHeight="1">
      <c r="A454" s="4"/>
      <c r="B454" s="7"/>
      <c r="C454" s="7"/>
      <c r="D454" s="4"/>
      <c r="E454" s="4"/>
      <c r="F454" s="7"/>
      <c r="G454" s="7"/>
      <c r="H454" s="4"/>
      <c r="I454" s="4"/>
      <c r="J454" s="7"/>
      <c r="K454" s="4"/>
      <c r="L454" s="4"/>
      <c r="M454" s="4"/>
      <c r="N454" s="4"/>
      <c r="O454" s="4"/>
      <c r="P454" s="4"/>
      <c r="Q454" s="4"/>
      <c r="R454" s="4"/>
      <c r="S454" s="4"/>
      <c r="T454" s="4"/>
      <c r="U454" s="4"/>
      <c r="V454" s="4"/>
      <c r="W454" s="4"/>
      <c r="X454" s="4"/>
      <c r="Y454" s="4"/>
      <c r="Z454" s="4"/>
    </row>
    <row r="455" ht="9.75" customHeight="1">
      <c r="A455" s="4"/>
      <c r="B455" s="7"/>
      <c r="C455" s="7"/>
      <c r="D455" s="4"/>
      <c r="E455" s="4"/>
      <c r="F455" s="7"/>
      <c r="G455" s="7"/>
      <c r="H455" s="4"/>
      <c r="I455" s="4"/>
      <c r="J455" s="7"/>
      <c r="K455" s="4"/>
      <c r="L455" s="4"/>
      <c r="M455" s="4"/>
      <c r="N455" s="4"/>
      <c r="O455" s="4"/>
      <c r="P455" s="4"/>
      <c r="Q455" s="4"/>
      <c r="R455" s="4"/>
      <c r="S455" s="4"/>
      <c r="T455" s="4"/>
      <c r="U455" s="4"/>
      <c r="V455" s="4"/>
      <c r="W455" s="4"/>
      <c r="X455" s="4"/>
      <c r="Y455" s="4"/>
      <c r="Z455" s="4"/>
    </row>
    <row r="456" ht="9.75" customHeight="1">
      <c r="A456" s="4"/>
      <c r="B456" s="7"/>
      <c r="C456" s="7"/>
      <c r="D456" s="4"/>
      <c r="E456" s="4"/>
      <c r="F456" s="7"/>
      <c r="G456" s="7"/>
      <c r="H456" s="4"/>
      <c r="I456" s="4"/>
      <c r="J456" s="7"/>
      <c r="K456" s="4"/>
      <c r="L456" s="4"/>
      <c r="M456" s="4"/>
      <c r="N456" s="4"/>
      <c r="O456" s="4"/>
      <c r="P456" s="4"/>
      <c r="Q456" s="4"/>
      <c r="R456" s="4"/>
      <c r="S456" s="4"/>
      <c r="T456" s="4"/>
      <c r="U456" s="4"/>
      <c r="V456" s="4"/>
      <c r="W456" s="4"/>
      <c r="X456" s="4"/>
      <c r="Y456" s="4"/>
      <c r="Z456" s="4"/>
    </row>
    <row r="457" ht="9.75" customHeight="1">
      <c r="A457" s="4"/>
      <c r="B457" s="7"/>
      <c r="C457" s="7"/>
      <c r="D457" s="4"/>
      <c r="E457" s="4"/>
      <c r="F457" s="7"/>
      <c r="G457" s="7"/>
      <c r="H457" s="4"/>
      <c r="I457" s="4"/>
      <c r="J457" s="7"/>
      <c r="K457" s="4"/>
      <c r="L457" s="4"/>
      <c r="M457" s="4"/>
      <c r="N457" s="4"/>
      <c r="O457" s="4"/>
      <c r="P457" s="4"/>
      <c r="Q457" s="4"/>
      <c r="R457" s="4"/>
      <c r="S457" s="4"/>
      <c r="T457" s="4"/>
      <c r="U457" s="4"/>
      <c r="V457" s="4"/>
      <c r="W457" s="4"/>
      <c r="X457" s="4"/>
      <c r="Y457" s="4"/>
      <c r="Z457" s="4"/>
    </row>
    <row r="458" ht="9.75" customHeight="1">
      <c r="A458" s="4"/>
      <c r="B458" s="7"/>
      <c r="C458" s="7"/>
      <c r="D458" s="4"/>
      <c r="E458" s="4"/>
      <c r="F458" s="7"/>
      <c r="G458" s="7"/>
      <c r="H458" s="4"/>
      <c r="I458" s="4"/>
      <c r="J458" s="7"/>
      <c r="K458" s="4"/>
      <c r="L458" s="4"/>
      <c r="M458" s="4"/>
      <c r="N458" s="4"/>
      <c r="O458" s="4"/>
      <c r="P458" s="4"/>
      <c r="Q458" s="4"/>
      <c r="R458" s="4"/>
      <c r="S458" s="4"/>
      <c r="T458" s="4"/>
      <c r="U458" s="4"/>
      <c r="V458" s="4"/>
      <c r="W458" s="4"/>
      <c r="X458" s="4"/>
      <c r="Y458" s="4"/>
      <c r="Z458" s="4"/>
    </row>
    <row r="459" ht="9.75" customHeight="1">
      <c r="A459" s="4"/>
      <c r="B459" s="7"/>
      <c r="C459" s="7"/>
      <c r="D459" s="4"/>
      <c r="E459" s="4"/>
      <c r="F459" s="7"/>
      <c r="G459" s="7"/>
      <c r="H459" s="4"/>
      <c r="I459" s="4"/>
      <c r="J459" s="7"/>
      <c r="K459" s="4"/>
      <c r="L459" s="4"/>
      <c r="M459" s="4"/>
      <c r="N459" s="4"/>
      <c r="O459" s="4"/>
      <c r="P459" s="4"/>
      <c r="Q459" s="4"/>
      <c r="R459" s="4"/>
      <c r="S459" s="4"/>
      <c r="T459" s="4"/>
      <c r="U459" s="4"/>
      <c r="V459" s="4"/>
      <c r="W459" s="4"/>
      <c r="X459" s="4"/>
      <c r="Y459" s="4"/>
      <c r="Z459" s="4"/>
    </row>
    <row r="460" ht="9.75" customHeight="1">
      <c r="A460" s="4"/>
      <c r="B460" s="7"/>
      <c r="C460" s="7"/>
      <c r="D460" s="4"/>
      <c r="E460" s="4"/>
      <c r="F460" s="7"/>
      <c r="G460" s="7"/>
      <c r="H460" s="4"/>
      <c r="I460" s="4"/>
      <c r="J460" s="7"/>
      <c r="K460" s="4"/>
      <c r="L460" s="4"/>
      <c r="M460" s="4"/>
      <c r="N460" s="4"/>
      <c r="O460" s="4"/>
      <c r="P460" s="4"/>
      <c r="Q460" s="4"/>
      <c r="R460" s="4"/>
      <c r="S460" s="4"/>
      <c r="T460" s="4"/>
      <c r="U460" s="4"/>
      <c r="V460" s="4"/>
      <c r="W460" s="4"/>
      <c r="X460" s="4"/>
      <c r="Y460" s="4"/>
      <c r="Z460" s="4"/>
    </row>
    <row r="461" ht="9.75" customHeight="1">
      <c r="A461" s="4"/>
      <c r="B461" s="7"/>
      <c r="C461" s="7"/>
      <c r="D461" s="4"/>
      <c r="E461" s="4"/>
      <c r="F461" s="7"/>
      <c r="G461" s="7"/>
      <c r="H461" s="4"/>
      <c r="I461" s="4"/>
      <c r="J461" s="7"/>
      <c r="K461" s="4"/>
      <c r="L461" s="4"/>
      <c r="M461" s="4"/>
      <c r="N461" s="4"/>
      <c r="O461" s="4"/>
      <c r="P461" s="4"/>
      <c r="Q461" s="4"/>
      <c r="R461" s="4"/>
      <c r="S461" s="4"/>
      <c r="T461" s="4"/>
      <c r="U461" s="4"/>
      <c r="V461" s="4"/>
      <c r="W461" s="4"/>
      <c r="X461" s="4"/>
      <c r="Y461" s="4"/>
      <c r="Z461" s="4"/>
    </row>
    <row r="462" ht="9.75" customHeight="1">
      <c r="A462" s="4"/>
      <c r="B462" s="7"/>
      <c r="C462" s="7"/>
      <c r="D462" s="4"/>
      <c r="E462" s="4"/>
      <c r="F462" s="7"/>
      <c r="G462" s="7"/>
      <c r="H462" s="4"/>
      <c r="I462" s="4"/>
      <c r="J462" s="7"/>
      <c r="K462" s="4"/>
      <c r="L462" s="4"/>
      <c r="M462" s="4"/>
      <c r="N462" s="4"/>
      <c r="O462" s="4"/>
      <c r="P462" s="4"/>
      <c r="Q462" s="4"/>
      <c r="R462" s="4"/>
      <c r="S462" s="4"/>
      <c r="T462" s="4"/>
      <c r="U462" s="4"/>
      <c r="V462" s="4"/>
      <c r="W462" s="4"/>
      <c r="X462" s="4"/>
      <c r="Y462" s="4"/>
      <c r="Z462" s="4"/>
    </row>
    <row r="463" ht="9.75" customHeight="1">
      <c r="A463" s="4"/>
      <c r="B463" s="7"/>
      <c r="C463" s="7"/>
      <c r="D463" s="4"/>
      <c r="E463" s="4"/>
      <c r="F463" s="7"/>
      <c r="G463" s="7"/>
      <c r="H463" s="4"/>
      <c r="I463" s="4"/>
      <c r="J463" s="7"/>
      <c r="K463" s="4"/>
      <c r="L463" s="4"/>
      <c r="M463" s="4"/>
      <c r="N463" s="4"/>
      <c r="O463" s="4"/>
      <c r="P463" s="4"/>
      <c r="Q463" s="4"/>
      <c r="R463" s="4"/>
      <c r="S463" s="4"/>
      <c r="T463" s="4"/>
      <c r="U463" s="4"/>
      <c r="V463" s="4"/>
      <c r="W463" s="4"/>
      <c r="X463" s="4"/>
      <c r="Y463" s="4"/>
      <c r="Z463" s="4"/>
    </row>
    <row r="464" ht="9.75" customHeight="1">
      <c r="A464" s="4"/>
      <c r="B464" s="7"/>
      <c r="C464" s="7"/>
      <c r="D464" s="4"/>
      <c r="E464" s="4"/>
      <c r="F464" s="7"/>
      <c r="G464" s="7"/>
      <c r="H464" s="4"/>
      <c r="I464" s="4"/>
      <c r="J464" s="7"/>
      <c r="K464" s="4"/>
      <c r="L464" s="4"/>
      <c r="M464" s="4"/>
      <c r="N464" s="4"/>
      <c r="O464" s="4"/>
      <c r="P464" s="4"/>
      <c r="Q464" s="4"/>
      <c r="R464" s="4"/>
      <c r="S464" s="4"/>
      <c r="T464" s="4"/>
      <c r="U464" s="4"/>
      <c r="V464" s="4"/>
      <c r="W464" s="4"/>
      <c r="X464" s="4"/>
      <c r="Y464" s="4"/>
      <c r="Z464" s="4"/>
    </row>
    <row r="465" ht="9.75" customHeight="1">
      <c r="A465" s="4"/>
      <c r="B465" s="7"/>
      <c r="C465" s="7"/>
      <c r="D465" s="4"/>
      <c r="E465" s="4"/>
      <c r="F465" s="7"/>
      <c r="G465" s="7"/>
      <c r="H465" s="4"/>
      <c r="I465" s="4"/>
      <c r="J465" s="7"/>
      <c r="K465" s="4"/>
      <c r="L465" s="4"/>
      <c r="M465" s="4"/>
      <c r="N465" s="4"/>
      <c r="O465" s="4"/>
      <c r="P465" s="4"/>
      <c r="Q465" s="4"/>
      <c r="R465" s="4"/>
      <c r="S465" s="4"/>
      <c r="T465" s="4"/>
      <c r="U465" s="4"/>
      <c r="V465" s="4"/>
      <c r="W465" s="4"/>
      <c r="X465" s="4"/>
      <c r="Y465" s="4"/>
      <c r="Z465" s="4"/>
    </row>
    <row r="466" ht="9.75" customHeight="1">
      <c r="A466" s="4"/>
      <c r="B466" s="7"/>
      <c r="C466" s="7"/>
      <c r="D466" s="4"/>
      <c r="E466" s="4"/>
      <c r="F466" s="7"/>
      <c r="G466" s="7"/>
      <c r="H466" s="4"/>
      <c r="I466" s="4"/>
      <c r="J466" s="7"/>
      <c r="K466" s="4"/>
      <c r="L466" s="4"/>
      <c r="M466" s="4"/>
      <c r="N466" s="4"/>
      <c r="O466" s="4"/>
      <c r="P466" s="4"/>
      <c r="Q466" s="4"/>
      <c r="R466" s="4"/>
      <c r="S466" s="4"/>
      <c r="T466" s="4"/>
      <c r="U466" s="4"/>
      <c r="V466" s="4"/>
      <c r="W466" s="4"/>
      <c r="X466" s="4"/>
      <c r="Y466" s="4"/>
      <c r="Z466" s="4"/>
    </row>
    <row r="467" ht="9.75" customHeight="1">
      <c r="A467" s="4"/>
      <c r="B467" s="7"/>
      <c r="C467" s="7"/>
      <c r="D467" s="4"/>
      <c r="E467" s="4"/>
      <c r="F467" s="7"/>
      <c r="G467" s="7"/>
      <c r="H467" s="4"/>
      <c r="I467" s="4"/>
      <c r="J467" s="7"/>
      <c r="K467" s="4"/>
      <c r="L467" s="4"/>
      <c r="M467" s="4"/>
      <c r="N467" s="4"/>
      <c r="O467" s="4"/>
      <c r="P467" s="4"/>
      <c r="Q467" s="4"/>
      <c r="R467" s="4"/>
      <c r="S467" s="4"/>
      <c r="T467" s="4"/>
      <c r="U467" s="4"/>
      <c r="V467" s="4"/>
      <c r="W467" s="4"/>
      <c r="X467" s="4"/>
      <c r="Y467" s="4"/>
      <c r="Z467" s="4"/>
    </row>
    <row r="468" ht="9.75" customHeight="1">
      <c r="A468" s="4"/>
      <c r="B468" s="7"/>
      <c r="C468" s="7"/>
      <c r="D468" s="4"/>
      <c r="E468" s="4"/>
      <c r="F468" s="7"/>
      <c r="G468" s="7"/>
      <c r="H468" s="4"/>
      <c r="I468" s="4"/>
      <c r="J468" s="7"/>
      <c r="K468" s="4"/>
      <c r="L468" s="4"/>
      <c r="M468" s="4"/>
      <c r="N468" s="4"/>
      <c r="O468" s="4"/>
      <c r="P468" s="4"/>
      <c r="Q468" s="4"/>
      <c r="R468" s="4"/>
      <c r="S468" s="4"/>
      <c r="T468" s="4"/>
      <c r="U468" s="4"/>
      <c r="V468" s="4"/>
      <c r="W468" s="4"/>
      <c r="X468" s="4"/>
      <c r="Y468" s="4"/>
      <c r="Z468" s="4"/>
    </row>
    <row r="469" ht="9.75" customHeight="1">
      <c r="A469" s="4"/>
      <c r="B469" s="7"/>
      <c r="C469" s="7"/>
      <c r="D469" s="4"/>
      <c r="E469" s="4"/>
      <c r="F469" s="7"/>
      <c r="G469" s="7"/>
      <c r="H469" s="4"/>
      <c r="I469" s="4"/>
      <c r="J469" s="7"/>
      <c r="K469" s="4"/>
      <c r="L469" s="4"/>
      <c r="M469" s="4"/>
      <c r="N469" s="4"/>
      <c r="O469" s="4"/>
      <c r="P469" s="4"/>
      <c r="Q469" s="4"/>
      <c r="R469" s="4"/>
      <c r="S469" s="4"/>
      <c r="T469" s="4"/>
      <c r="U469" s="4"/>
      <c r="V469" s="4"/>
      <c r="W469" s="4"/>
      <c r="X469" s="4"/>
      <c r="Y469" s="4"/>
      <c r="Z469" s="4"/>
    </row>
    <row r="470" ht="9.75" customHeight="1">
      <c r="A470" s="4"/>
      <c r="B470" s="7"/>
      <c r="C470" s="7"/>
      <c r="D470" s="4"/>
      <c r="E470" s="4"/>
      <c r="F470" s="7"/>
      <c r="G470" s="7"/>
      <c r="H470" s="4"/>
      <c r="I470" s="4"/>
      <c r="J470" s="7"/>
      <c r="K470" s="4"/>
      <c r="L470" s="4"/>
      <c r="M470" s="4"/>
      <c r="N470" s="4"/>
      <c r="O470" s="4"/>
      <c r="P470" s="4"/>
      <c r="Q470" s="4"/>
      <c r="R470" s="4"/>
      <c r="S470" s="4"/>
      <c r="T470" s="4"/>
      <c r="U470" s="4"/>
      <c r="V470" s="4"/>
      <c r="W470" s="4"/>
      <c r="X470" s="4"/>
      <c r="Y470" s="4"/>
      <c r="Z470" s="4"/>
    </row>
    <row r="471" ht="9.75" customHeight="1">
      <c r="A471" s="4"/>
      <c r="B471" s="7"/>
      <c r="C471" s="7"/>
      <c r="D471" s="4"/>
      <c r="E471" s="4"/>
      <c r="F471" s="7"/>
      <c r="G471" s="7"/>
      <c r="H471" s="4"/>
      <c r="I471" s="4"/>
      <c r="J471" s="7"/>
      <c r="K471" s="4"/>
      <c r="L471" s="4"/>
      <c r="M471" s="4"/>
      <c r="N471" s="4"/>
      <c r="O471" s="4"/>
      <c r="P471" s="4"/>
      <c r="Q471" s="4"/>
      <c r="R471" s="4"/>
      <c r="S471" s="4"/>
      <c r="T471" s="4"/>
      <c r="U471" s="4"/>
      <c r="V471" s="4"/>
      <c r="W471" s="4"/>
      <c r="X471" s="4"/>
      <c r="Y471" s="4"/>
      <c r="Z471" s="4"/>
    </row>
    <row r="472" ht="9.75" customHeight="1">
      <c r="A472" s="4"/>
      <c r="B472" s="7"/>
      <c r="C472" s="7"/>
      <c r="D472" s="4"/>
      <c r="E472" s="4"/>
      <c r="F472" s="7"/>
      <c r="G472" s="7"/>
      <c r="H472" s="4"/>
      <c r="I472" s="4"/>
      <c r="J472" s="7"/>
      <c r="K472" s="4"/>
      <c r="L472" s="4"/>
      <c r="M472" s="4"/>
      <c r="N472" s="4"/>
      <c r="O472" s="4"/>
      <c r="P472" s="4"/>
      <c r="Q472" s="4"/>
      <c r="R472" s="4"/>
      <c r="S472" s="4"/>
      <c r="T472" s="4"/>
      <c r="U472" s="4"/>
      <c r="V472" s="4"/>
      <c r="W472" s="4"/>
      <c r="X472" s="4"/>
      <c r="Y472" s="4"/>
      <c r="Z472" s="4"/>
    </row>
    <row r="473" ht="9.75" customHeight="1">
      <c r="A473" s="4"/>
      <c r="B473" s="7"/>
      <c r="C473" s="7"/>
      <c r="D473" s="4"/>
      <c r="E473" s="4"/>
      <c r="F473" s="7"/>
      <c r="G473" s="7"/>
      <c r="H473" s="4"/>
      <c r="I473" s="4"/>
      <c r="J473" s="7"/>
      <c r="K473" s="4"/>
      <c r="L473" s="4"/>
      <c r="M473" s="4"/>
      <c r="N473" s="4"/>
      <c r="O473" s="4"/>
      <c r="P473" s="4"/>
      <c r="Q473" s="4"/>
      <c r="R473" s="4"/>
      <c r="S473" s="4"/>
      <c r="T473" s="4"/>
      <c r="U473" s="4"/>
      <c r="V473" s="4"/>
      <c r="W473" s="4"/>
      <c r="X473" s="4"/>
      <c r="Y473" s="4"/>
      <c r="Z473" s="4"/>
    </row>
    <row r="474" ht="9.75" customHeight="1">
      <c r="A474" s="4"/>
      <c r="B474" s="7"/>
      <c r="C474" s="7"/>
      <c r="D474" s="4"/>
      <c r="E474" s="4"/>
      <c r="F474" s="7"/>
      <c r="G474" s="7"/>
      <c r="H474" s="4"/>
      <c r="I474" s="4"/>
      <c r="J474" s="7"/>
      <c r="K474" s="4"/>
      <c r="L474" s="4"/>
      <c r="M474" s="4"/>
      <c r="N474" s="4"/>
      <c r="O474" s="4"/>
      <c r="P474" s="4"/>
      <c r="Q474" s="4"/>
      <c r="R474" s="4"/>
      <c r="S474" s="4"/>
      <c r="T474" s="4"/>
      <c r="U474" s="4"/>
      <c r="V474" s="4"/>
      <c r="W474" s="4"/>
      <c r="X474" s="4"/>
      <c r="Y474" s="4"/>
      <c r="Z474" s="4"/>
    </row>
    <row r="475" ht="9.75" customHeight="1">
      <c r="A475" s="4"/>
      <c r="B475" s="7"/>
      <c r="C475" s="7"/>
      <c r="D475" s="4"/>
      <c r="E475" s="4"/>
      <c r="F475" s="7"/>
      <c r="G475" s="7"/>
      <c r="H475" s="4"/>
      <c r="I475" s="4"/>
      <c r="J475" s="7"/>
      <c r="K475" s="4"/>
      <c r="L475" s="4"/>
      <c r="M475" s="4"/>
      <c r="N475" s="4"/>
      <c r="O475" s="4"/>
      <c r="P475" s="4"/>
      <c r="Q475" s="4"/>
      <c r="R475" s="4"/>
      <c r="S475" s="4"/>
      <c r="T475" s="4"/>
      <c r="U475" s="4"/>
      <c r="V475" s="4"/>
      <c r="W475" s="4"/>
      <c r="X475" s="4"/>
      <c r="Y475" s="4"/>
      <c r="Z475" s="4"/>
    </row>
    <row r="476" ht="9.75" customHeight="1">
      <c r="A476" s="4"/>
      <c r="B476" s="7"/>
      <c r="C476" s="7"/>
      <c r="D476" s="4"/>
      <c r="E476" s="4"/>
      <c r="F476" s="7"/>
      <c r="G476" s="7"/>
      <c r="H476" s="4"/>
      <c r="I476" s="4"/>
      <c r="J476" s="7"/>
      <c r="K476" s="4"/>
      <c r="L476" s="4"/>
      <c r="M476" s="4"/>
      <c r="N476" s="4"/>
      <c r="O476" s="4"/>
      <c r="P476" s="4"/>
      <c r="Q476" s="4"/>
      <c r="R476" s="4"/>
      <c r="S476" s="4"/>
      <c r="T476" s="4"/>
      <c r="U476" s="4"/>
      <c r="V476" s="4"/>
      <c r="W476" s="4"/>
      <c r="X476" s="4"/>
      <c r="Y476" s="4"/>
      <c r="Z476" s="4"/>
    </row>
    <row r="477" ht="9.75" customHeight="1">
      <c r="A477" s="4"/>
      <c r="B477" s="7"/>
      <c r="C477" s="7"/>
      <c r="D477" s="4"/>
      <c r="E477" s="4"/>
      <c r="F477" s="7"/>
      <c r="G477" s="7"/>
      <c r="H477" s="4"/>
      <c r="I477" s="4"/>
      <c r="J477" s="7"/>
      <c r="K477" s="4"/>
      <c r="L477" s="4"/>
      <c r="M477" s="4"/>
      <c r="N477" s="4"/>
      <c r="O477" s="4"/>
      <c r="P477" s="4"/>
      <c r="Q477" s="4"/>
      <c r="R477" s="4"/>
      <c r="S477" s="4"/>
      <c r="T477" s="4"/>
      <c r="U477" s="4"/>
      <c r="V477" s="4"/>
      <c r="W477" s="4"/>
      <c r="X477" s="4"/>
      <c r="Y477" s="4"/>
      <c r="Z477" s="4"/>
    </row>
    <row r="478" ht="9.75" customHeight="1">
      <c r="A478" s="4"/>
      <c r="B478" s="7"/>
      <c r="C478" s="7"/>
      <c r="D478" s="4"/>
      <c r="E478" s="4"/>
      <c r="F478" s="7"/>
      <c r="G478" s="7"/>
      <c r="H478" s="4"/>
      <c r="I478" s="4"/>
      <c r="J478" s="7"/>
      <c r="K478" s="4"/>
      <c r="L478" s="4"/>
      <c r="M478" s="4"/>
      <c r="N478" s="4"/>
      <c r="O478" s="4"/>
      <c r="P478" s="4"/>
      <c r="Q478" s="4"/>
      <c r="R478" s="4"/>
      <c r="S478" s="4"/>
      <c r="T478" s="4"/>
      <c r="U478" s="4"/>
      <c r="V478" s="4"/>
      <c r="W478" s="4"/>
      <c r="X478" s="4"/>
      <c r="Y478" s="4"/>
      <c r="Z478" s="4"/>
    </row>
    <row r="479" ht="9.75" customHeight="1">
      <c r="A479" s="4"/>
      <c r="B479" s="7"/>
      <c r="C479" s="7"/>
      <c r="D479" s="4"/>
      <c r="E479" s="4"/>
      <c r="F479" s="7"/>
      <c r="G479" s="7"/>
      <c r="H479" s="4"/>
      <c r="I479" s="4"/>
      <c r="J479" s="7"/>
      <c r="K479" s="4"/>
      <c r="L479" s="4"/>
      <c r="M479" s="4"/>
      <c r="N479" s="4"/>
      <c r="O479" s="4"/>
      <c r="P479" s="4"/>
      <c r="Q479" s="4"/>
      <c r="R479" s="4"/>
      <c r="S479" s="4"/>
      <c r="T479" s="4"/>
      <c r="U479" s="4"/>
      <c r="V479" s="4"/>
      <c r="W479" s="4"/>
      <c r="X479" s="4"/>
      <c r="Y479" s="4"/>
      <c r="Z479" s="4"/>
    </row>
    <row r="480" ht="9.75" customHeight="1">
      <c r="A480" s="4"/>
      <c r="B480" s="7"/>
      <c r="C480" s="7"/>
      <c r="D480" s="4"/>
      <c r="E480" s="4"/>
      <c r="F480" s="7"/>
      <c r="G480" s="7"/>
      <c r="H480" s="4"/>
      <c r="I480" s="4"/>
      <c r="J480" s="7"/>
      <c r="K480" s="4"/>
      <c r="L480" s="4"/>
      <c r="M480" s="4"/>
      <c r="N480" s="4"/>
      <c r="O480" s="4"/>
      <c r="P480" s="4"/>
      <c r="Q480" s="4"/>
      <c r="R480" s="4"/>
      <c r="S480" s="4"/>
      <c r="T480" s="4"/>
      <c r="U480" s="4"/>
      <c r="V480" s="4"/>
      <c r="W480" s="4"/>
      <c r="X480" s="4"/>
      <c r="Y480" s="4"/>
      <c r="Z480" s="4"/>
    </row>
    <row r="481" ht="9.75" customHeight="1">
      <c r="A481" s="4"/>
      <c r="B481" s="7"/>
      <c r="C481" s="7"/>
      <c r="D481" s="4"/>
      <c r="E481" s="4"/>
      <c r="F481" s="7"/>
      <c r="G481" s="7"/>
      <c r="H481" s="4"/>
      <c r="I481" s="4"/>
      <c r="J481" s="7"/>
      <c r="K481" s="4"/>
      <c r="L481" s="4"/>
      <c r="M481" s="4"/>
      <c r="N481" s="4"/>
      <c r="O481" s="4"/>
      <c r="P481" s="4"/>
      <c r="Q481" s="4"/>
      <c r="R481" s="4"/>
      <c r="S481" s="4"/>
      <c r="T481" s="4"/>
      <c r="U481" s="4"/>
      <c r="V481" s="4"/>
      <c r="W481" s="4"/>
      <c r="X481" s="4"/>
      <c r="Y481" s="4"/>
      <c r="Z481" s="4"/>
    </row>
    <row r="482" ht="9.75" customHeight="1">
      <c r="A482" s="4"/>
      <c r="B482" s="7"/>
      <c r="C482" s="7"/>
      <c r="D482" s="4"/>
      <c r="E482" s="4"/>
      <c r="F482" s="7"/>
      <c r="G482" s="7"/>
      <c r="H482" s="4"/>
      <c r="I482" s="4"/>
      <c r="J482" s="7"/>
      <c r="K482" s="4"/>
      <c r="L482" s="4"/>
      <c r="M482" s="4"/>
      <c r="N482" s="4"/>
      <c r="O482" s="4"/>
      <c r="P482" s="4"/>
      <c r="Q482" s="4"/>
      <c r="R482" s="4"/>
      <c r="S482" s="4"/>
      <c r="T482" s="4"/>
      <c r="U482" s="4"/>
      <c r="V482" s="4"/>
      <c r="W482" s="4"/>
      <c r="X482" s="4"/>
      <c r="Y482" s="4"/>
      <c r="Z482" s="4"/>
    </row>
    <row r="483" ht="9.75" customHeight="1">
      <c r="A483" s="4"/>
      <c r="B483" s="7"/>
      <c r="C483" s="7"/>
      <c r="D483" s="4"/>
      <c r="E483" s="4"/>
      <c r="F483" s="7"/>
      <c r="G483" s="7"/>
      <c r="H483" s="4"/>
      <c r="I483" s="4"/>
      <c r="J483" s="7"/>
      <c r="K483" s="4"/>
      <c r="L483" s="4"/>
      <c r="M483" s="4"/>
      <c r="N483" s="4"/>
      <c r="O483" s="4"/>
      <c r="P483" s="4"/>
      <c r="Q483" s="4"/>
      <c r="R483" s="4"/>
      <c r="S483" s="4"/>
      <c r="T483" s="4"/>
      <c r="U483" s="4"/>
      <c r="V483" s="4"/>
      <c r="W483" s="4"/>
      <c r="X483" s="4"/>
      <c r="Y483" s="4"/>
      <c r="Z483" s="4"/>
    </row>
    <row r="484" ht="9.75" customHeight="1">
      <c r="A484" s="4"/>
      <c r="B484" s="7"/>
      <c r="C484" s="7"/>
      <c r="D484" s="4"/>
      <c r="E484" s="4"/>
      <c r="F484" s="7"/>
      <c r="G484" s="7"/>
      <c r="H484" s="4"/>
      <c r="I484" s="4"/>
      <c r="J484" s="7"/>
      <c r="K484" s="4"/>
      <c r="L484" s="4"/>
      <c r="M484" s="4"/>
      <c r="N484" s="4"/>
      <c r="O484" s="4"/>
      <c r="P484" s="4"/>
      <c r="Q484" s="4"/>
      <c r="R484" s="4"/>
      <c r="S484" s="4"/>
      <c r="T484" s="4"/>
      <c r="U484" s="4"/>
      <c r="V484" s="4"/>
      <c r="W484" s="4"/>
      <c r="X484" s="4"/>
      <c r="Y484" s="4"/>
      <c r="Z484" s="4"/>
    </row>
    <row r="485" ht="9.75" customHeight="1">
      <c r="A485" s="4"/>
      <c r="B485" s="7"/>
      <c r="C485" s="7"/>
      <c r="D485" s="4"/>
      <c r="E485" s="4"/>
      <c r="F485" s="7"/>
      <c r="G485" s="7"/>
      <c r="H485" s="4"/>
      <c r="I485" s="4"/>
      <c r="J485" s="7"/>
      <c r="K485" s="4"/>
      <c r="L485" s="4"/>
      <c r="M485" s="4"/>
      <c r="N485" s="4"/>
      <c r="O485" s="4"/>
      <c r="P485" s="4"/>
      <c r="Q485" s="4"/>
      <c r="R485" s="4"/>
      <c r="S485" s="4"/>
      <c r="T485" s="4"/>
      <c r="U485" s="4"/>
      <c r="V485" s="4"/>
      <c r="W485" s="4"/>
      <c r="X485" s="4"/>
      <c r="Y485" s="4"/>
      <c r="Z485" s="4"/>
    </row>
    <row r="486" ht="9.75" customHeight="1">
      <c r="A486" s="4"/>
      <c r="B486" s="7"/>
      <c r="C486" s="7"/>
      <c r="D486" s="4"/>
      <c r="E486" s="4"/>
      <c r="F486" s="7"/>
      <c r="G486" s="7"/>
      <c r="H486" s="4"/>
      <c r="I486" s="4"/>
      <c r="J486" s="7"/>
      <c r="K486" s="4"/>
      <c r="L486" s="4"/>
      <c r="M486" s="4"/>
      <c r="N486" s="4"/>
      <c r="O486" s="4"/>
      <c r="P486" s="4"/>
      <c r="Q486" s="4"/>
      <c r="R486" s="4"/>
      <c r="S486" s="4"/>
      <c r="T486" s="4"/>
      <c r="U486" s="4"/>
      <c r="V486" s="4"/>
      <c r="W486" s="4"/>
      <c r="X486" s="4"/>
      <c r="Y486" s="4"/>
      <c r="Z486" s="4"/>
    </row>
    <row r="487" ht="9.75" customHeight="1">
      <c r="A487" s="4"/>
      <c r="B487" s="7"/>
      <c r="C487" s="7"/>
      <c r="D487" s="4"/>
      <c r="E487" s="4"/>
      <c r="F487" s="7"/>
      <c r="G487" s="7"/>
      <c r="H487" s="4"/>
      <c r="I487" s="4"/>
      <c r="J487" s="7"/>
      <c r="K487" s="4"/>
      <c r="L487" s="4"/>
      <c r="M487" s="4"/>
      <c r="N487" s="4"/>
      <c r="O487" s="4"/>
      <c r="P487" s="4"/>
      <c r="Q487" s="4"/>
      <c r="R487" s="4"/>
      <c r="S487" s="4"/>
      <c r="T487" s="4"/>
      <c r="U487" s="4"/>
      <c r="V487" s="4"/>
      <c r="W487" s="4"/>
      <c r="X487" s="4"/>
      <c r="Y487" s="4"/>
      <c r="Z487" s="4"/>
    </row>
    <row r="488" ht="9.75" customHeight="1">
      <c r="A488" s="4"/>
      <c r="B488" s="7"/>
      <c r="C488" s="7"/>
      <c r="D488" s="4"/>
      <c r="E488" s="4"/>
      <c r="F488" s="7"/>
      <c r="G488" s="7"/>
      <c r="H488" s="4"/>
      <c r="I488" s="4"/>
      <c r="J488" s="7"/>
      <c r="K488" s="4"/>
      <c r="L488" s="4"/>
      <c r="M488" s="4"/>
      <c r="N488" s="4"/>
      <c r="O488" s="4"/>
      <c r="P488" s="4"/>
      <c r="Q488" s="4"/>
      <c r="R488" s="4"/>
      <c r="S488" s="4"/>
      <c r="T488" s="4"/>
      <c r="U488" s="4"/>
      <c r="V488" s="4"/>
      <c r="W488" s="4"/>
      <c r="X488" s="4"/>
      <c r="Y488" s="4"/>
      <c r="Z488" s="4"/>
    </row>
    <row r="489" ht="9.75" customHeight="1">
      <c r="A489" s="4"/>
      <c r="B489" s="7"/>
      <c r="C489" s="7"/>
      <c r="D489" s="4"/>
      <c r="E489" s="4"/>
      <c r="F489" s="7"/>
      <c r="G489" s="7"/>
      <c r="H489" s="4"/>
      <c r="I489" s="4"/>
      <c r="J489" s="7"/>
      <c r="K489" s="4"/>
      <c r="L489" s="4"/>
      <c r="M489" s="4"/>
      <c r="N489" s="4"/>
      <c r="O489" s="4"/>
      <c r="P489" s="4"/>
      <c r="Q489" s="4"/>
      <c r="R489" s="4"/>
      <c r="S489" s="4"/>
      <c r="T489" s="4"/>
      <c r="U489" s="4"/>
      <c r="V489" s="4"/>
      <c r="W489" s="4"/>
      <c r="X489" s="4"/>
      <c r="Y489" s="4"/>
      <c r="Z489" s="4"/>
    </row>
    <row r="490" ht="9.75" customHeight="1">
      <c r="A490" s="4"/>
      <c r="B490" s="7"/>
      <c r="C490" s="7"/>
      <c r="D490" s="4"/>
      <c r="E490" s="4"/>
      <c r="F490" s="7"/>
      <c r="G490" s="7"/>
      <c r="H490" s="4"/>
      <c r="I490" s="4"/>
      <c r="J490" s="7"/>
      <c r="K490" s="4"/>
      <c r="L490" s="4"/>
      <c r="M490" s="4"/>
      <c r="N490" s="4"/>
      <c r="O490" s="4"/>
      <c r="P490" s="4"/>
      <c r="Q490" s="4"/>
      <c r="R490" s="4"/>
      <c r="S490" s="4"/>
      <c r="T490" s="4"/>
      <c r="U490" s="4"/>
      <c r="V490" s="4"/>
      <c r="W490" s="4"/>
      <c r="X490" s="4"/>
      <c r="Y490" s="4"/>
      <c r="Z490" s="4"/>
    </row>
    <row r="491" ht="9.75" customHeight="1">
      <c r="A491" s="4"/>
      <c r="B491" s="7"/>
      <c r="C491" s="7"/>
      <c r="D491" s="4"/>
      <c r="E491" s="4"/>
      <c r="F491" s="7"/>
      <c r="G491" s="7"/>
      <c r="H491" s="4"/>
      <c r="I491" s="4"/>
      <c r="J491" s="7"/>
      <c r="K491" s="4"/>
      <c r="L491" s="4"/>
      <c r="M491" s="4"/>
      <c r="N491" s="4"/>
      <c r="O491" s="4"/>
      <c r="P491" s="4"/>
      <c r="Q491" s="4"/>
      <c r="R491" s="4"/>
      <c r="S491" s="4"/>
      <c r="T491" s="4"/>
      <c r="U491" s="4"/>
      <c r="V491" s="4"/>
      <c r="W491" s="4"/>
      <c r="X491" s="4"/>
      <c r="Y491" s="4"/>
      <c r="Z491" s="4"/>
    </row>
    <row r="492" ht="9.75" customHeight="1">
      <c r="A492" s="4"/>
      <c r="B492" s="7"/>
      <c r="C492" s="7"/>
      <c r="D492" s="4"/>
      <c r="E492" s="4"/>
      <c r="F492" s="7"/>
      <c r="G492" s="7"/>
      <c r="H492" s="4"/>
      <c r="I492" s="4"/>
      <c r="J492" s="7"/>
      <c r="K492" s="4"/>
      <c r="L492" s="4"/>
      <c r="M492" s="4"/>
      <c r="N492" s="4"/>
      <c r="O492" s="4"/>
      <c r="P492" s="4"/>
      <c r="Q492" s="4"/>
      <c r="R492" s="4"/>
      <c r="S492" s="4"/>
      <c r="T492" s="4"/>
      <c r="U492" s="4"/>
      <c r="V492" s="4"/>
      <c r="W492" s="4"/>
      <c r="X492" s="4"/>
      <c r="Y492" s="4"/>
      <c r="Z492" s="4"/>
    </row>
    <row r="493" ht="9.75" customHeight="1">
      <c r="A493" s="4"/>
      <c r="B493" s="7"/>
      <c r="C493" s="7"/>
      <c r="D493" s="4"/>
      <c r="E493" s="4"/>
      <c r="F493" s="7"/>
      <c r="G493" s="7"/>
      <c r="H493" s="4"/>
      <c r="I493" s="4"/>
      <c r="J493" s="7"/>
      <c r="K493" s="4"/>
      <c r="L493" s="4"/>
      <c r="M493" s="4"/>
      <c r="N493" s="4"/>
      <c r="O493" s="4"/>
      <c r="P493" s="4"/>
      <c r="Q493" s="4"/>
      <c r="R493" s="4"/>
      <c r="S493" s="4"/>
      <c r="T493" s="4"/>
      <c r="U493" s="4"/>
      <c r="V493" s="4"/>
      <c r="W493" s="4"/>
      <c r="X493" s="4"/>
      <c r="Y493" s="4"/>
      <c r="Z493" s="4"/>
    </row>
    <row r="494" ht="9.75" customHeight="1">
      <c r="A494" s="4"/>
      <c r="B494" s="7"/>
      <c r="C494" s="7"/>
      <c r="D494" s="4"/>
      <c r="E494" s="4"/>
      <c r="F494" s="7"/>
      <c r="G494" s="7"/>
      <c r="H494" s="4"/>
      <c r="I494" s="4"/>
      <c r="J494" s="7"/>
      <c r="K494" s="4"/>
      <c r="L494" s="4"/>
      <c r="M494" s="4"/>
      <c r="N494" s="4"/>
      <c r="O494" s="4"/>
      <c r="P494" s="4"/>
      <c r="Q494" s="4"/>
      <c r="R494" s="4"/>
      <c r="S494" s="4"/>
      <c r="T494" s="4"/>
      <c r="U494" s="4"/>
      <c r="V494" s="4"/>
      <c r="W494" s="4"/>
      <c r="X494" s="4"/>
      <c r="Y494" s="4"/>
      <c r="Z494" s="4"/>
    </row>
    <row r="495" ht="9.75" customHeight="1">
      <c r="A495" s="4"/>
      <c r="B495" s="7"/>
      <c r="C495" s="7"/>
      <c r="D495" s="4"/>
      <c r="E495" s="4"/>
      <c r="F495" s="7"/>
      <c r="G495" s="7"/>
      <c r="H495" s="4"/>
      <c r="I495" s="4"/>
      <c r="J495" s="7"/>
      <c r="K495" s="4"/>
      <c r="L495" s="4"/>
      <c r="M495" s="4"/>
      <c r="N495" s="4"/>
      <c r="O495" s="4"/>
      <c r="P495" s="4"/>
      <c r="Q495" s="4"/>
      <c r="R495" s="4"/>
      <c r="S495" s="4"/>
      <c r="T495" s="4"/>
      <c r="U495" s="4"/>
      <c r="V495" s="4"/>
      <c r="W495" s="4"/>
      <c r="X495" s="4"/>
      <c r="Y495" s="4"/>
      <c r="Z495" s="4"/>
    </row>
    <row r="496" ht="9.75" customHeight="1">
      <c r="A496" s="4"/>
      <c r="B496" s="7"/>
      <c r="C496" s="7"/>
      <c r="D496" s="4"/>
      <c r="E496" s="4"/>
      <c r="F496" s="7"/>
      <c r="G496" s="7"/>
      <c r="H496" s="4"/>
      <c r="I496" s="4"/>
      <c r="J496" s="7"/>
      <c r="K496" s="4"/>
      <c r="L496" s="4"/>
      <c r="M496" s="4"/>
      <c r="N496" s="4"/>
      <c r="O496" s="4"/>
      <c r="P496" s="4"/>
      <c r="Q496" s="4"/>
      <c r="R496" s="4"/>
      <c r="S496" s="4"/>
      <c r="T496" s="4"/>
      <c r="U496" s="4"/>
      <c r="V496" s="4"/>
      <c r="W496" s="4"/>
      <c r="X496" s="4"/>
      <c r="Y496" s="4"/>
      <c r="Z496" s="4"/>
    </row>
    <row r="497" ht="9.75" customHeight="1">
      <c r="A497" s="4"/>
      <c r="B497" s="7"/>
      <c r="C497" s="7"/>
      <c r="D497" s="4"/>
      <c r="E497" s="4"/>
      <c r="F497" s="7"/>
      <c r="G497" s="7"/>
      <c r="H497" s="4"/>
      <c r="I497" s="4"/>
      <c r="J497" s="7"/>
      <c r="K497" s="4"/>
      <c r="L497" s="4"/>
      <c r="M497" s="4"/>
      <c r="N497" s="4"/>
      <c r="O497" s="4"/>
      <c r="P497" s="4"/>
      <c r="Q497" s="4"/>
      <c r="R497" s="4"/>
      <c r="S497" s="4"/>
      <c r="T497" s="4"/>
      <c r="U497" s="4"/>
      <c r="V497" s="4"/>
      <c r="W497" s="4"/>
      <c r="X497" s="4"/>
      <c r="Y497" s="4"/>
      <c r="Z497" s="4"/>
    </row>
    <row r="498" ht="9.75" customHeight="1">
      <c r="A498" s="4"/>
      <c r="B498" s="7"/>
      <c r="C498" s="7"/>
      <c r="D498" s="4"/>
      <c r="E498" s="4"/>
      <c r="F498" s="7"/>
      <c r="G498" s="7"/>
      <c r="H498" s="4"/>
      <c r="I498" s="4"/>
      <c r="J498" s="7"/>
      <c r="K498" s="4"/>
      <c r="L498" s="4"/>
      <c r="M498" s="4"/>
      <c r="N498" s="4"/>
      <c r="O498" s="4"/>
      <c r="P498" s="4"/>
      <c r="Q498" s="4"/>
      <c r="R498" s="4"/>
      <c r="S498" s="4"/>
      <c r="T498" s="4"/>
      <c r="U498" s="4"/>
      <c r="V498" s="4"/>
      <c r="W498" s="4"/>
      <c r="X498" s="4"/>
      <c r="Y498" s="4"/>
      <c r="Z498" s="4"/>
    </row>
    <row r="499" ht="9.75" customHeight="1">
      <c r="A499" s="4"/>
      <c r="B499" s="7"/>
      <c r="C499" s="7"/>
      <c r="D499" s="4"/>
      <c r="E499" s="4"/>
      <c r="F499" s="7"/>
      <c r="G499" s="7"/>
      <c r="H499" s="4"/>
      <c r="I499" s="4"/>
      <c r="J499" s="7"/>
      <c r="K499" s="4"/>
      <c r="L499" s="4"/>
      <c r="M499" s="4"/>
      <c r="N499" s="4"/>
      <c r="O499" s="4"/>
      <c r="P499" s="4"/>
      <c r="Q499" s="4"/>
      <c r="R499" s="4"/>
      <c r="S499" s="4"/>
      <c r="T499" s="4"/>
      <c r="U499" s="4"/>
      <c r="V499" s="4"/>
      <c r="W499" s="4"/>
      <c r="X499" s="4"/>
      <c r="Y499" s="4"/>
      <c r="Z499" s="4"/>
    </row>
    <row r="500" ht="9.75" customHeight="1">
      <c r="A500" s="4"/>
      <c r="B500" s="7"/>
      <c r="C500" s="7"/>
      <c r="D500" s="4"/>
      <c r="E500" s="4"/>
      <c r="F500" s="7"/>
      <c r="G500" s="7"/>
      <c r="H500" s="4"/>
      <c r="I500" s="4"/>
      <c r="J500" s="7"/>
      <c r="K500" s="4"/>
      <c r="L500" s="4"/>
      <c r="M500" s="4"/>
      <c r="N500" s="4"/>
      <c r="O500" s="4"/>
      <c r="P500" s="4"/>
      <c r="Q500" s="4"/>
      <c r="R500" s="4"/>
      <c r="S500" s="4"/>
      <c r="T500" s="4"/>
      <c r="U500" s="4"/>
      <c r="V500" s="4"/>
      <c r="W500" s="4"/>
      <c r="X500" s="4"/>
      <c r="Y500" s="4"/>
      <c r="Z500" s="4"/>
    </row>
    <row r="501" ht="9.75" customHeight="1">
      <c r="A501" s="4"/>
      <c r="B501" s="7"/>
      <c r="C501" s="7"/>
      <c r="D501" s="4"/>
      <c r="E501" s="4"/>
      <c r="F501" s="7"/>
      <c r="G501" s="7"/>
      <c r="H501" s="4"/>
      <c r="I501" s="4"/>
      <c r="J501" s="7"/>
      <c r="K501" s="4"/>
      <c r="L501" s="4"/>
      <c r="M501" s="4"/>
      <c r="N501" s="4"/>
      <c r="O501" s="4"/>
      <c r="P501" s="4"/>
      <c r="Q501" s="4"/>
      <c r="R501" s="4"/>
      <c r="S501" s="4"/>
      <c r="T501" s="4"/>
      <c r="U501" s="4"/>
      <c r="V501" s="4"/>
      <c r="W501" s="4"/>
      <c r="X501" s="4"/>
      <c r="Y501" s="4"/>
      <c r="Z501" s="4"/>
    </row>
    <row r="502" ht="9.75" customHeight="1">
      <c r="A502" s="4"/>
      <c r="B502" s="7"/>
      <c r="C502" s="7"/>
      <c r="D502" s="4"/>
      <c r="E502" s="4"/>
      <c r="F502" s="7"/>
      <c r="G502" s="7"/>
      <c r="H502" s="4"/>
      <c r="I502" s="4"/>
      <c r="J502" s="7"/>
      <c r="K502" s="4"/>
      <c r="L502" s="4"/>
      <c r="M502" s="4"/>
      <c r="N502" s="4"/>
      <c r="O502" s="4"/>
      <c r="P502" s="4"/>
      <c r="Q502" s="4"/>
      <c r="R502" s="4"/>
      <c r="S502" s="4"/>
      <c r="T502" s="4"/>
      <c r="U502" s="4"/>
      <c r="V502" s="4"/>
      <c r="W502" s="4"/>
      <c r="X502" s="4"/>
      <c r="Y502" s="4"/>
      <c r="Z502" s="4"/>
    </row>
    <row r="503" ht="9.75" customHeight="1">
      <c r="A503" s="4"/>
      <c r="B503" s="7"/>
      <c r="C503" s="7"/>
      <c r="D503" s="4"/>
      <c r="E503" s="4"/>
      <c r="F503" s="7"/>
      <c r="G503" s="7"/>
      <c r="H503" s="4"/>
      <c r="I503" s="4"/>
      <c r="J503" s="7"/>
      <c r="K503" s="4"/>
      <c r="L503" s="4"/>
      <c r="M503" s="4"/>
      <c r="N503" s="4"/>
      <c r="O503" s="4"/>
      <c r="P503" s="4"/>
      <c r="Q503" s="4"/>
      <c r="R503" s="4"/>
      <c r="S503" s="4"/>
      <c r="T503" s="4"/>
      <c r="U503" s="4"/>
      <c r="V503" s="4"/>
      <c r="W503" s="4"/>
      <c r="X503" s="4"/>
      <c r="Y503" s="4"/>
      <c r="Z503" s="4"/>
    </row>
    <row r="504" ht="9.75" customHeight="1">
      <c r="A504" s="4"/>
      <c r="B504" s="7"/>
      <c r="C504" s="7"/>
      <c r="D504" s="4"/>
      <c r="E504" s="4"/>
      <c r="F504" s="7"/>
      <c r="G504" s="7"/>
      <c r="H504" s="4"/>
      <c r="I504" s="4"/>
      <c r="J504" s="7"/>
      <c r="K504" s="4"/>
      <c r="L504" s="4"/>
      <c r="M504" s="4"/>
      <c r="N504" s="4"/>
      <c r="O504" s="4"/>
      <c r="P504" s="4"/>
      <c r="Q504" s="4"/>
      <c r="R504" s="4"/>
      <c r="S504" s="4"/>
      <c r="T504" s="4"/>
      <c r="U504" s="4"/>
      <c r="V504" s="4"/>
      <c r="W504" s="4"/>
      <c r="X504" s="4"/>
      <c r="Y504" s="4"/>
      <c r="Z504" s="4"/>
    </row>
    <row r="505" ht="9.75" customHeight="1">
      <c r="A505" s="4"/>
      <c r="B505" s="7"/>
      <c r="C505" s="7"/>
      <c r="D505" s="4"/>
      <c r="E505" s="4"/>
      <c r="F505" s="7"/>
      <c r="G505" s="7"/>
      <c r="H505" s="4"/>
      <c r="I505" s="4"/>
      <c r="J505" s="7"/>
      <c r="K505" s="4"/>
      <c r="L505" s="4"/>
      <c r="M505" s="4"/>
      <c r="N505" s="4"/>
      <c r="O505" s="4"/>
      <c r="P505" s="4"/>
      <c r="Q505" s="4"/>
      <c r="R505" s="4"/>
      <c r="S505" s="4"/>
      <c r="T505" s="4"/>
      <c r="U505" s="4"/>
      <c r="V505" s="4"/>
      <c r="W505" s="4"/>
      <c r="X505" s="4"/>
      <c r="Y505" s="4"/>
      <c r="Z505" s="4"/>
    </row>
    <row r="506" ht="9.75" customHeight="1">
      <c r="A506" s="4"/>
      <c r="B506" s="7"/>
      <c r="C506" s="7"/>
      <c r="D506" s="4"/>
      <c r="E506" s="4"/>
      <c r="F506" s="7"/>
      <c r="G506" s="7"/>
      <c r="H506" s="4"/>
      <c r="I506" s="4"/>
      <c r="J506" s="7"/>
      <c r="K506" s="4"/>
      <c r="L506" s="4"/>
      <c r="M506" s="4"/>
      <c r="N506" s="4"/>
      <c r="O506" s="4"/>
      <c r="P506" s="4"/>
      <c r="Q506" s="4"/>
      <c r="R506" s="4"/>
      <c r="S506" s="4"/>
      <c r="T506" s="4"/>
      <c r="U506" s="4"/>
      <c r="V506" s="4"/>
      <c r="W506" s="4"/>
      <c r="X506" s="4"/>
      <c r="Y506" s="4"/>
      <c r="Z506" s="4"/>
    </row>
    <row r="507" ht="9.75" customHeight="1">
      <c r="A507" s="4"/>
      <c r="B507" s="7"/>
      <c r="C507" s="7"/>
      <c r="D507" s="4"/>
      <c r="E507" s="4"/>
      <c r="F507" s="7"/>
      <c r="G507" s="7"/>
      <c r="H507" s="4"/>
      <c r="I507" s="4"/>
      <c r="J507" s="7"/>
      <c r="K507" s="4"/>
      <c r="L507" s="4"/>
      <c r="M507" s="4"/>
      <c r="N507" s="4"/>
      <c r="O507" s="4"/>
      <c r="P507" s="4"/>
      <c r="Q507" s="4"/>
      <c r="R507" s="4"/>
      <c r="S507" s="4"/>
      <c r="T507" s="4"/>
      <c r="U507" s="4"/>
      <c r="V507" s="4"/>
      <c r="W507" s="4"/>
      <c r="X507" s="4"/>
      <c r="Y507" s="4"/>
      <c r="Z507" s="4"/>
    </row>
    <row r="508" ht="9.75" customHeight="1">
      <c r="A508" s="4"/>
      <c r="B508" s="7"/>
      <c r="C508" s="7"/>
      <c r="D508" s="4"/>
      <c r="E508" s="4"/>
      <c r="F508" s="7"/>
      <c r="G508" s="7"/>
      <c r="H508" s="4"/>
      <c r="I508" s="4"/>
      <c r="J508" s="7"/>
      <c r="K508" s="4"/>
      <c r="L508" s="4"/>
      <c r="M508" s="4"/>
      <c r="N508" s="4"/>
      <c r="O508" s="4"/>
      <c r="P508" s="4"/>
      <c r="Q508" s="4"/>
      <c r="R508" s="4"/>
      <c r="S508" s="4"/>
      <c r="T508" s="4"/>
      <c r="U508" s="4"/>
      <c r="V508" s="4"/>
      <c r="W508" s="4"/>
      <c r="X508" s="4"/>
      <c r="Y508" s="4"/>
      <c r="Z508" s="4"/>
    </row>
    <row r="509" ht="9.75" customHeight="1">
      <c r="A509" s="4"/>
      <c r="B509" s="7"/>
      <c r="C509" s="7"/>
      <c r="D509" s="4"/>
      <c r="E509" s="4"/>
      <c r="F509" s="7"/>
      <c r="G509" s="7"/>
      <c r="H509" s="4"/>
      <c r="I509" s="4"/>
      <c r="J509" s="7"/>
      <c r="K509" s="4"/>
      <c r="L509" s="4"/>
      <c r="M509" s="4"/>
      <c r="N509" s="4"/>
      <c r="O509" s="4"/>
      <c r="P509" s="4"/>
      <c r="Q509" s="4"/>
      <c r="R509" s="4"/>
      <c r="S509" s="4"/>
      <c r="T509" s="4"/>
      <c r="U509" s="4"/>
      <c r="V509" s="4"/>
      <c r="W509" s="4"/>
      <c r="X509" s="4"/>
      <c r="Y509" s="4"/>
      <c r="Z509" s="4"/>
    </row>
    <row r="510" ht="9.75" customHeight="1">
      <c r="A510" s="4"/>
      <c r="B510" s="7"/>
      <c r="C510" s="7"/>
      <c r="D510" s="4"/>
      <c r="E510" s="4"/>
      <c r="F510" s="7"/>
      <c r="G510" s="7"/>
      <c r="H510" s="4"/>
      <c r="I510" s="4"/>
      <c r="J510" s="7"/>
      <c r="K510" s="4"/>
      <c r="L510" s="4"/>
      <c r="M510" s="4"/>
      <c r="N510" s="4"/>
      <c r="O510" s="4"/>
      <c r="P510" s="4"/>
      <c r="Q510" s="4"/>
      <c r="R510" s="4"/>
      <c r="S510" s="4"/>
      <c r="T510" s="4"/>
      <c r="U510" s="4"/>
      <c r="V510" s="4"/>
      <c r="W510" s="4"/>
      <c r="X510" s="4"/>
      <c r="Y510" s="4"/>
      <c r="Z510" s="4"/>
    </row>
    <row r="511" ht="9.75" customHeight="1">
      <c r="A511" s="4"/>
      <c r="B511" s="7"/>
      <c r="C511" s="7"/>
      <c r="D511" s="4"/>
      <c r="E511" s="4"/>
      <c r="F511" s="7"/>
      <c r="G511" s="7"/>
      <c r="H511" s="4"/>
      <c r="I511" s="4"/>
      <c r="J511" s="7"/>
      <c r="K511" s="4"/>
      <c r="L511" s="4"/>
      <c r="M511" s="4"/>
      <c r="N511" s="4"/>
      <c r="O511" s="4"/>
      <c r="P511" s="4"/>
      <c r="Q511" s="4"/>
      <c r="R511" s="4"/>
      <c r="S511" s="4"/>
      <c r="T511" s="4"/>
      <c r="U511" s="4"/>
      <c r="V511" s="4"/>
      <c r="W511" s="4"/>
      <c r="X511" s="4"/>
      <c r="Y511" s="4"/>
      <c r="Z511" s="4"/>
    </row>
    <row r="512" ht="9.75" customHeight="1">
      <c r="A512" s="4"/>
      <c r="B512" s="7"/>
      <c r="C512" s="7"/>
      <c r="D512" s="4"/>
      <c r="E512" s="4"/>
      <c r="F512" s="7"/>
      <c r="G512" s="7"/>
      <c r="H512" s="4"/>
      <c r="I512" s="4"/>
      <c r="J512" s="7"/>
      <c r="K512" s="4"/>
      <c r="L512" s="4"/>
      <c r="M512" s="4"/>
      <c r="N512" s="4"/>
      <c r="O512" s="4"/>
      <c r="P512" s="4"/>
      <c r="Q512" s="4"/>
      <c r="R512" s="4"/>
      <c r="S512" s="4"/>
      <c r="T512" s="4"/>
      <c r="U512" s="4"/>
      <c r="V512" s="4"/>
      <c r="W512" s="4"/>
      <c r="X512" s="4"/>
      <c r="Y512" s="4"/>
      <c r="Z512" s="4"/>
    </row>
    <row r="513" ht="9.75" customHeight="1">
      <c r="A513" s="4"/>
      <c r="B513" s="7"/>
      <c r="C513" s="7"/>
      <c r="D513" s="4"/>
      <c r="E513" s="4"/>
      <c r="F513" s="7"/>
      <c r="G513" s="7"/>
      <c r="H513" s="4"/>
      <c r="I513" s="4"/>
      <c r="J513" s="7"/>
      <c r="K513" s="4"/>
      <c r="L513" s="4"/>
      <c r="M513" s="4"/>
      <c r="N513" s="4"/>
      <c r="O513" s="4"/>
      <c r="P513" s="4"/>
      <c r="Q513" s="4"/>
      <c r="R513" s="4"/>
      <c r="S513" s="4"/>
      <c r="T513" s="4"/>
      <c r="U513" s="4"/>
      <c r="V513" s="4"/>
      <c r="W513" s="4"/>
      <c r="X513" s="4"/>
      <c r="Y513" s="4"/>
      <c r="Z513" s="4"/>
    </row>
    <row r="514" ht="9.75" customHeight="1">
      <c r="A514" s="4"/>
      <c r="B514" s="7"/>
      <c r="C514" s="7"/>
      <c r="D514" s="4"/>
      <c r="E514" s="4"/>
      <c r="F514" s="7"/>
      <c r="G514" s="7"/>
      <c r="H514" s="4"/>
      <c r="I514" s="4"/>
      <c r="J514" s="7"/>
      <c r="K514" s="4"/>
      <c r="L514" s="4"/>
      <c r="M514" s="4"/>
      <c r="N514" s="4"/>
      <c r="O514" s="4"/>
      <c r="P514" s="4"/>
      <c r="Q514" s="4"/>
      <c r="R514" s="4"/>
      <c r="S514" s="4"/>
      <c r="T514" s="4"/>
      <c r="U514" s="4"/>
      <c r="V514" s="4"/>
      <c r="W514" s="4"/>
      <c r="X514" s="4"/>
      <c r="Y514" s="4"/>
      <c r="Z514" s="4"/>
    </row>
    <row r="515" ht="9.75" customHeight="1">
      <c r="A515" s="4"/>
      <c r="B515" s="7"/>
      <c r="C515" s="7"/>
      <c r="D515" s="4"/>
      <c r="E515" s="4"/>
      <c r="F515" s="7"/>
      <c r="G515" s="7"/>
      <c r="H515" s="4"/>
      <c r="I515" s="4"/>
      <c r="J515" s="7"/>
      <c r="K515" s="4"/>
      <c r="L515" s="4"/>
      <c r="M515" s="4"/>
      <c r="N515" s="4"/>
      <c r="O515" s="4"/>
      <c r="P515" s="4"/>
      <c r="Q515" s="4"/>
      <c r="R515" s="4"/>
      <c r="S515" s="4"/>
      <c r="T515" s="4"/>
      <c r="U515" s="4"/>
      <c r="V515" s="4"/>
      <c r="W515" s="4"/>
      <c r="X515" s="4"/>
      <c r="Y515" s="4"/>
      <c r="Z515" s="4"/>
    </row>
    <row r="516" ht="9.75" customHeight="1">
      <c r="A516" s="4"/>
      <c r="B516" s="7"/>
      <c r="C516" s="7"/>
      <c r="D516" s="4"/>
      <c r="E516" s="4"/>
      <c r="F516" s="7"/>
      <c r="G516" s="7"/>
      <c r="H516" s="4"/>
      <c r="I516" s="4"/>
      <c r="J516" s="7"/>
      <c r="K516" s="4"/>
      <c r="L516" s="4"/>
      <c r="M516" s="4"/>
      <c r="N516" s="4"/>
      <c r="O516" s="4"/>
      <c r="P516" s="4"/>
      <c r="Q516" s="4"/>
      <c r="R516" s="4"/>
      <c r="S516" s="4"/>
      <c r="T516" s="4"/>
      <c r="U516" s="4"/>
      <c r="V516" s="4"/>
      <c r="W516" s="4"/>
      <c r="X516" s="4"/>
      <c r="Y516" s="4"/>
      <c r="Z516" s="4"/>
    </row>
    <row r="517" ht="9.75" customHeight="1">
      <c r="A517" s="4"/>
      <c r="B517" s="7"/>
      <c r="C517" s="7"/>
      <c r="D517" s="4"/>
      <c r="E517" s="4"/>
      <c r="F517" s="7"/>
      <c r="G517" s="7"/>
      <c r="H517" s="4"/>
      <c r="I517" s="4"/>
      <c r="J517" s="7"/>
      <c r="K517" s="4"/>
      <c r="L517" s="4"/>
      <c r="M517" s="4"/>
      <c r="N517" s="4"/>
      <c r="O517" s="4"/>
      <c r="P517" s="4"/>
      <c r="Q517" s="4"/>
      <c r="R517" s="4"/>
      <c r="S517" s="4"/>
      <c r="T517" s="4"/>
      <c r="U517" s="4"/>
      <c r="V517" s="4"/>
      <c r="W517" s="4"/>
      <c r="X517" s="4"/>
      <c r="Y517" s="4"/>
      <c r="Z517" s="4"/>
    </row>
    <row r="518" ht="9.75" customHeight="1">
      <c r="A518" s="4"/>
      <c r="B518" s="7"/>
      <c r="C518" s="7"/>
      <c r="D518" s="4"/>
      <c r="E518" s="4"/>
      <c r="F518" s="7"/>
      <c r="G518" s="7"/>
      <c r="H518" s="4"/>
      <c r="I518" s="4"/>
      <c r="J518" s="7"/>
      <c r="K518" s="4"/>
      <c r="L518" s="4"/>
      <c r="M518" s="4"/>
      <c r="N518" s="4"/>
      <c r="O518" s="4"/>
      <c r="P518" s="4"/>
      <c r="Q518" s="4"/>
      <c r="R518" s="4"/>
      <c r="S518" s="4"/>
      <c r="T518" s="4"/>
      <c r="U518" s="4"/>
      <c r="V518" s="4"/>
      <c r="W518" s="4"/>
      <c r="X518" s="4"/>
      <c r="Y518" s="4"/>
      <c r="Z518" s="4"/>
    </row>
    <row r="519" ht="9.75" customHeight="1">
      <c r="A519" s="4"/>
      <c r="B519" s="7"/>
      <c r="C519" s="7"/>
      <c r="D519" s="4"/>
      <c r="E519" s="4"/>
      <c r="F519" s="7"/>
      <c r="G519" s="7"/>
      <c r="H519" s="4"/>
      <c r="I519" s="4"/>
      <c r="J519" s="7"/>
      <c r="K519" s="4"/>
      <c r="L519" s="4"/>
      <c r="M519" s="4"/>
      <c r="N519" s="4"/>
      <c r="O519" s="4"/>
      <c r="P519" s="4"/>
      <c r="Q519" s="4"/>
      <c r="R519" s="4"/>
      <c r="S519" s="4"/>
      <c r="T519" s="4"/>
      <c r="U519" s="4"/>
      <c r="V519" s="4"/>
      <c r="W519" s="4"/>
      <c r="X519" s="4"/>
      <c r="Y519" s="4"/>
      <c r="Z519" s="4"/>
    </row>
    <row r="520" ht="9.75" customHeight="1">
      <c r="A520" s="4"/>
      <c r="B520" s="7"/>
      <c r="C520" s="7"/>
      <c r="D520" s="4"/>
      <c r="E520" s="4"/>
      <c r="F520" s="7"/>
      <c r="G520" s="7"/>
      <c r="H520" s="4"/>
      <c r="I520" s="4"/>
      <c r="J520" s="7"/>
      <c r="K520" s="4"/>
      <c r="L520" s="4"/>
      <c r="M520" s="4"/>
      <c r="N520" s="4"/>
      <c r="O520" s="4"/>
      <c r="P520" s="4"/>
      <c r="Q520" s="4"/>
      <c r="R520" s="4"/>
      <c r="S520" s="4"/>
      <c r="T520" s="4"/>
      <c r="U520" s="4"/>
      <c r="V520" s="4"/>
      <c r="W520" s="4"/>
      <c r="X520" s="4"/>
      <c r="Y520" s="4"/>
      <c r="Z520" s="4"/>
    </row>
    <row r="521" ht="9.75" customHeight="1">
      <c r="A521" s="4"/>
      <c r="B521" s="7"/>
      <c r="C521" s="7"/>
      <c r="D521" s="4"/>
      <c r="E521" s="4"/>
      <c r="F521" s="7"/>
      <c r="G521" s="7"/>
      <c r="H521" s="4"/>
      <c r="I521" s="4"/>
      <c r="J521" s="7"/>
      <c r="K521" s="4"/>
      <c r="L521" s="4"/>
      <c r="M521" s="4"/>
      <c r="N521" s="4"/>
      <c r="O521" s="4"/>
      <c r="P521" s="4"/>
      <c r="Q521" s="4"/>
      <c r="R521" s="4"/>
      <c r="S521" s="4"/>
      <c r="T521" s="4"/>
      <c r="U521" s="4"/>
      <c r="V521" s="4"/>
      <c r="W521" s="4"/>
      <c r="X521" s="4"/>
      <c r="Y521" s="4"/>
      <c r="Z521" s="4"/>
    </row>
    <row r="522" ht="9.75" customHeight="1">
      <c r="A522" s="4"/>
      <c r="B522" s="7"/>
      <c r="C522" s="7"/>
      <c r="D522" s="4"/>
      <c r="E522" s="4"/>
      <c r="F522" s="7"/>
      <c r="G522" s="7"/>
      <c r="H522" s="4"/>
      <c r="I522" s="4"/>
      <c r="J522" s="7"/>
      <c r="K522" s="4"/>
      <c r="L522" s="4"/>
      <c r="M522" s="4"/>
      <c r="N522" s="4"/>
      <c r="O522" s="4"/>
      <c r="P522" s="4"/>
      <c r="Q522" s="4"/>
      <c r="R522" s="4"/>
      <c r="S522" s="4"/>
      <c r="T522" s="4"/>
      <c r="U522" s="4"/>
      <c r="V522" s="4"/>
      <c r="W522" s="4"/>
      <c r="X522" s="4"/>
      <c r="Y522" s="4"/>
      <c r="Z522" s="4"/>
    </row>
    <row r="523" ht="9.75" customHeight="1">
      <c r="A523" s="4"/>
      <c r="B523" s="7"/>
      <c r="C523" s="7"/>
      <c r="D523" s="4"/>
      <c r="E523" s="4"/>
      <c r="F523" s="7"/>
      <c r="G523" s="7"/>
      <c r="H523" s="4"/>
      <c r="I523" s="4"/>
      <c r="J523" s="7"/>
      <c r="K523" s="4"/>
      <c r="L523" s="4"/>
      <c r="M523" s="4"/>
      <c r="N523" s="4"/>
      <c r="O523" s="4"/>
      <c r="P523" s="4"/>
      <c r="Q523" s="4"/>
      <c r="R523" s="4"/>
      <c r="S523" s="4"/>
      <c r="T523" s="4"/>
      <c r="U523" s="4"/>
      <c r="V523" s="4"/>
      <c r="W523" s="4"/>
      <c r="X523" s="4"/>
      <c r="Y523" s="4"/>
      <c r="Z523" s="4"/>
    </row>
    <row r="524" ht="9.75" customHeight="1">
      <c r="A524" s="4"/>
      <c r="B524" s="7"/>
      <c r="C524" s="7"/>
      <c r="D524" s="4"/>
      <c r="E524" s="4"/>
      <c r="F524" s="7"/>
      <c r="G524" s="7"/>
      <c r="H524" s="4"/>
      <c r="I524" s="4"/>
      <c r="J524" s="7"/>
      <c r="K524" s="4"/>
      <c r="L524" s="4"/>
      <c r="M524" s="4"/>
      <c r="N524" s="4"/>
      <c r="O524" s="4"/>
      <c r="P524" s="4"/>
      <c r="Q524" s="4"/>
      <c r="R524" s="4"/>
      <c r="S524" s="4"/>
      <c r="T524" s="4"/>
      <c r="U524" s="4"/>
      <c r="V524" s="4"/>
      <c r="W524" s="4"/>
      <c r="X524" s="4"/>
      <c r="Y524" s="4"/>
      <c r="Z524" s="4"/>
    </row>
    <row r="525" ht="9.75" customHeight="1">
      <c r="A525" s="4"/>
      <c r="B525" s="7"/>
      <c r="C525" s="7"/>
      <c r="D525" s="4"/>
      <c r="E525" s="4"/>
      <c r="F525" s="7"/>
      <c r="G525" s="7"/>
      <c r="H525" s="4"/>
      <c r="I525" s="4"/>
      <c r="J525" s="7"/>
      <c r="K525" s="4"/>
      <c r="L525" s="4"/>
      <c r="M525" s="4"/>
      <c r="N525" s="4"/>
      <c r="O525" s="4"/>
      <c r="P525" s="4"/>
      <c r="Q525" s="4"/>
      <c r="R525" s="4"/>
      <c r="S525" s="4"/>
      <c r="T525" s="4"/>
      <c r="U525" s="4"/>
      <c r="V525" s="4"/>
      <c r="W525" s="4"/>
      <c r="X525" s="4"/>
      <c r="Y525" s="4"/>
      <c r="Z525" s="4"/>
    </row>
    <row r="526" ht="9.75" customHeight="1">
      <c r="A526" s="4"/>
      <c r="B526" s="7"/>
      <c r="C526" s="7"/>
      <c r="D526" s="4"/>
      <c r="E526" s="4"/>
      <c r="F526" s="7"/>
      <c r="G526" s="7"/>
      <c r="H526" s="4"/>
      <c r="I526" s="4"/>
      <c r="J526" s="7"/>
      <c r="K526" s="4"/>
      <c r="L526" s="4"/>
      <c r="M526" s="4"/>
      <c r="N526" s="4"/>
      <c r="O526" s="4"/>
      <c r="P526" s="4"/>
      <c r="Q526" s="4"/>
      <c r="R526" s="4"/>
      <c r="S526" s="4"/>
      <c r="T526" s="4"/>
      <c r="U526" s="4"/>
      <c r="V526" s="4"/>
      <c r="W526" s="4"/>
      <c r="X526" s="4"/>
      <c r="Y526" s="4"/>
      <c r="Z526" s="4"/>
    </row>
    <row r="527" ht="9.75" customHeight="1">
      <c r="A527" s="4"/>
      <c r="B527" s="7"/>
      <c r="C527" s="7"/>
      <c r="D527" s="4"/>
      <c r="E527" s="4"/>
      <c r="F527" s="7"/>
      <c r="G527" s="7"/>
      <c r="H527" s="4"/>
      <c r="I527" s="4"/>
      <c r="J527" s="7"/>
      <c r="K527" s="4"/>
      <c r="L527" s="4"/>
      <c r="M527" s="4"/>
      <c r="N527" s="4"/>
      <c r="O527" s="4"/>
      <c r="P527" s="4"/>
      <c r="Q527" s="4"/>
      <c r="R527" s="4"/>
      <c r="S527" s="4"/>
      <c r="T527" s="4"/>
      <c r="U527" s="4"/>
      <c r="V527" s="4"/>
      <c r="W527" s="4"/>
      <c r="X527" s="4"/>
      <c r="Y527" s="4"/>
      <c r="Z527" s="4"/>
    </row>
    <row r="528" ht="9.75" customHeight="1">
      <c r="A528" s="4"/>
      <c r="B528" s="7"/>
      <c r="C528" s="7"/>
      <c r="D528" s="4"/>
      <c r="E528" s="4"/>
      <c r="F528" s="7"/>
      <c r="G528" s="7"/>
      <c r="H528" s="4"/>
      <c r="I528" s="4"/>
      <c r="J528" s="7"/>
      <c r="K528" s="4"/>
      <c r="L528" s="4"/>
      <c r="M528" s="4"/>
      <c r="N528" s="4"/>
      <c r="O528" s="4"/>
      <c r="P528" s="4"/>
      <c r="Q528" s="4"/>
      <c r="R528" s="4"/>
      <c r="S528" s="4"/>
      <c r="T528" s="4"/>
      <c r="U528" s="4"/>
      <c r="V528" s="4"/>
      <c r="W528" s="4"/>
      <c r="X528" s="4"/>
      <c r="Y528" s="4"/>
      <c r="Z528" s="4"/>
    </row>
    <row r="529" ht="9.75" customHeight="1">
      <c r="A529" s="4"/>
      <c r="B529" s="7"/>
      <c r="C529" s="7"/>
      <c r="D529" s="4"/>
      <c r="E529" s="4"/>
      <c r="F529" s="7"/>
      <c r="G529" s="7"/>
      <c r="H529" s="4"/>
      <c r="I529" s="4"/>
      <c r="J529" s="7"/>
      <c r="K529" s="4"/>
      <c r="L529" s="4"/>
      <c r="M529" s="4"/>
      <c r="N529" s="4"/>
      <c r="O529" s="4"/>
      <c r="P529" s="4"/>
      <c r="Q529" s="4"/>
      <c r="R529" s="4"/>
      <c r="S529" s="4"/>
      <c r="T529" s="4"/>
      <c r="U529" s="4"/>
      <c r="V529" s="4"/>
      <c r="W529" s="4"/>
      <c r="X529" s="4"/>
      <c r="Y529" s="4"/>
      <c r="Z529" s="4"/>
    </row>
    <row r="530" ht="9.75" customHeight="1">
      <c r="A530" s="4"/>
      <c r="B530" s="7"/>
      <c r="C530" s="7"/>
      <c r="D530" s="4"/>
      <c r="E530" s="4"/>
      <c r="F530" s="7"/>
      <c r="G530" s="7"/>
      <c r="H530" s="4"/>
      <c r="I530" s="4"/>
      <c r="J530" s="7"/>
      <c r="K530" s="4"/>
      <c r="L530" s="4"/>
      <c r="M530" s="4"/>
      <c r="N530" s="4"/>
      <c r="O530" s="4"/>
      <c r="P530" s="4"/>
      <c r="Q530" s="4"/>
      <c r="R530" s="4"/>
      <c r="S530" s="4"/>
      <c r="T530" s="4"/>
      <c r="U530" s="4"/>
      <c r="V530" s="4"/>
      <c r="W530" s="4"/>
      <c r="X530" s="4"/>
      <c r="Y530" s="4"/>
      <c r="Z530" s="4"/>
    </row>
    <row r="531" ht="9.75" customHeight="1">
      <c r="A531" s="4"/>
      <c r="B531" s="7"/>
      <c r="C531" s="7"/>
      <c r="D531" s="4"/>
      <c r="E531" s="4"/>
      <c r="F531" s="7"/>
      <c r="G531" s="7"/>
      <c r="H531" s="4"/>
      <c r="I531" s="4"/>
      <c r="J531" s="7"/>
      <c r="K531" s="4"/>
      <c r="L531" s="4"/>
      <c r="M531" s="4"/>
      <c r="N531" s="4"/>
      <c r="O531" s="4"/>
      <c r="P531" s="4"/>
      <c r="Q531" s="4"/>
      <c r="R531" s="4"/>
      <c r="S531" s="4"/>
      <c r="T531" s="4"/>
      <c r="U531" s="4"/>
      <c r="V531" s="4"/>
      <c r="W531" s="4"/>
      <c r="X531" s="4"/>
      <c r="Y531" s="4"/>
      <c r="Z531" s="4"/>
    </row>
    <row r="532" ht="9.75" customHeight="1">
      <c r="A532" s="4"/>
      <c r="B532" s="7"/>
      <c r="C532" s="7"/>
      <c r="D532" s="4"/>
      <c r="E532" s="4"/>
      <c r="F532" s="7"/>
      <c r="G532" s="7"/>
      <c r="H532" s="4"/>
      <c r="I532" s="4"/>
      <c r="J532" s="7"/>
      <c r="K532" s="4"/>
      <c r="L532" s="4"/>
      <c r="M532" s="4"/>
      <c r="N532" s="4"/>
      <c r="O532" s="4"/>
      <c r="P532" s="4"/>
      <c r="Q532" s="4"/>
      <c r="R532" s="4"/>
      <c r="S532" s="4"/>
      <c r="T532" s="4"/>
      <c r="U532" s="4"/>
      <c r="V532" s="4"/>
      <c r="W532" s="4"/>
      <c r="X532" s="4"/>
      <c r="Y532" s="4"/>
      <c r="Z532" s="4"/>
    </row>
    <row r="533" ht="9.75" customHeight="1">
      <c r="A533" s="4"/>
      <c r="B533" s="7"/>
      <c r="C533" s="7"/>
      <c r="D533" s="4"/>
      <c r="E533" s="4"/>
      <c r="F533" s="7"/>
      <c r="G533" s="7"/>
      <c r="H533" s="4"/>
      <c r="I533" s="4"/>
      <c r="J533" s="7"/>
      <c r="K533" s="4"/>
      <c r="L533" s="4"/>
      <c r="M533" s="4"/>
      <c r="N533" s="4"/>
      <c r="O533" s="4"/>
      <c r="P533" s="4"/>
      <c r="Q533" s="4"/>
      <c r="R533" s="4"/>
      <c r="S533" s="4"/>
      <c r="T533" s="4"/>
      <c r="U533" s="4"/>
      <c r="V533" s="4"/>
      <c r="W533" s="4"/>
      <c r="X533" s="4"/>
      <c r="Y533" s="4"/>
      <c r="Z533" s="4"/>
    </row>
    <row r="534" ht="9.75" customHeight="1">
      <c r="A534" s="4"/>
      <c r="B534" s="7"/>
      <c r="C534" s="7"/>
      <c r="D534" s="4"/>
      <c r="E534" s="4"/>
      <c r="F534" s="7"/>
      <c r="G534" s="7"/>
      <c r="H534" s="4"/>
      <c r="I534" s="4"/>
      <c r="J534" s="7"/>
      <c r="K534" s="4"/>
      <c r="L534" s="4"/>
      <c r="M534" s="4"/>
      <c r="N534" s="4"/>
      <c r="O534" s="4"/>
      <c r="P534" s="4"/>
      <c r="Q534" s="4"/>
      <c r="R534" s="4"/>
      <c r="S534" s="4"/>
      <c r="T534" s="4"/>
      <c r="U534" s="4"/>
      <c r="V534" s="4"/>
      <c r="W534" s="4"/>
      <c r="X534" s="4"/>
      <c r="Y534" s="4"/>
      <c r="Z534" s="4"/>
    </row>
    <row r="535" ht="9.75" customHeight="1">
      <c r="A535" s="4"/>
      <c r="B535" s="7"/>
      <c r="C535" s="7"/>
      <c r="D535" s="4"/>
      <c r="E535" s="4"/>
      <c r="F535" s="7"/>
      <c r="G535" s="7"/>
      <c r="H535" s="4"/>
      <c r="I535" s="4"/>
      <c r="J535" s="7"/>
      <c r="K535" s="4"/>
      <c r="L535" s="4"/>
      <c r="M535" s="4"/>
      <c r="N535" s="4"/>
      <c r="O535" s="4"/>
      <c r="P535" s="4"/>
      <c r="Q535" s="4"/>
      <c r="R535" s="4"/>
      <c r="S535" s="4"/>
      <c r="T535" s="4"/>
      <c r="U535" s="4"/>
      <c r="V535" s="4"/>
      <c r="W535" s="4"/>
      <c r="X535" s="4"/>
      <c r="Y535" s="4"/>
      <c r="Z535" s="4"/>
    </row>
    <row r="536" ht="9.75" customHeight="1">
      <c r="A536" s="4"/>
      <c r="B536" s="7"/>
      <c r="C536" s="7"/>
      <c r="D536" s="4"/>
      <c r="E536" s="4"/>
      <c r="F536" s="7"/>
      <c r="G536" s="7"/>
      <c r="H536" s="4"/>
      <c r="I536" s="4"/>
      <c r="J536" s="7"/>
      <c r="K536" s="4"/>
      <c r="L536" s="4"/>
      <c r="M536" s="4"/>
      <c r="N536" s="4"/>
      <c r="O536" s="4"/>
      <c r="P536" s="4"/>
      <c r="Q536" s="4"/>
      <c r="R536" s="4"/>
      <c r="S536" s="4"/>
      <c r="T536" s="4"/>
      <c r="U536" s="4"/>
      <c r="V536" s="4"/>
      <c r="W536" s="4"/>
      <c r="X536" s="4"/>
      <c r="Y536" s="4"/>
      <c r="Z536" s="4"/>
    </row>
    <row r="537" ht="9.75" customHeight="1">
      <c r="A537" s="4"/>
      <c r="B537" s="7"/>
      <c r="C537" s="7"/>
      <c r="D537" s="4"/>
      <c r="E537" s="4"/>
      <c r="F537" s="7"/>
      <c r="G537" s="7"/>
      <c r="H537" s="4"/>
      <c r="I537" s="4"/>
      <c r="J537" s="7"/>
      <c r="K537" s="4"/>
      <c r="L537" s="4"/>
      <c r="M537" s="4"/>
      <c r="N537" s="4"/>
      <c r="O537" s="4"/>
      <c r="P537" s="4"/>
      <c r="Q537" s="4"/>
      <c r="R537" s="4"/>
      <c r="S537" s="4"/>
      <c r="T537" s="4"/>
      <c r="U537" s="4"/>
      <c r="V537" s="4"/>
      <c r="W537" s="4"/>
      <c r="X537" s="4"/>
      <c r="Y537" s="4"/>
      <c r="Z537" s="4"/>
    </row>
    <row r="538" ht="9.75" customHeight="1">
      <c r="A538" s="4"/>
      <c r="B538" s="7"/>
      <c r="C538" s="7"/>
      <c r="D538" s="4"/>
      <c r="E538" s="4"/>
      <c r="F538" s="7"/>
      <c r="G538" s="7"/>
      <c r="H538" s="4"/>
      <c r="I538" s="4"/>
      <c r="J538" s="7"/>
      <c r="K538" s="4"/>
      <c r="L538" s="4"/>
      <c r="M538" s="4"/>
      <c r="N538" s="4"/>
      <c r="O538" s="4"/>
      <c r="P538" s="4"/>
      <c r="Q538" s="4"/>
      <c r="R538" s="4"/>
      <c r="S538" s="4"/>
      <c r="T538" s="4"/>
      <c r="U538" s="4"/>
      <c r="V538" s="4"/>
      <c r="W538" s="4"/>
      <c r="X538" s="4"/>
      <c r="Y538" s="4"/>
      <c r="Z538" s="4"/>
    </row>
    <row r="539" ht="9.75" customHeight="1">
      <c r="A539" s="4"/>
      <c r="B539" s="7"/>
      <c r="C539" s="7"/>
      <c r="D539" s="4"/>
      <c r="E539" s="4"/>
      <c r="F539" s="7"/>
      <c r="G539" s="7"/>
      <c r="H539" s="4"/>
      <c r="I539" s="4"/>
      <c r="J539" s="7"/>
      <c r="K539" s="4"/>
      <c r="L539" s="4"/>
      <c r="M539" s="4"/>
      <c r="N539" s="4"/>
      <c r="O539" s="4"/>
      <c r="P539" s="4"/>
      <c r="Q539" s="4"/>
      <c r="R539" s="4"/>
      <c r="S539" s="4"/>
      <c r="T539" s="4"/>
      <c r="U539" s="4"/>
      <c r="V539" s="4"/>
      <c r="W539" s="4"/>
      <c r="X539" s="4"/>
      <c r="Y539" s="4"/>
      <c r="Z539" s="4"/>
    </row>
    <row r="540" ht="9.75" customHeight="1">
      <c r="A540" s="4"/>
      <c r="B540" s="7"/>
      <c r="C540" s="7"/>
      <c r="D540" s="4"/>
      <c r="E540" s="4"/>
      <c r="F540" s="7"/>
      <c r="G540" s="7"/>
      <c r="H540" s="4"/>
      <c r="I540" s="4"/>
      <c r="J540" s="7"/>
      <c r="K540" s="4"/>
      <c r="L540" s="4"/>
      <c r="M540" s="4"/>
      <c r="N540" s="4"/>
      <c r="O540" s="4"/>
      <c r="P540" s="4"/>
      <c r="Q540" s="4"/>
      <c r="R540" s="4"/>
      <c r="S540" s="4"/>
      <c r="T540" s="4"/>
      <c r="U540" s="4"/>
      <c r="V540" s="4"/>
      <c r="W540" s="4"/>
      <c r="X540" s="4"/>
      <c r="Y540" s="4"/>
      <c r="Z540" s="4"/>
    </row>
    <row r="541" ht="9.75" customHeight="1">
      <c r="A541" s="4"/>
      <c r="B541" s="7"/>
      <c r="C541" s="7"/>
      <c r="D541" s="4"/>
      <c r="E541" s="4"/>
      <c r="F541" s="7"/>
      <c r="G541" s="7"/>
      <c r="H541" s="4"/>
      <c r="I541" s="4"/>
      <c r="J541" s="7"/>
      <c r="K541" s="4"/>
      <c r="L541" s="4"/>
      <c r="M541" s="4"/>
      <c r="N541" s="4"/>
      <c r="O541" s="4"/>
      <c r="P541" s="4"/>
      <c r="Q541" s="4"/>
      <c r="R541" s="4"/>
      <c r="S541" s="4"/>
      <c r="T541" s="4"/>
      <c r="U541" s="4"/>
      <c r="V541" s="4"/>
      <c r="W541" s="4"/>
      <c r="X541" s="4"/>
      <c r="Y541" s="4"/>
      <c r="Z541" s="4"/>
    </row>
    <row r="542" ht="9.75" customHeight="1">
      <c r="A542" s="4"/>
      <c r="B542" s="7"/>
      <c r="C542" s="7"/>
      <c r="D542" s="4"/>
      <c r="E542" s="4"/>
      <c r="F542" s="7"/>
      <c r="G542" s="7"/>
      <c r="H542" s="4"/>
      <c r="I542" s="4"/>
      <c r="J542" s="7"/>
      <c r="K542" s="4"/>
      <c r="L542" s="4"/>
      <c r="M542" s="4"/>
      <c r="N542" s="4"/>
      <c r="O542" s="4"/>
      <c r="P542" s="4"/>
      <c r="Q542" s="4"/>
      <c r="R542" s="4"/>
      <c r="S542" s="4"/>
      <c r="T542" s="4"/>
      <c r="U542" s="4"/>
      <c r="V542" s="4"/>
      <c r="W542" s="4"/>
      <c r="X542" s="4"/>
      <c r="Y542" s="4"/>
      <c r="Z542" s="4"/>
    </row>
    <row r="543" ht="9.75" customHeight="1">
      <c r="A543" s="4"/>
      <c r="B543" s="7"/>
      <c r="C543" s="7"/>
      <c r="D543" s="4"/>
      <c r="E543" s="4"/>
      <c r="F543" s="7"/>
      <c r="G543" s="7"/>
      <c r="H543" s="4"/>
      <c r="I543" s="4"/>
      <c r="J543" s="7"/>
      <c r="K543" s="4"/>
      <c r="L543" s="4"/>
      <c r="M543" s="4"/>
      <c r="N543" s="4"/>
      <c r="O543" s="4"/>
      <c r="P543" s="4"/>
      <c r="Q543" s="4"/>
      <c r="R543" s="4"/>
      <c r="S543" s="4"/>
      <c r="T543" s="4"/>
      <c r="U543" s="4"/>
      <c r="V543" s="4"/>
      <c r="W543" s="4"/>
      <c r="X543" s="4"/>
      <c r="Y543" s="4"/>
      <c r="Z543" s="4"/>
    </row>
    <row r="544" ht="9.75" customHeight="1">
      <c r="A544" s="4"/>
      <c r="B544" s="7"/>
      <c r="C544" s="7"/>
      <c r="D544" s="4"/>
      <c r="E544" s="4"/>
      <c r="F544" s="7"/>
      <c r="G544" s="7"/>
      <c r="H544" s="4"/>
      <c r="I544" s="4"/>
      <c r="J544" s="7"/>
      <c r="K544" s="4"/>
      <c r="L544" s="4"/>
      <c r="M544" s="4"/>
      <c r="N544" s="4"/>
      <c r="O544" s="4"/>
      <c r="P544" s="4"/>
      <c r="Q544" s="4"/>
      <c r="R544" s="4"/>
      <c r="S544" s="4"/>
      <c r="T544" s="4"/>
      <c r="U544" s="4"/>
      <c r="V544" s="4"/>
      <c r="W544" s="4"/>
      <c r="X544" s="4"/>
      <c r="Y544" s="4"/>
      <c r="Z544" s="4"/>
    </row>
    <row r="545" ht="9.75" customHeight="1">
      <c r="A545" s="4"/>
      <c r="B545" s="7"/>
      <c r="C545" s="7"/>
      <c r="D545" s="4"/>
      <c r="E545" s="4"/>
      <c r="F545" s="7"/>
      <c r="G545" s="7"/>
      <c r="H545" s="4"/>
      <c r="I545" s="4"/>
      <c r="J545" s="7"/>
      <c r="K545" s="4"/>
      <c r="L545" s="4"/>
      <c r="M545" s="4"/>
      <c r="N545" s="4"/>
      <c r="O545" s="4"/>
      <c r="P545" s="4"/>
      <c r="Q545" s="4"/>
      <c r="R545" s="4"/>
      <c r="S545" s="4"/>
      <c r="T545" s="4"/>
      <c r="U545" s="4"/>
      <c r="V545" s="4"/>
      <c r="W545" s="4"/>
      <c r="X545" s="4"/>
      <c r="Y545" s="4"/>
      <c r="Z545" s="4"/>
    </row>
    <row r="546" ht="9.75" customHeight="1">
      <c r="A546" s="4"/>
      <c r="B546" s="7"/>
      <c r="C546" s="7"/>
      <c r="D546" s="4"/>
      <c r="E546" s="4"/>
      <c r="F546" s="7"/>
      <c r="G546" s="7"/>
      <c r="H546" s="4"/>
      <c r="I546" s="4"/>
      <c r="J546" s="7"/>
      <c r="K546" s="4"/>
      <c r="L546" s="4"/>
      <c r="M546" s="4"/>
      <c r="N546" s="4"/>
      <c r="O546" s="4"/>
      <c r="P546" s="4"/>
      <c r="Q546" s="4"/>
      <c r="R546" s="4"/>
      <c r="S546" s="4"/>
      <c r="T546" s="4"/>
      <c r="U546" s="4"/>
      <c r="V546" s="4"/>
      <c r="W546" s="4"/>
      <c r="X546" s="4"/>
      <c r="Y546" s="4"/>
      <c r="Z546" s="4"/>
    </row>
    <row r="547" ht="9.75" customHeight="1">
      <c r="A547" s="4"/>
      <c r="B547" s="7"/>
      <c r="C547" s="7"/>
      <c r="D547" s="4"/>
      <c r="E547" s="4"/>
      <c r="F547" s="7"/>
      <c r="G547" s="7"/>
      <c r="H547" s="4"/>
      <c r="I547" s="4"/>
      <c r="J547" s="7"/>
      <c r="K547" s="4"/>
      <c r="L547" s="4"/>
      <c r="M547" s="4"/>
      <c r="N547" s="4"/>
      <c r="O547" s="4"/>
      <c r="P547" s="4"/>
      <c r="Q547" s="4"/>
      <c r="R547" s="4"/>
      <c r="S547" s="4"/>
      <c r="T547" s="4"/>
      <c r="U547" s="4"/>
      <c r="V547" s="4"/>
      <c r="W547" s="4"/>
      <c r="X547" s="4"/>
      <c r="Y547" s="4"/>
      <c r="Z547" s="4"/>
    </row>
    <row r="548" ht="9.75" customHeight="1">
      <c r="A548" s="4"/>
      <c r="B548" s="7"/>
      <c r="C548" s="7"/>
      <c r="D548" s="4"/>
      <c r="E548" s="4"/>
      <c r="F548" s="7"/>
      <c r="G548" s="7"/>
      <c r="H548" s="4"/>
      <c r="I548" s="4"/>
      <c r="J548" s="7"/>
      <c r="K548" s="4"/>
      <c r="L548" s="4"/>
      <c r="M548" s="4"/>
      <c r="N548" s="4"/>
      <c r="O548" s="4"/>
      <c r="P548" s="4"/>
      <c r="Q548" s="4"/>
      <c r="R548" s="4"/>
      <c r="S548" s="4"/>
      <c r="T548" s="4"/>
      <c r="U548" s="4"/>
      <c r="V548" s="4"/>
      <c r="W548" s="4"/>
      <c r="X548" s="4"/>
      <c r="Y548" s="4"/>
      <c r="Z548" s="4"/>
    </row>
    <row r="549" ht="9.75" customHeight="1">
      <c r="A549" s="4"/>
      <c r="B549" s="7"/>
      <c r="C549" s="7"/>
      <c r="D549" s="4"/>
      <c r="E549" s="4"/>
      <c r="F549" s="7"/>
      <c r="G549" s="7"/>
      <c r="H549" s="4"/>
      <c r="I549" s="4"/>
      <c r="J549" s="7"/>
      <c r="K549" s="4"/>
      <c r="L549" s="4"/>
      <c r="M549" s="4"/>
      <c r="N549" s="4"/>
      <c r="O549" s="4"/>
      <c r="P549" s="4"/>
      <c r="Q549" s="4"/>
      <c r="R549" s="4"/>
      <c r="S549" s="4"/>
      <c r="T549" s="4"/>
      <c r="U549" s="4"/>
      <c r="V549" s="4"/>
      <c r="W549" s="4"/>
      <c r="X549" s="4"/>
      <c r="Y549" s="4"/>
      <c r="Z549" s="4"/>
    </row>
    <row r="550" ht="9.75" customHeight="1">
      <c r="A550" s="4"/>
      <c r="B550" s="7"/>
      <c r="C550" s="7"/>
      <c r="D550" s="4"/>
      <c r="E550" s="4"/>
      <c r="F550" s="7"/>
      <c r="G550" s="7"/>
      <c r="H550" s="4"/>
      <c r="I550" s="4"/>
      <c r="J550" s="7"/>
      <c r="K550" s="4"/>
      <c r="L550" s="4"/>
      <c r="M550" s="4"/>
      <c r="N550" s="4"/>
      <c r="O550" s="4"/>
      <c r="P550" s="4"/>
      <c r="Q550" s="4"/>
      <c r="R550" s="4"/>
      <c r="S550" s="4"/>
      <c r="T550" s="4"/>
      <c r="U550" s="4"/>
      <c r="V550" s="4"/>
      <c r="W550" s="4"/>
      <c r="X550" s="4"/>
      <c r="Y550" s="4"/>
      <c r="Z550" s="4"/>
    </row>
    <row r="551" ht="9.75" customHeight="1">
      <c r="A551" s="4"/>
      <c r="B551" s="7"/>
      <c r="C551" s="7"/>
      <c r="D551" s="4"/>
      <c r="E551" s="4"/>
      <c r="F551" s="7"/>
      <c r="G551" s="7"/>
      <c r="H551" s="4"/>
      <c r="I551" s="4"/>
      <c r="J551" s="7"/>
      <c r="K551" s="4"/>
      <c r="L551" s="4"/>
      <c r="M551" s="4"/>
      <c r="N551" s="4"/>
      <c r="O551" s="4"/>
      <c r="P551" s="4"/>
      <c r="Q551" s="4"/>
      <c r="R551" s="4"/>
      <c r="S551" s="4"/>
      <c r="T551" s="4"/>
      <c r="U551" s="4"/>
      <c r="V551" s="4"/>
      <c r="W551" s="4"/>
      <c r="X551" s="4"/>
      <c r="Y551" s="4"/>
      <c r="Z551" s="4"/>
    </row>
    <row r="552" ht="9.75" customHeight="1">
      <c r="A552" s="4"/>
      <c r="B552" s="7"/>
      <c r="C552" s="7"/>
      <c r="D552" s="4"/>
      <c r="E552" s="4"/>
      <c r="F552" s="7"/>
      <c r="G552" s="7"/>
      <c r="H552" s="4"/>
      <c r="I552" s="4"/>
      <c r="J552" s="7"/>
      <c r="K552" s="4"/>
      <c r="L552" s="4"/>
      <c r="M552" s="4"/>
      <c r="N552" s="4"/>
      <c r="O552" s="4"/>
      <c r="P552" s="4"/>
      <c r="Q552" s="4"/>
      <c r="R552" s="4"/>
      <c r="S552" s="4"/>
      <c r="T552" s="4"/>
      <c r="U552" s="4"/>
      <c r="V552" s="4"/>
      <c r="W552" s="4"/>
      <c r="X552" s="4"/>
      <c r="Y552" s="4"/>
      <c r="Z552" s="4"/>
    </row>
    <row r="553" ht="9.75" customHeight="1">
      <c r="A553" s="4"/>
      <c r="B553" s="7"/>
      <c r="C553" s="7"/>
      <c r="D553" s="4"/>
      <c r="E553" s="4"/>
      <c r="F553" s="7"/>
      <c r="G553" s="7"/>
      <c r="H553" s="4"/>
      <c r="I553" s="4"/>
      <c r="J553" s="7"/>
      <c r="K553" s="4"/>
      <c r="L553" s="4"/>
      <c r="M553" s="4"/>
      <c r="N553" s="4"/>
      <c r="O553" s="4"/>
      <c r="P553" s="4"/>
      <c r="Q553" s="4"/>
      <c r="R553" s="4"/>
      <c r="S553" s="4"/>
      <c r="T553" s="4"/>
      <c r="U553" s="4"/>
      <c r="V553" s="4"/>
      <c r="W553" s="4"/>
      <c r="X553" s="4"/>
      <c r="Y553" s="4"/>
      <c r="Z553" s="4"/>
    </row>
    <row r="554" ht="9.75" customHeight="1">
      <c r="A554" s="4"/>
      <c r="B554" s="7"/>
      <c r="C554" s="7"/>
      <c r="D554" s="4"/>
      <c r="E554" s="4"/>
      <c r="F554" s="7"/>
      <c r="G554" s="7"/>
      <c r="H554" s="4"/>
      <c r="I554" s="4"/>
      <c r="J554" s="7"/>
      <c r="K554" s="4"/>
      <c r="L554" s="4"/>
      <c r="M554" s="4"/>
      <c r="N554" s="4"/>
      <c r="O554" s="4"/>
      <c r="P554" s="4"/>
      <c r="Q554" s="4"/>
      <c r="R554" s="4"/>
      <c r="S554" s="4"/>
      <c r="T554" s="4"/>
      <c r="U554" s="4"/>
      <c r="V554" s="4"/>
      <c r="W554" s="4"/>
      <c r="X554" s="4"/>
      <c r="Y554" s="4"/>
      <c r="Z554" s="4"/>
    </row>
    <row r="555" ht="9.75" customHeight="1">
      <c r="A555" s="4"/>
      <c r="B555" s="7"/>
      <c r="C555" s="7"/>
      <c r="D555" s="4"/>
      <c r="E555" s="4"/>
      <c r="F555" s="7"/>
      <c r="G555" s="7"/>
      <c r="H555" s="4"/>
      <c r="I555" s="4"/>
      <c r="J555" s="7"/>
      <c r="K555" s="4"/>
      <c r="L555" s="4"/>
      <c r="M555" s="4"/>
      <c r="N555" s="4"/>
      <c r="O555" s="4"/>
      <c r="P555" s="4"/>
      <c r="Q555" s="4"/>
      <c r="R555" s="4"/>
      <c r="S555" s="4"/>
      <c r="T555" s="4"/>
      <c r="U555" s="4"/>
      <c r="V555" s="4"/>
      <c r="W555" s="4"/>
      <c r="X555" s="4"/>
      <c r="Y555" s="4"/>
      <c r="Z555" s="4"/>
    </row>
    <row r="556" ht="9.75" customHeight="1">
      <c r="A556" s="4"/>
      <c r="B556" s="7"/>
      <c r="C556" s="7"/>
      <c r="D556" s="4"/>
      <c r="E556" s="4"/>
      <c r="F556" s="7"/>
      <c r="G556" s="7"/>
      <c r="H556" s="4"/>
      <c r="I556" s="4"/>
      <c r="J556" s="7"/>
      <c r="K556" s="4"/>
      <c r="L556" s="4"/>
      <c r="M556" s="4"/>
      <c r="N556" s="4"/>
      <c r="O556" s="4"/>
      <c r="P556" s="4"/>
      <c r="Q556" s="4"/>
      <c r="R556" s="4"/>
      <c r="S556" s="4"/>
      <c r="T556" s="4"/>
      <c r="U556" s="4"/>
      <c r="V556" s="4"/>
      <c r="W556" s="4"/>
      <c r="X556" s="4"/>
      <c r="Y556" s="4"/>
      <c r="Z556" s="4"/>
    </row>
    <row r="557" ht="9.75" customHeight="1">
      <c r="A557" s="4"/>
      <c r="B557" s="7"/>
      <c r="C557" s="7"/>
      <c r="D557" s="4"/>
      <c r="E557" s="4"/>
      <c r="F557" s="7"/>
      <c r="G557" s="7"/>
      <c r="H557" s="4"/>
      <c r="I557" s="4"/>
      <c r="J557" s="7"/>
      <c r="K557" s="4"/>
      <c r="L557" s="4"/>
      <c r="M557" s="4"/>
      <c r="N557" s="4"/>
      <c r="O557" s="4"/>
      <c r="P557" s="4"/>
      <c r="Q557" s="4"/>
      <c r="R557" s="4"/>
      <c r="S557" s="4"/>
      <c r="T557" s="4"/>
      <c r="U557" s="4"/>
      <c r="V557" s="4"/>
      <c r="W557" s="4"/>
      <c r="X557" s="4"/>
      <c r="Y557" s="4"/>
      <c r="Z557" s="4"/>
    </row>
    <row r="558" ht="9.75" customHeight="1">
      <c r="A558" s="4"/>
      <c r="B558" s="7"/>
      <c r="C558" s="7"/>
      <c r="D558" s="4"/>
      <c r="E558" s="4"/>
      <c r="F558" s="7"/>
      <c r="G558" s="7"/>
      <c r="H558" s="4"/>
      <c r="I558" s="4"/>
      <c r="J558" s="7"/>
      <c r="K558" s="4"/>
      <c r="L558" s="4"/>
      <c r="M558" s="4"/>
      <c r="N558" s="4"/>
      <c r="O558" s="4"/>
      <c r="P558" s="4"/>
      <c r="Q558" s="4"/>
      <c r="R558" s="4"/>
      <c r="S558" s="4"/>
      <c r="T558" s="4"/>
      <c r="U558" s="4"/>
      <c r="V558" s="4"/>
      <c r="W558" s="4"/>
      <c r="X558" s="4"/>
      <c r="Y558" s="4"/>
      <c r="Z558" s="4"/>
    </row>
    <row r="559" ht="9.75" customHeight="1">
      <c r="A559" s="4"/>
      <c r="B559" s="7"/>
      <c r="C559" s="7"/>
      <c r="D559" s="4"/>
      <c r="E559" s="4"/>
      <c r="F559" s="7"/>
      <c r="G559" s="7"/>
      <c r="H559" s="4"/>
      <c r="I559" s="4"/>
      <c r="J559" s="7"/>
      <c r="K559" s="4"/>
      <c r="L559" s="4"/>
      <c r="M559" s="4"/>
      <c r="N559" s="4"/>
      <c r="O559" s="4"/>
      <c r="P559" s="4"/>
      <c r="Q559" s="4"/>
      <c r="R559" s="4"/>
      <c r="S559" s="4"/>
      <c r="T559" s="4"/>
      <c r="U559" s="4"/>
      <c r="V559" s="4"/>
      <c r="W559" s="4"/>
      <c r="X559" s="4"/>
      <c r="Y559" s="4"/>
      <c r="Z559" s="4"/>
    </row>
    <row r="560" ht="9.75" customHeight="1">
      <c r="A560" s="4"/>
      <c r="B560" s="7"/>
      <c r="C560" s="7"/>
      <c r="D560" s="4"/>
      <c r="E560" s="4"/>
      <c r="F560" s="7"/>
      <c r="G560" s="7"/>
      <c r="H560" s="4"/>
      <c r="I560" s="4"/>
      <c r="J560" s="7"/>
      <c r="K560" s="4"/>
      <c r="L560" s="4"/>
      <c r="M560" s="4"/>
      <c r="N560" s="4"/>
      <c r="O560" s="4"/>
      <c r="P560" s="4"/>
      <c r="Q560" s="4"/>
      <c r="R560" s="4"/>
      <c r="S560" s="4"/>
      <c r="T560" s="4"/>
      <c r="U560" s="4"/>
      <c r="V560" s="4"/>
      <c r="W560" s="4"/>
      <c r="X560" s="4"/>
      <c r="Y560" s="4"/>
      <c r="Z560" s="4"/>
    </row>
    <row r="561" ht="9.75" customHeight="1">
      <c r="A561" s="4"/>
      <c r="B561" s="7"/>
      <c r="C561" s="7"/>
      <c r="D561" s="4"/>
      <c r="E561" s="4"/>
      <c r="F561" s="7"/>
      <c r="G561" s="7"/>
      <c r="H561" s="4"/>
      <c r="I561" s="4"/>
      <c r="J561" s="7"/>
      <c r="K561" s="4"/>
      <c r="L561" s="4"/>
      <c r="M561" s="4"/>
      <c r="N561" s="4"/>
      <c r="O561" s="4"/>
      <c r="P561" s="4"/>
      <c r="Q561" s="4"/>
      <c r="R561" s="4"/>
      <c r="S561" s="4"/>
      <c r="T561" s="4"/>
      <c r="U561" s="4"/>
      <c r="V561" s="4"/>
      <c r="W561" s="4"/>
      <c r="X561" s="4"/>
      <c r="Y561" s="4"/>
      <c r="Z561" s="4"/>
    </row>
    <row r="562" ht="9.75" customHeight="1">
      <c r="A562" s="4"/>
      <c r="B562" s="7"/>
      <c r="C562" s="7"/>
      <c r="D562" s="4"/>
      <c r="E562" s="4"/>
      <c r="F562" s="7"/>
      <c r="G562" s="7"/>
      <c r="H562" s="4"/>
      <c r="I562" s="4"/>
      <c r="J562" s="7"/>
      <c r="K562" s="4"/>
      <c r="L562" s="4"/>
      <c r="M562" s="4"/>
      <c r="N562" s="4"/>
      <c r="O562" s="4"/>
      <c r="P562" s="4"/>
      <c r="Q562" s="4"/>
      <c r="R562" s="4"/>
      <c r="S562" s="4"/>
      <c r="T562" s="4"/>
      <c r="U562" s="4"/>
      <c r="V562" s="4"/>
      <c r="W562" s="4"/>
      <c r="X562" s="4"/>
      <c r="Y562" s="4"/>
      <c r="Z562" s="4"/>
    </row>
    <row r="563" ht="9.75" customHeight="1">
      <c r="A563" s="4"/>
      <c r="B563" s="7"/>
      <c r="C563" s="7"/>
      <c r="D563" s="4"/>
      <c r="E563" s="4"/>
      <c r="F563" s="7"/>
      <c r="G563" s="7"/>
      <c r="H563" s="4"/>
      <c r="I563" s="4"/>
      <c r="J563" s="7"/>
      <c r="K563" s="4"/>
      <c r="L563" s="4"/>
      <c r="M563" s="4"/>
      <c r="N563" s="4"/>
      <c r="O563" s="4"/>
      <c r="P563" s="4"/>
      <c r="Q563" s="4"/>
      <c r="R563" s="4"/>
      <c r="S563" s="4"/>
      <c r="T563" s="4"/>
      <c r="U563" s="4"/>
      <c r="V563" s="4"/>
      <c r="W563" s="4"/>
      <c r="X563" s="4"/>
      <c r="Y563" s="4"/>
      <c r="Z563" s="4"/>
    </row>
    <row r="564" ht="9.75" customHeight="1">
      <c r="A564" s="4"/>
      <c r="B564" s="7"/>
      <c r="C564" s="7"/>
      <c r="D564" s="4"/>
      <c r="E564" s="4"/>
      <c r="F564" s="7"/>
      <c r="G564" s="7"/>
      <c r="H564" s="4"/>
      <c r="I564" s="4"/>
      <c r="J564" s="7"/>
      <c r="K564" s="4"/>
      <c r="L564" s="4"/>
      <c r="M564" s="4"/>
      <c r="N564" s="4"/>
      <c r="O564" s="4"/>
      <c r="P564" s="4"/>
      <c r="Q564" s="4"/>
      <c r="R564" s="4"/>
      <c r="S564" s="4"/>
      <c r="T564" s="4"/>
      <c r="U564" s="4"/>
      <c r="V564" s="4"/>
      <c r="W564" s="4"/>
      <c r="X564" s="4"/>
      <c r="Y564" s="4"/>
      <c r="Z564" s="4"/>
    </row>
    <row r="565" ht="9.75" customHeight="1">
      <c r="A565" s="4"/>
      <c r="B565" s="7"/>
      <c r="C565" s="7"/>
      <c r="D565" s="4"/>
      <c r="E565" s="4"/>
      <c r="F565" s="7"/>
      <c r="G565" s="7"/>
      <c r="H565" s="4"/>
      <c r="I565" s="4"/>
      <c r="J565" s="7"/>
      <c r="K565" s="4"/>
      <c r="L565" s="4"/>
      <c r="M565" s="4"/>
      <c r="N565" s="4"/>
      <c r="O565" s="4"/>
      <c r="P565" s="4"/>
      <c r="Q565" s="4"/>
      <c r="R565" s="4"/>
      <c r="S565" s="4"/>
      <c r="T565" s="4"/>
      <c r="U565" s="4"/>
      <c r="V565" s="4"/>
      <c r="W565" s="4"/>
      <c r="X565" s="4"/>
      <c r="Y565" s="4"/>
      <c r="Z565" s="4"/>
    </row>
    <row r="566" ht="9.75" customHeight="1">
      <c r="A566" s="4"/>
      <c r="B566" s="7"/>
      <c r="C566" s="7"/>
      <c r="D566" s="4"/>
      <c r="E566" s="4"/>
      <c r="F566" s="7"/>
      <c r="G566" s="7"/>
      <c r="H566" s="4"/>
      <c r="I566" s="4"/>
      <c r="J566" s="7"/>
      <c r="K566" s="4"/>
      <c r="L566" s="4"/>
      <c r="M566" s="4"/>
      <c r="N566" s="4"/>
      <c r="O566" s="4"/>
      <c r="P566" s="4"/>
      <c r="Q566" s="4"/>
      <c r="R566" s="4"/>
      <c r="S566" s="4"/>
      <c r="T566" s="4"/>
      <c r="U566" s="4"/>
      <c r="V566" s="4"/>
      <c r="W566" s="4"/>
      <c r="X566" s="4"/>
      <c r="Y566" s="4"/>
      <c r="Z566" s="4"/>
    </row>
    <row r="567" ht="9.75" customHeight="1">
      <c r="A567" s="4"/>
      <c r="B567" s="7"/>
      <c r="C567" s="7"/>
      <c r="D567" s="4"/>
      <c r="E567" s="4"/>
      <c r="F567" s="7"/>
      <c r="G567" s="7"/>
      <c r="H567" s="4"/>
      <c r="I567" s="4"/>
      <c r="J567" s="7"/>
      <c r="K567" s="4"/>
      <c r="L567" s="4"/>
      <c r="M567" s="4"/>
      <c r="N567" s="4"/>
      <c r="O567" s="4"/>
      <c r="P567" s="4"/>
      <c r="Q567" s="4"/>
      <c r="R567" s="4"/>
      <c r="S567" s="4"/>
      <c r="T567" s="4"/>
      <c r="U567" s="4"/>
      <c r="V567" s="4"/>
      <c r="W567" s="4"/>
      <c r="X567" s="4"/>
      <c r="Y567" s="4"/>
      <c r="Z567" s="4"/>
    </row>
    <row r="568" ht="9.75" customHeight="1">
      <c r="A568" s="4"/>
      <c r="B568" s="7"/>
      <c r="C568" s="7"/>
      <c r="D568" s="4"/>
      <c r="E568" s="4"/>
      <c r="F568" s="7"/>
      <c r="G568" s="7"/>
      <c r="H568" s="4"/>
      <c r="I568" s="4"/>
      <c r="J568" s="7"/>
      <c r="K568" s="4"/>
      <c r="L568" s="4"/>
      <c r="M568" s="4"/>
      <c r="N568" s="4"/>
      <c r="O568" s="4"/>
      <c r="P568" s="4"/>
      <c r="Q568" s="4"/>
      <c r="R568" s="4"/>
      <c r="S568" s="4"/>
      <c r="T568" s="4"/>
      <c r="U568" s="4"/>
      <c r="V568" s="4"/>
      <c r="W568" s="4"/>
      <c r="X568" s="4"/>
      <c r="Y568" s="4"/>
      <c r="Z568" s="4"/>
    </row>
    <row r="569" ht="9.75" customHeight="1">
      <c r="A569" s="4"/>
      <c r="B569" s="7"/>
      <c r="C569" s="7"/>
      <c r="D569" s="4"/>
      <c r="E569" s="4"/>
      <c r="F569" s="7"/>
      <c r="G569" s="7"/>
      <c r="H569" s="4"/>
      <c r="I569" s="4"/>
      <c r="J569" s="7"/>
      <c r="K569" s="4"/>
      <c r="L569" s="4"/>
      <c r="M569" s="4"/>
      <c r="N569" s="4"/>
      <c r="O569" s="4"/>
      <c r="P569" s="4"/>
      <c r="Q569" s="4"/>
      <c r="R569" s="4"/>
      <c r="S569" s="4"/>
      <c r="T569" s="4"/>
      <c r="U569" s="4"/>
      <c r="V569" s="4"/>
      <c r="W569" s="4"/>
      <c r="X569" s="4"/>
      <c r="Y569" s="4"/>
      <c r="Z569" s="4"/>
    </row>
    <row r="570" ht="9.75" customHeight="1">
      <c r="A570" s="4"/>
      <c r="B570" s="7"/>
      <c r="C570" s="7"/>
      <c r="D570" s="4"/>
      <c r="E570" s="4"/>
      <c r="F570" s="7"/>
      <c r="G570" s="7"/>
      <c r="H570" s="4"/>
      <c r="I570" s="4"/>
      <c r="J570" s="7"/>
      <c r="K570" s="4"/>
      <c r="L570" s="4"/>
      <c r="M570" s="4"/>
      <c r="N570" s="4"/>
      <c r="O570" s="4"/>
      <c r="P570" s="4"/>
      <c r="Q570" s="4"/>
      <c r="R570" s="4"/>
      <c r="S570" s="4"/>
      <c r="T570" s="4"/>
      <c r="U570" s="4"/>
      <c r="V570" s="4"/>
      <c r="W570" s="4"/>
      <c r="X570" s="4"/>
      <c r="Y570" s="4"/>
      <c r="Z570" s="4"/>
    </row>
    <row r="571" ht="9.75" customHeight="1">
      <c r="A571" s="4"/>
      <c r="B571" s="7"/>
      <c r="C571" s="7"/>
      <c r="D571" s="4"/>
      <c r="E571" s="4"/>
      <c r="F571" s="7"/>
      <c r="G571" s="7"/>
      <c r="H571" s="4"/>
      <c r="I571" s="4"/>
      <c r="J571" s="7"/>
      <c r="K571" s="4"/>
      <c r="L571" s="4"/>
      <c r="M571" s="4"/>
      <c r="N571" s="4"/>
      <c r="O571" s="4"/>
      <c r="P571" s="4"/>
      <c r="Q571" s="4"/>
      <c r="R571" s="4"/>
      <c r="S571" s="4"/>
      <c r="T571" s="4"/>
      <c r="U571" s="4"/>
      <c r="V571" s="4"/>
      <c r="W571" s="4"/>
      <c r="X571" s="4"/>
      <c r="Y571" s="4"/>
      <c r="Z571" s="4"/>
    </row>
    <row r="572" ht="9.75" customHeight="1">
      <c r="A572" s="4"/>
      <c r="B572" s="7"/>
      <c r="C572" s="7"/>
      <c r="D572" s="4"/>
      <c r="E572" s="4"/>
      <c r="F572" s="7"/>
      <c r="G572" s="7"/>
      <c r="H572" s="4"/>
      <c r="I572" s="4"/>
      <c r="J572" s="7"/>
      <c r="K572" s="4"/>
      <c r="L572" s="4"/>
      <c r="M572" s="4"/>
      <c r="N572" s="4"/>
      <c r="O572" s="4"/>
      <c r="P572" s="4"/>
      <c r="Q572" s="4"/>
      <c r="R572" s="4"/>
      <c r="S572" s="4"/>
      <c r="T572" s="4"/>
      <c r="U572" s="4"/>
      <c r="V572" s="4"/>
      <c r="W572" s="4"/>
      <c r="X572" s="4"/>
      <c r="Y572" s="4"/>
      <c r="Z572" s="4"/>
    </row>
    <row r="573" ht="9.75" customHeight="1">
      <c r="A573" s="4"/>
      <c r="B573" s="7"/>
      <c r="C573" s="7"/>
      <c r="D573" s="4"/>
      <c r="E573" s="4"/>
      <c r="F573" s="7"/>
      <c r="G573" s="7"/>
      <c r="H573" s="4"/>
      <c r="I573" s="4"/>
      <c r="J573" s="7"/>
      <c r="K573" s="4"/>
      <c r="L573" s="4"/>
      <c r="M573" s="4"/>
      <c r="N573" s="4"/>
      <c r="O573" s="4"/>
      <c r="P573" s="4"/>
      <c r="Q573" s="4"/>
      <c r="R573" s="4"/>
      <c r="S573" s="4"/>
      <c r="T573" s="4"/>
      <c r="U573" s="4"/>
      <c r="V573" s="4"/>
      <c r="W573" s="4"/>
      <c r="X573" s="4"/>
      <c r="Y573" s="4"/>
      <c r="Z573" s="4"/>
    </row>
    <row r="574" ht="9.75" customHeight="1">
      <c r="A574" s="4"/>
      <c r="B574" s="7"/>
      <c r="C574" s="7"/>
      <c r="D574" s="4"/>
      <c r="E574" s="4"/>
      <c r="F574" s="7"/>
      <c r="G574" s="7"/>
      <c r="H574" s="4"/>
      <c r="I574" s="4"/>
      <c r="J574" s="7"/>
      <c r="K574" s="4"/>
      <c r="L574" s="4"/>
      <c r="M574" s="4"/>
      <c r="N574" s="4"/>
      <c r="O574" s="4"/>
      <c r="P574" s="4"/>
      <c r="Q574" s="4"/>
      <c r="R574" s="4"/>
      <c r="S574" s="4"/>
      <c r="T574" s="4"/>
      <c r="U574" s="4"/>
      <c r="V574" s="4"/>
      <c r="W574" s="4"/>
      <c r="X574" s="4"/>
      <c r="Y574" s="4"/>
      <c r="Z574" s="4"/>
    </row>
    <row r="575" ht="9.75" customHeight="1">
      <c r="A575" s="4"/>
      <c r="B575" s="7"/>
      <c r="C575" s="7"/>
      <c r="D575" s="4"/>
      <c r="E575" s="4"/>
      <c r="F575" s="7"/>
      <c r="G575" s="7"/>
      <c r="H575" s="4"/>
      <c r="I575" s="4"/>
      <c r="J575" s="7"/>
      <c r="K575" s="4"/>
      <c r="L575" s="4"/>
      <c r="M575" s="4"/>
      <c r="N575" s="4"/>
      <c r="O575" s="4"/>
      <c r="P575" s="4"/>
      <c r="Q575" s="4"/>
      <c r="R575" s="4"/>
      <c r="S575" s="4"/>
      <c r="T575" s="4"/>
      <c r="U575" s="4"/>
      <c r="V575" s="4"/>
      <c r="W575" s="4"/>
      <c r="X575" s="4"/>
      <c r="Y575" s="4"/>
      <c r="Z575" s="4"/>
    </row>
    <row r="576" ht="9.75" customHeight="1">
      <c r="A576" s="4"/>
      <c r="B576" s="7"/>
      <c r="C576" s="7"/>
      <c r="D576" s="4"/>
      <c r="E576" s="4"/>
      <c r="F576" s="7"/>
      <c r="G576" s="7"/>
      <c r="H576" s="4"/>
      <c r="I576" s="4"/>
      <c r="J576" s="7"/>
      <c r="K576" s="4"/>
      <c r="L576" s="4"/>
      <c r="M576" s="4"/>
      <c r="N576" s="4"/>
      <c r="O576" s="4"/>
      <c r="P576" s="4"/>
      <c r="Q576" s="4"/>
      <c r="R576" s="4"/>
      <c r="S576" s="4"/>
      <c r="T576" s="4"/>
      <c r="U576" s="4"/>
      <c r="V576" s="4"/>
      <c r="W576" s="4"/>
      <c r="X576" s="4"/>
      <c r="Y576" s="4"/>
      <c r="Z576" s="4"/>
    </row>
    <row r="577" ht="9.75" customHeight="1">
      <c r="A577" s="4"/>
      <c r="B577" s="7"/>
      <c r="C577" s="7"/>
      <c r="D577" s="4"/>
      <c r="E577" s="4"/>
      <c r="F577" s="7"/>
      <c r="G577" s="7"/>
      <c r="H577" s="4"/>
      <c r="I577" s="4"/>
      <c r="J577" s="7"/>
      <c r="K577" s="4"/>
      <c r="L577" s="4"/>
      <c r="M577" s="4"/>
      <c r="N577" s="4"/>
      <c r="O577" s="4"/>
      <c r="P577" s="4"/>
      <c r="Q577" s="4"/>
      <c r="R577" s="4"/>
      <c r="S577" s="4"/>
      <c r="T577" s="4"/>
      <c r="U577" s="4"/>
      <c r="V577" s="4"/>
      <c r="W577" s="4"/>
      <c r="X577" s="4"/>
      <c r="Y577" s="4"/>
      <c r="Z577" s="4"/>
    </row>
    <row r="578" ht="9.75" customHeight="1">
      <c r="A578" s="4"/>
      <c r="B578" s="7"/>
      <c r="C578" s="7"/>
      <c r="D578" s="4"/>
      <c r="E578" s="4"/>
      <c r="F578" s="7"/>
      <c r="G578" s="7"/>
      <c r="H578" s="4"/>
      <c r="I578" s="4"/>
      <c r="J578" s="7"/>
      <c r="K578" s="4"/>
      <c r="L578" s="4"/>
      <c r="M578" s="4"/>
      <c r="N578" s="4"/>
      <c r="O578" s="4"/>
      <c r="P578" s="4"/>
      <c r="Q578" s="4"/>
      <c r="R578" s="4"/>
      <c r="S578" s="4"/>
      <c r="T578" s="4"/>
      <c r="U578" s="4"/>
      <c r="V578" s="4"/>
      <c r="W578" s="4"/>
      <c r="X578" s="4"/>
      <c r="Y578" s="4"/>
      <c r="Z578" s="4"/>
    </row>
    <row r="579" ht="9.75" customHeight="1">
      <c r="A579" s="4"/>
      <c r="B579" s="7"/>
      <c r="C579" s="7"/>
      <c r="D579" s="4"/>
      <c r="E579" s="4"/>
      <c r="F579" s="7"/>
      <c r="G579" s="7"/>
      <c r="H579" s="4"/>
      <c r="I579" s="4"/>
      <c r="J579" s="7"/>
      <c r="K579" s="4"/>
      <c r="L579" s="4"/>
      <c r="M579" s="4"/>
      <c r="N579" s="4"/>
      <c r="O579" s="4"/>
      <c r="P579" s="4"/>
      <c r="Q579" s="4"/>
      <c r="R579" s="4"/>
      <c r="S579" s="4"/>
      <c r="T579" s="4"/>
      <c r="U579" s="4"/>
      <c r="V579" s="4"/>
      <c r="W579" s="4"/>
      <c r="X579" s="4"/>
      <c r="Y579" s="4"/>
      <c r="Z579" s="4"/>
    </row>
    <row r="580" ht="9.75" customHeight="1">
      <c r="A580" s="4"/>
      <c r="B580" s="7"/>
      <c r="C580" s="7"/>
      <c r="D580" s="4"/>
      <c r="E580" s="4"/>
      <c r="F580" s="7"/>
      <c r="G580" s="7"/>
      <c r="H580" s="4"/>
      <c r="I580" s="4"/>
      <c r="J580" s="7"/>
      <c r="K580" s="4"/>
      <c r="L580" s="4"/>
      <c r="M580" s="4"/>
      <c r="N580" s="4"/>
      <c r="O580" s="4"/>
      <c r="P580" s="4"/>
      <c r="Q580" s="4"/>
      <c r="R580" s="4"/>
      <c r="S580" s="4"/>
      <c r="T580" s="4"/>
      <c r="U580" s="4"/>
      <c r="V580" s="4"/>
      <c r="W580" s="4"/>
      <c r="X580" s="4"/>
      <c r="Y580" s="4"/>
      <c r="Z580" s="4"/>
    </row>
    <row r="581" ht="9.75" customHeight="1">
      <c r="A581" s="4"/>
      <c r="B581" s="7"/>
      <c r="C581" s="7"/>
      <c r="D581" s="4"/>
      <c r="E581" s="4"/>
      <c r="F581" s="7"/>
      <c r="G581" s="7"/>
      <c r="H581" s="4"/>
      <c r="I581" s="4"/>
      <c r="J581" s="7"/>
      <c r="K581" s="4"/>
      <c r="L581" s="4"/>
      <c r="M581" s="4"/>
      <c r="N581" s="4"/>
      <c r="O581" s="4"/>
      <c r="P581" s="4"/>
      <c r="Q581" s="4"/>
      <c r="R581" s="4"/>
      <c r="S581" s="4"/>
      <c r="T581" s="4"/>
      <c r="U581" s="4"/>
      <c r="V581" s="4"/>
      <c r="W581" s="4"/>
      <c r="X581" s="4"/>
      <c r="Y581" s="4"/>
      <c r="Z581" s="4"/>
    </row>
    <row r="582" ht="9.75" customHeight="1">
      <c r="A582" s="4"/>
      <c r="B582" s="7"/>
      <c r="C582" s="7"/>
      <c r="D582" s="4"/>
      <c r="E582" s="4"/>
      <c r="F582" s="7"/>
      <c r="G582" s="7"/>
      <c r="H582" s="4"/>
      <c r="I582" s="4"/>
      <c r="J582" s="7"/>
      <c r="K582" s="4"/>
      <c r="L582" s="4"/>
      <c r="M582" s="4"/>
      <c r="N582" s="4"/>
      <c r="O582" s="4"/>
      <c r="P582" s="4"/>
      <c r="Q582" s="4"/>
      <c r="R582" s="4"/>
      <c r="S582" s="4"/>
      <c r="T582" s="4"/>
      <c r="U582" s="4"/>
      <c r="V582" s="4"/>
      <c r="W582" s="4"/>
      <c r="X582" s="4"/>
      <c r="Y582" s="4"/>
      <c r="Z582" s="4"/>
    </row>
    <row r="583" ht="9.75" customHeight="1">
      <c r="A583" s="4"/>
      <c r="B583" s="7"/>
      <c r="C583" s="7"/>
      <c r="D583" s="4"/>
      <c r="E583" s="4"/>
      <c r="F583" s="7"/>
      <c r="G583" s="7"/>
      <c r="H583" s="4"/>
      <c r="I583" s="4"/>
      <c r="J583" s="7"/>
      <c r="K583" s="4"/>
      <c r="L583" s="4"/>
      <c r="M583" s="4"/>
      <c r="N583" s="4"/>
      <c r="O583" s="4"/>
      <c r="P583" s="4"/>
      <c r="Q583" s="4"/>
      <c r="R583" s="4"/>
      <c r="S583" s="4"/>
      <c r="T583" s="4"/>
      <c r="U583" s="4"/>
      <c r="V583" s="4"/>
      <c r="W583" s="4"/>
      <c r="X583" s="4"/>
      <c r="Y583" s="4"/>
      <c r="Z583" s="4"/>
    </row>
    <row r="584" ht="9.75" customHeight="1">
      <c r="A584" s="4"/>
      <c r="B584" s="7"/>
      <c r="C584" s="7"/>
      <c r="D584" s="4"/>
      <c r="E584" s="4"/>
      <c r="F584" s="7"/>
      <c r="G584" s="7"/>
      <c r="H584" s="4"/>
      <c r="I584" s="4"/>
      <c r="J584" s="7"/>
      <c r="K584" s="4"/>
      <c r="L584" s="4"/>
      <c r="M584" s="4"/>
      <c r="N584" s="4"/>
      <c r="O584" s="4"/>
      <c r="P584" s="4"/>
      <c r="Q584" s="4"/>
      <c r="R584" s="4"/>
      <c r="S584" s="4"/>
      <c r="T584" s="4"/>
      <c r="U584" s="4"/>
      <c r="V584" s="4"/>
      <c r="W584" s="4"/>
      <c r="X584" s="4"/>
      <c r="Y584" s="4"/>
      <c r="Z584" s="4"/>
    </row>
    <row r="585" ht="9.75" customHeight="1">
      <c r="A585" s="4"/>
      <c r="B585" s="7"/>
      <c r="C585" s="7"/>
      <c r="D585" s="4"/>
      <c r="E585" s="4"/>
      <c r="F585" s="7"/>
      <c r="G585" s="7"/>
      <c r="H585" s="4"/>
      <c r="I585" s="4"/>
      <c r="J585" s="7"/>
      <c r="K585" s="4"/>
      <c r="L585" s="4"/>
      <c r="M585" s="4"/>
      <c r="N585" s="4"/>
      <c r="O585" s="4"/>
      <c r="P585" s="4"/>
      <c r="Q585" s="4"/>
      <c r="R585" s="4"/>
      <c r="S585" s="4"/>
      <c r="T585" s="4"/>
      <c r="U585" s="4"/>
      <c r="V585" s="4"/>
      <c r="W585" s="4"/>
      <c r="X585" s="4"/>
      <c r="Y585" s="4"/>
      <c r="Z585" s="4"/>
    </row>
    <row r="586" ht="9.75" customHeight="1">
      <c r="A586" s="4"/>
      <c r="B586" s="7"/>
      <c r="C586" s="7"/>
      <c r="D586" s="4"/>
      <c r="E586" s="4"/>
      <c r="F586" s="7"/>
      <c r="G586" s="7"/>
      <c r="H586" s="4"/>
      <c r="I586" s="4"/>
      <c r="J586" s="7"/>
      <c r="K586" s="4"/>
      <c r="L586" s="4"/>
      <c r="M586" s="4"/>
      <c r="N586" s="4"/>
      <c r="O586" s="4"/>
      <c r="P586" s="4"/>
      <c r="Q586" s="4"/>
      <c r="R586" s="4"/>
      <c r="S586" s="4"/>
      <c r="T586" s="4"/>
      <c r="U586" s="4"/>
      <c r="V586" s="4"/>
      <c r="W586" s="4"/>
      <c r="X586" s="4"/>
      <c r="Y586" s="4"/>
      <c r="Z586" s="4"/>
    </row>
    <row r="587" ht="9.75" customHeight="1">
      <c r="A587" s="4"/>
      <c r="B587" s="7"/>
      <c r="C587" s="7"/>
      <c r="D587" s="4"/>
      <c r="E587" s="4"/>
      <c r="F587" s="7"/>
      <c r="G587" s="7"/>
      <c r="H587" s="4"/>
      <c r="I587" s="4"/>
      <c r="J587" s="7"/>
      <c r="K587" s="4"/>
      <c r="L587" s="4"/>
      <c r="M587" s="4"/>
      <c r="N587" s="4"/>
      <c r="O587" s="4"/>
      <c r="P587" s="4"/>
      <c r="Q587" s="4"/>
      <c r="R587" s="4"/>
      <c r="S587" s="4"/>
      <c r="T587" s="4"/>
      <c r="U587" s="4"/>
      <c r="V587" s="4"/>
      <c r="W587" s="4"/>
      <c r="X587" s="4"/>
      <c r="Y587" s="4"/>
      <c r="Z587" s="4"/>
    </row>
    <row r="588" ht="9.75" customHeight="1">
      <c r="A588" s="4"/>
      <c r="B588" s="7"/>
      <c r="C588" s="7"/>
      <c r="D588" s="4"/>
      <c r="E588" s="4"/>
      <c r="F588" s="7"/>
      <c r="G588" s="7"/>
      <c r="H588" s="4"/>
      <c r="I588" s="4"/>
      <c r="J588" s="7"/>
      <c r="K588" s="4"/>
      <c r="L588" s="4"/>
      <c r="M588" s="4"/>
      <c r="N588" s="4"/>
      <c r="O588" s="4"/>
      <c r="P588" s="4"/>
      <c r="Q588" s="4"/>
      <c r="R588" s="4"/>
      <c r="S588" s="4"/>
      <c r="T588" s="4"/>
      <c r="U588" s="4"/>
      <c r="V588" s="4"/>
      <c r="W588" s="4"/>
      <c r="X588" s="4"/>
      <c r="Y588" s="4"/>
      <c r="Z588" s="4"/>
    </row>
    <row r="589" ht="9.75" customHeight="1">
      <c r="A589" s="4"/>
      <c r="B589" s="7"/>
      <c r="C589" s="7"/>
      <c r="D589" s="4"/>
      <c r="E589" s="4"/>
      <c r="F589" s="7"/>
      <c r="G589" s="7"/>
      <c r="H589" s="4"/>
      <c r="I589" s="4"/>
      <c r="J589" s="7"/>
      <c r="K589" s="4"/>
      <c r="L589" s="4"/>
      <c r="M589" s="4"/>
      <c r="N589" s="4"/>
      <c r="O589" s="4"/>
      <c r="P589" s="4"/>
      <c r="Q589" s="4"/>
      <c r="R589" s="4"/>
      <c r="S589" s="4"/>
      <c r="T589" s="4"/>
      <c r="U589" s="4"/>
      <c r="V589" s="4"/>
      <c r="W589" s="4"/>
      <c r="X589" s="4"/>
      <c r="Y589" s="4"/>
      <c r="Z589" s="4"/>
    </row>
    <row r="590" ht="9.75" customHeight="1">
      <c r="A590" s="4"/>
      <c r="B590" s="7"/>
      <c r="C590" s="7"/>
      <c r="D590" s="4"/>
      <c r="E590" s="4"/>
      <c r="F590" s="7"/>
      <c r="G590" s="7"/>
      <c r="H590" s="4"/>
      <c r="I590" s="4"/>
      <c r="J590" s="7"/>
      <c r="K590" s="4"/>
      <c r="L590" s="4"/>
      <c r="M590" s="4"/>
      <c r="N590" s="4"/>
      <c r="O590" s="4"/>
      <c r="P590" s="4"/>
      <c r="Q590" s="4"/>
      <c r="R590" s="4"/>
      <c r="S590" s="4"/>
      <c r="T590" s="4"/>
      <c r="U590" s="4"/>
      <c r="V590" s="4"/>
      <c r="W590" s="4"/>
      <c r="X590" s="4"/>
      <c r="Y590" s="4"/>
      <c r="Z590" s="4"/>
    </row>
    <row r="591" ht="9.75" customHeight="1">
      <c r="A591" s="4"/>
      <c r="B591" s="7"/>
      <c r="C591" s="7"/>
      <c r="D591" s="4"/>
      <c r="E591" s="4"/>
      <c r="F591" s="7"/>
      <c r="G591" s="7"/>
      <c r="H591" s="4"/>
      <c r="I591" s="4"/>
      <c r="J591" s="7"/>
      <c r="K591" s="4"/>
      <c r="L591" s="4"/>
      <c r="M591" s="4"/>
      <c r="N591" s="4"/>
      <c r="O591" s="4"/>
      <c r="P591" s="4"/>
      <c r="Q591" s="4"/>
      <c r="R591" s="4"/>
      <c r="S591" s="4"/>
      <c r="T591" s="4"/>
      <c r="U591" s="4"/>
      <c r="V591" s="4"/>
      <c r="W591" s="4"/>
      <c r="X591" s="4"/>
      <c r="Y591" s="4"/>
      <c r="Z591" s="4"/>
    </row>
    <row r="592" ht="9.75" customHeight="1">
      <c r="A592" s="4"/>
      <c r="B592" s="7"/>
      <c r="C592" s="7"/>
      <c r="D592" s="4"/>
      <c r="E592" s="4"/>
      <c r="F592" s="7"/>
      <c r="G592" s="7"/>
      <c r="H592" s="4"/>
      <c r="I592" s="4"/>
      <c r="J592" s="7"/>
      <c r="K592" s="4"/>
      <c r="L592" s="4"/>
      <c r="M592" s="4"/>
      <c r="N592" s="4"/>
      <c r="O592" s="4"/>
      <c r="P592" s="4"/>
      <c r="Q592" s="4"/>
      <c r="R592" s="4"/>
      <c r="S592" s="4"/>
      <c r="T592" s="4"/>
      <c r="U592" s="4"/>
      <c r="V592" s="4"/>
      <c r="W592" s="4"/>
      <c r="X592" s="4"/>
      <c r="Y592" s="4"/>
      <c r="Z592" s="4"/>
    </row>
    <row r="593" ht="9.75" customHeight="1">
      <c r="A593" s="4"/>
      <c r="B593" s="7"/>
      <c r="C593" s="7"/>
      <c r="D593" s="4"/>
      <c r="E593" s="4"/>
      <c r="F593" s="7"/>
      <c r="G593" s="7"/>
      <c r="H593" s="4"/>
      <c r="I593" s="4"/>
      <c r="J593" s="7"/>
      <c r="K593" s="4"/>
      <c r="L593" s="4"/>
      <c r="M593" s="4"/>
      <c r="N593" s="4"/>
      <c r="O593" s="4"/>
      <c r="P593" s="4"/>
      <c r="Q593" s="4"/>
      <c r="R593" s="4"/>
      <c r="S593" s="4"/>
      <c r="T593" s="4"/>
      <c r="U593" s="4"/>
      <c r="V593" s="4"/>
      <c r="W593" s="4"/>
      <c r="X593" s="4"/>
      <c r="Y593" s="4"/>
      <c r="Z593" s="4"/>
    </row>
    <row r="594" ht="9.75" customHeight="1">
      <c r="A594" s="4"/>
      <c r="B594" s="7"/>
      <c r="C594" s="7"/>
      <c r="D594" s="4"/>
      <c r="E594" s="4"/>
      <c r="F594" s="7"/>
      <c r="G594" s="7"/>
      <c r="H594" s="4"/>
      <c r="I594" s="4"/>
      <c r="J594" s="7"/>
      <c r="K594" s="4"/>
      <c r="L594" s="4"/>
      <c r="M594" s="4"/>
      <c r="N594" s="4"/>
      <c r="O594" s="4"/>
      <c r="P594" s="4"/>
      <c r="Q594" s="4"/>
      <c r="R594" s="4"/>
      <c r="S594" s="4"/>
      <c r="T594" s="4"/>
      <c r="U594" s="4"/>
      <c r="V594" s="4"/>
      <c r="W594" s="4"/>
      <c r="X594" s="4"/>
      <c r="Y594" s="4"/>
      <c r="Z594" s="4"/>
    </row>
    <row r="595" ht="9.75" customHeight="1">
      <c r="A595" s="4"/>
      <c r="B595" s="7"/>
      <c r="C595" s="7"/>
      <c r="D595" s="4"/>
      <c r="E595" s="4"/>
      <c r="F595" s="7"/>
      <c r="G595" s="7"/>
      <c r="H595" s="4"/>
      <c r="I595" s="4"/>
      <c r="J595" s="7"/>
      <c r="K595" s="4"/>
      <c r="L595" s="4"/>
      <c r="M595" s="4"/>
      <c r="N595" s="4"/>
      <c r="O595" s="4"/>
      <c r="P595" s="4"/>
      <c r="Q595" s="4"/>
      <c r="R595" s="4"/>
      <c r="S595" s="4"/>
      <c r="T595" s="4"/>
      <c r="U595" s="4"/>
      <c r="V595" s="4"/>
      <c r="W595" s="4"/>
      <c r="X595" s="4"/>
      <c r="Y595" s="4"/>
      <c r="Z595" s="4"/>
    </row>
    <row r="596" ht="9.75" customHeight="1">
      <c r="A596" s="4"/>
      <c r="B596" s="7"/>
      <c r="C596" s="7"/>
      <c r="D596" s="4"/>
      <c r="E596" s="4"/>
      <c r="F596" s="7"/>
      <c r="G596" s="7"/>
      <c r="H596" s="4"/>
      <c r="I596" s="4"/>
      <c r="J596" s="7"/>
      <c r="K596" s="4"/>
      <c r="L596" s="4"/>
      <c r="M596" s="4"/>
      <c r="N596" s="4"/>
      <c r="O596" s="4"/>
      <c r="P596" s="4"/>
      <c r="Q596" s="4"/>
      <c r="R596" s="4"/>
      <c r="S596" s="4"/>
      <c r="T596" s="4"/>
      <c r="U596" s="4"/>
      <c r="V596" s="4"/>
      <c r="W596" s="4"/>
      <c r="X596" s="4"/>
      <c r="Y596" s="4"/>
      <c r="Z596" s="4"/>
    </row>
    <row r="597" ht="9.75" customHeight="1">
      <c r="A597" s="4"/>
      <c r="B597" s="7"/>
      <c r="C597" s="7"/>
      <c r="D597" s="4"/>
      <c r="E597" s="4"/>
      <c r="F597" s="7"/>
      <c r="G597" s="7"/>
      <c r="H597" s="4"/>
      <c r="I597" s="4"/>
      <c r="J597" s="7"/>
      <c r="K597" s="4"/>
      <c r="L597" s="4"/>
      <c r="M597" s="4"/>
      <c r="N597" s="4"/>
      <c r="O597" s="4"/>
      <c r="P597" s="4"/>
      <c r="Q597" s="4"/>
      <c r="R597" s="4"/>
      <c r="S597" s="4"/>
      <c r="T597" s="4"/>
      <c r="U597" s="4"/>
      <c r="V597" s="4"/>
      <c r="W597" s="4"/>
      <c r="X597" s="4"/>
      <c r="Y597" s="4"/>
      <c r="Z597" s="4"/>
    </row>
    <row r="598" ht="9.75" customHeight="1">
      <c r="A598" s="4"/>
      <c r="B598" s="7"/>
      <c r="C598" s="7"/>
      <c r="D598" s="4"/>
      <c r="E598" s="4"/>
      <c r="F598" s="7"/>
      <c r="G598" s="7"/>
      <c r="H598" s="4"/>
      <c r="I598" s="4"/>
      <c r="J598" s="7"/>
      <c r="K598" s="4"/>
      <c r="L598" s="4"/>
      <c r="M598" s="4"/>
      <c r="N598" s="4"/>
      <c r="O598" s="4"/>
      <c r="P598" s="4"/>
      <c r="Q598" s="4"/>
      <c r="R598" s="4"/>
      <c r="S598" s="4"/>
      <c r="T598" s="4"/>
      <c r="U598" s="4"/>
      <c r="V598" s="4"/>
      <c r="W598" s="4"/>
      <c r="X598" s="4"/>
      <c r="Y598" s="4"/>
      <c r="Z598" s="4"/>
    </row>
    <row r="599" ht="9.75" customHeight="1">
      <c r="A599" s="4"/>
      <c r="B599" s="7"/>
      <c r="C599" s="7"/>
      <c r="D599" s="4"/>
      <c r="E599" s="4"/>
      <c r="F599" s="7"/>
      <c r="G599" s="7"/>
      <c r="H599" s="4"/>
      <c r="I599" s="4"/>
      <c r="J599" s="7"/>
      <c r="K599" s="4"/>
      <c r="L599" s="4"/>
      <c r="M599" s="4"/>
      <c r="N599" s="4"/>
      <c r="O599" s="4"/>
      <c r="P599" s="4"/>
      <c r="Q599" s="4"/>
      <c r="R599" s="4"/>
      <c r="S599" s="4"/>
      <c r="T599" s="4"/>
      <c r="U599" s="4"/>
      <c r="V599" s="4"/>
      <c r="W599" s="4"/>
      <c r="X599" s="4"/>
      <c r="Y599" s="4"/>
      <c r="Z599" s="4"/>
    </row>
    <row r="600" ht="9.75" customHeight="1">
      <c r="A600" s="4"/>
      <c r="B600" s="7"/>
      <c r="C600" s="7"/>
      <c r="D600" s="4"/>
      <c r="E600" s="4"/>
      <c r="F600" s="7"/>
      <c r="G600" s="7"/>
      <c r="H600" s="4"/>
      <c r="I600" s="4"/>
      <c r="J600" s="7"/>
      <c r="K600" s="4"/>
      <c r="L600" s="4"/>
      <c r="M600" s="4"/>
      <c r="N600" s="4"/>
      <c r="O600" s="4"/>
      <c r="P600" s="4"/>
      <c r="Q600" s="4"/>
      <c r="R600" s="4"/>
      <c r="S600" s="4"/>
      <c r="T600" s="4"/>
      <c r="U600" s="4"/>
      <c r="V600" s="4"/>
      <c r="W600" s="4"/>
      <c r="X600" s="4"/>
      <c r="Y600" s="4"/>
      <c r="Z600" s="4"/>
    </row>
    <row r="601" ht="9.75" customHeight="1">
      <c r="A601" s="4"/>
      <c r="B601" s="7"/>
      <c r="C601" s="7"/>
      <c r="D601" s="4"/>
      <c r="E601" s="4"/>
      <c r="F601" s="7"/>
      <c r="G601" s="7"/>
      <c r="H601" s="4"/>
      <c r="I601" s="4"/>
      <c r="J601" s="7"/>
      <c r="K601" s="4"/>
      <c r="L601" s="4"/>
      <c r="M601" s="4"/>
      <c r="N601" s="4"/>
      <c r="O601" s="4"/>
      <c r="P601" s="4"/>
      <c r="Q601" s="4"/>
      <c r="R601" s="4"/>
      <c r="S601" s="4"/>
      <c r="T601" s="4"/>
      <c r="U601" s="4"/>
      <c r="V601" s="4"/>
      <c r="W601" s="4"/>
      <c r="X601" s="4"/>
      <c r="Y601" s="4"/>
      <c r="Z601" s="4"/>
    </row>
    <row r="602" ht="9.75" customHeight="1">
      <c r="A602" s="4"/>
      <c r="B602" s="7"/>
      <c r="C602" s="7"/>
      <c r="D602" s="4"/>
      <c r="E602" s="4"/>
      <c r="F602" s="7"/>
      <c r="G602" s="7"/>
      <c r="H602" s="4"/>
      <c r="I602" s="4"/>
      <c r="J602" s="7"/>
      <c r="K602" s="4"/>
      <c r="L602" s="4"/>
      <c r="M602" s="4"/>
      <c r="N602" s="4"/>
      <c r="O602" s="4"/>
      <c r="P602" s="4"/>
      <c r="Q602" s="4"/>
      <c r="R602" s="4"/>
      <c r="S602" s="4"/>
      <c r="T602" s="4"/>
      <c r="U602" s="4"/>
      <c r="V602" s="4"/>
      <c r="W602" s="4"/>
      <c r="X602" s="4"/>
      <c r="Y602" s="4"/>
      <c r="Z602" s="4"/>
    </row>
    <row r="603" ht="9.75" customHeight="1">
      <c r="A603" s="4"/>
      <c r="B603" s="7"/>
      <c r="C603" s="7"/>
      <c r="D603" s="4"/>
      <c r="E603" s="4"/>
      <c r="F603" s="7"/>
      <c r="G603" s="7"/>
      <c r="H603" s="4"/>
      <c r="I603" s="4"/>
      <c r="J603" s="7"/>
      <c r="K603" s="4"/>
      <c r="L603" s="4"/>
      <c r="M603" s="4"/>
      <c r="N603" s="4"/>
      <c r="O603" s="4"/>
      <c r="P603" s="4"/>
      <c r="Q603" s="4"/>
      <c r="R603" s="4"/>
      <c r="S603" s="4"/>
      <c r="T603" s="4"/>
      <c r="U603" s="4"/>
      <c r="V603" s="4"/>
      <c r="W603" s="4"/>
      <c r="X603" s="4"/>
      <c r="Y603" s="4"/>
      <c r="Z603" s="4"/>
    </row>
    <row r="604" ht="9.75" customHeight="1">
      <c r="A604" s="4"/>
      <c r="B604" s="7"/>
      <c r="C604" s="7"/>
      <c r="D604" s="4"/>
      <c r="E604" s="4"/>
      <c r="F604" s="7"/>
      <c r="G604" s="7"/>
      <c r="H604" s="4"/>
      <c r="I604" s="4"/>
      <c r="J604" s="7"/>
      <c r="K604" s="4"/>
      <c r="L604" s="4"/>
      <c r="M604" s="4"/>
      <c r="N604" s="4"/>
      <c r="O604" s="4"/>
      <c r="P604" s="4"/>
      <c r="Q604" s="4"/>
      <c r="R604" s="4"/>
      <c r="S604" s="4"/>
      <c r="T604" s="4"/>
      <c r="U604" s="4"/>
      <c r="V604" s="4"/>
      <c r="W604" s="4"/>
      <c r="X604" s="4"/>
      <c r="Y604" s="4"/>
      <c r="Z604" s="4"/>
    </row>
    <row r="605" ht="9.75" customHeight="1">
      <c r="A605" s="4"/>
      <c r="B605" s="7"/>
      <c r="C605" s="7"/>
      <c r="D605" s="4"/>
      <c r="E605" s="4"/>
      <c r="F605" s="7"/>
      <c r="G605" s="7"/>
      <c r="H605" s="4"/>
      <c r="I605" s="4"/>
      <c r="J605" s="7"/>
      <c r="K605" s="4"/>
      <c r="L605" s="4"/>
      <c r="M605" s="4"/>
      <c r="N605" s="4"/>
      <c r="O605" s="4"/>
      <c r="P605" s="4"/>
      <c r="Q605" s="4"/>
      <c r="R605" s="4"/>
      <c r="S605" s="4"/>
      <c r="T605" s="4"/>
      <c r="U605" s="4"/>
      <c r="V605" s="4"/>
      <c r="W605" s="4"/>
      <c r="X605" s="4"/>
      <c r="Y605" s="4"/>
      <c r="Z605" s="4"/>
    </row>
    <row r="606" ht="9.75" customHeight="1">
      <c r="A606" s="4"/>
      <c r="B606" s="7"/>
      <c r="C606" s="7"/>
      <c r="D606" s="4"/>
      <c r="E606" s="4"/>
      <c r="F606" s="7"/>
      <c r="G606" s="7"/>
      <c r="H606" s="4"/>
      <c r="I606" s="4"/>
      <c r="J606" s="7"/>
      <c r="K606" s="4"/>
      <c r="L606" s="4"/>
      <c r="M606" s="4"/>
      <c r="N606" s="4"/>
      <c r="O606" s="4"/>
      <c r="P606" s="4"/>
      <c r="Q606" s="4"/>
      <c r="R606" s="4"/>
      <c r="S606" s="4"/>
      <c r="T606" s="4"/>
      <c r="U606" s="4"/>
      <c r="V606" s="4"/>
      <c r="W606" s="4"/>
      <c r="X606" s="4"/>
      <c r="Y606" s="4"/>
      <c r="Z606" s="4"/>
    </row>
    <row r="607" ht="9.75" customHeight="1">
      <c r="A607" s="4"/>
      <c r="B607" s="7"/>
      <c r="C607" s="7"/>
      <c r="D607" s="4"/>
      <c r="E607" s="4"/>
      <c r="F607" s="7"/>
      <c r="G607" s="7"/>
      <c r="H607" s="4"/>
      <c r="I607" s="4"/>
      <c r="J607" s="7"/>
      <c r="K607" s="4"/>
      <c r="L607" s="4"/>
      <c r="M607" s="4"/>
      <c r="N607" s="4"/>
      <c r="O607" s="4"/>
      <c r="P607" s="4"/>
      <c r="Q607" s="4"/>
      <c r="R607" s="4"/>
      <c r="S607" s="4"/>
      <c r="T607" s="4"/>
      <c r="U607" s="4"/>
      <c r="V607" s="4"/>
      <c r="W607" s="4"/>
      <c r="X607" s="4"/>
      <c r="Y607" s="4"/>
      <c r="Z607" s="4"/>
    </row>
    <row r="608" ht="9.75" customHeight="1">
      <c r="A608" s="4"/>
      <c r="B608" s="7"/>
      <c r="C608" s="7"/>
      <c r="D608" s="4"/>
      <c r="E608" s="4"/>
      <c r="F608" s="7"/>
      <c r="G608" s="7"/>
      <c r="H608" s="4"/>
      <c r="I608" s="4"/>
      <c r="J608" s="7"/>
      <c r="K608" s="4"/>
      <c r="L608" s="4"/>
      <c r="M608" s="4"/>
      <c r="N608" s="4"/>
      <c r="O608" s="4"/>
      <c r="P608" s="4"/>
      <c r="Q608" s="4"/>
      <c r="R608" s="4"/>
      <c r="S608" s="4"/>
      <c r="T608" s="4"/>
      <c r="U608" s="4"/>
      <c r="V608" s="4"/>
      <c r="W608" s="4"/>
      <c r="X608" s="4"/>
      <c r="Y608" s="4"/>
      <c r="Z608" s="4"/>
    </row>
    <row r="609" ht="9.75" customHeight="1">
      <c r="A609" s="4"/>
      <c r="B609" s="7"/>
      <c r="C609" s="7"/>
      <c r="D609" s="4"/>
      <c r="E609" s="4"/>
      <c r="F609" s="7"/>
      <c r="G609" s="7"/>
      <c r="H609" s="4"/>
      <c r="I609" s="4"/>
      <c r="J609" s="7"/>
      <c r="K609" s="4"/>
      <c r="L609" s="4"/>
      <c r="M609" s="4"/>
      <c r="N609" s="4"/>
      <c r="O609" s="4"/>
      <c r="P609" s="4"/>
      <c r="Q609" s="4"/>
      <c r="R609" s="4"/>
      <c r="S609" s="4"/>
      <c r="T609" s="4"/>
      <c r="U609" s="4"/>
      <c r="V609" s="4"/>
      <c r="W609" s="4"/>
      <c r="X609" s="4"/>
      <c r="Y609" s="4"/>
      <c r="Z609" s="4"/>
    </row>
    <row r="610" ht="9.75" customHeight="1">
      <c r="A610" s="4"/>
      <c r="B610" s="7"/>
      <c r="C610" s="7"/>
      <c r="D610" s="4"/>
      <c r="E610" s="4"/>
      <c r="F610" s="7"/>
      <c r="G610" s="7"/>
      <c r="H610" s="4"/>
      <c r="I610" s="4"/>
      <c r="J610" s="7"/>
      <c r="K610" s="4"/>
      <c r="L610" s="4"/>
      <c r="M610" s="4"/>
      <c r="N610" s="4"/>
      <c r="O610" s="4"/>
      <c r="P610" s="4"/>
      <c r="Q610" s="4"/>
      <c r="R610" s="4"/>
      <c r="S610" s="4"/>
      <c r="T610" s="4"/>
      <c r="U610" s="4"/>
      <c r="V610" s="4"/>
      <c r="W610" s="4"/>
      <c r="X610" s="4"/>
      <c r="Y610" s="4"/>
      <c r="Z610" s="4"/>
    </row>
    <row r="611" ht="9.75" customHeight="1">
      <c r="A611" s="4"/>
      <c r="B611" s="7"/>
      <c r="C611" s="7"/>
      <c r="D611" s="4"/>
      <c r="E611" s="4"/>
      <c r="F611" s="7"/>
      <c r="G611" s="7"/>
      <c r="H611" s="4"/>
      <c r="I611" s="4"/>
      <c r="J611" s="7"/>
      <c r="K611" s="4"/>
      <c r="L611" s="4"/>
      <c r="M611" s="4"/>
      <c r="N611" s="4"/>
      <c r="O611" s="4"/>
      <c r="P611" s="4"/>
      <c r="Q611" s="4"/>
      <c r="R611" s="4"/>
      <c r="S611" s="4"/>
      <c r="T611" s="4"/>
      <c r="U611" s="4"/>
      <c r="V611" s="4"/>
      <c r="W611" s="4"/>
      <c r="X611" s="4"/>
      <c r="Y611" s="4"/>
      <c r="Z611" s="4"/>
    </row>
    <row r="612" ht="9.75" customHeight="1">
      <c r="A612" s="4"/>
      <c r="B612" s="7"/>
      <c r="C612" s="7"/>
      <c r="D612" s="4"/>
      <c r="E612" s="4"/>
      <c r="F612" s="7"/>
      <c r="G612" s="7"/>
      <c r="H612" s="4"/>
      <c r="I612" s="4"/>
      <c r="J612" s="7"/>
      <c r="K612" s="4"/>
      <c r="L612" s="4"/>
      <c r="M612" s="4"/>
      <c r="N612" s="4"/>
      <c r="O612" s="4"/>
      <c r="P612" s="4"/>
      <c r="Q612" s="4"/>
      <c r="R612" s="4"/>
      <c r="S612" s="4"/>
      <c r="T612" s="4"/>
      <c r="U612" s="4"/>
      <c r="V612" s="4"/>
      <c r="W612" s="4"/>
      <c r="X612" s="4"/>
      <c r="Y612" s="4"/>
      <c r="Z612" s="4"/>
    </row>
    <row r="613" ht="9.75" customHeight="1">
      <c r="A613" s="4"/>
      <c r="B613" s="7"/>
      <c r="C613" s="7"/>
      <c r="D613" s="4"/>
      <c r="E613" s="4"/>
      <c r="F613" s="7"/>
      <c r="G613" s="7"/>
      <c r="H613" s="4"/>
      <c r="I613" s="4"/>
      <c r="J613" s="7"/>
      <c r="K613" s="4"/>
      <c r="L613" s="4"/>
      <c r="M613" s="4"/>
      <c r="N613" s="4"/>
      <c r="O613" s="4"/>
      <c r="P613" s="4"/>
      <c r="Q613" s="4"/>
      <c r="R613" s="4"/>
      <c r="S613" s="4"/>
      <c r="T613" s="4"/>
      <c r="U613" s="4"/>
      <c r="V613" s="4"/>
      <c r="W613" s="4"/>
      <c r="X613" s="4"/>
      <c r="Y613" s="4"/>
      <c r="Z613" s="4"/>
    </row>
    <row r="614" ht="9.75" customHeight="1">
      <c r="A614" s="4"/>
      <c r="B614" s="7"/>
      <c r="C614" s="7"/>
      <c r="D614" s="4"/>
      <c r="E614" s="4"/>
      <c r="F614" s="7"/>
      <c r="G614" s="7"/>
      <c r="H614" s="4"/>
      <c r="I614" s="4"/>
      <c r="J614" s="7"/>
      <c r="K614" s="4"/>
      <c r="L614" s="4"/>
      <c r="M614" s="4"/>
      <c r="N614" s="4"/>
      <c r="O614" s="4"/>
      <c r="P614" s="4"/>
      <c r="Q614" s="4"/>
      <c r="R614" s="4"/>
      <c r="S614" s="4"/>
      <c r="T614" s="4"/>
      <c r="U614" s="4"/>
      <c r="V614" s="4"/>
      <c r="W614" s="4"/>
      <c r="X614" s="4"/>
      <c r="Y614" s="4"/>
      <c r="Z614" s="4"/>
    </row>
    <row r="615" ht="9.75" customHeight="1">
      <c r="A615" s="4"/>
      <c r="B615" s="7"/>
      <c r="C615" s="7"/>
      <c r="D615" s="4"/>
      <c r="E615" s="4"/>
      <c r="F615" s="7"/>
      <c r="G615" s="7"/>
      <c r="H615" s="4"/>
      <c r="I615" s="4"/>
      <c r="J615" s="7"/>
      <c r="K615" s="4"/>
      <c r="L615" s="4"/>
      <c r="M615" s="4"/>
      <c r="N615" s="4"/>
      <c r="O615" s="4"/>
      <c r="P615" s="4"/>
      <c r="Q615" s="4"/>
      <c r="R615" s="4"/>
      <c r="S615" s="4"/>
      <c r="T615" s="4"/>
      <c r="U615" s="4"/>
      <c r="V615" s="4"/>
      <c r="W615" s="4"/>
      <c r="X615" s="4"/>
      <c r="Y615" s="4"/>
      <c r="Z615" s="4"/>
    </row>
    <row r="616" ht="9.75" customHeight="1">
      <c r="A616" s="4"/>
      <c r="B616" s="7"/>
      <c r="C616" s="7"/>
      <c r="D616" s="4"/>
      <c r="E616" s="4"/>
      <c r="F616" s="7"/>
      <c r="G616" s="7"/>
      <c r="H616" s="4"/>
      <c r="I616" s="4"/>
      <c r="J616" s="7"/>
      <c r="K616" s="4"/>
      <c r="L616" s="4"/>
      <c r="M616" s="4"/>
      <c r="N616" s="4"/>
      <c r="O616" s="4"/>
      <c r="P616" s="4"/>
      <c r="Q616" s="4"/>
      <c r="R616" s="4"/>
      <c r="S616" s="4"/>
      <c r="T616" s="4"/>
      <c r="U616" s="4"/>
      <c r="V616" s="4"/>
      <c r="W616" s="4"/>
      <c r="X616" s="4"/>
      <c r="Y616" s="4"/>
      <c r="Z616" s="4"/>
    </row>
    <row r="617" ht="9.75" customHeight="1">
      <c r="A617" s="4"/>
      <c r="B617" s="7"/>
      <c r="C617" s="7"/>
      <c r="D617" s="4"/>
      <c r="E617" s="4"/>
      <c r="F617" s="7"/>
      <c r="G617" s="7"/>
      <c r="H617" s="4"/>
      <c r="I617" s="4"/>
      <c r="J617" s="7"/>
      <c r="K617" s="4"/>
      <c r="L617" s="4"/>
      <c r="M617" s="4"/>
      <c r="N617" s="4"/>
      <c r="O617" s="4"/>
      <c r="P617" s="4"/>
      <c r="Q617" s="4"/>
      <c r="R617" s="4"/>
      <c r="S617" s="4"/>
      <c r="T617" s="4"/>
      <c r="U617" s="4"/>
      <c r="V617" s="4"/>
      <c r="W617" s="4"/>
      <c r="X617" s="4"/>
      <c r="Y617" s="4"/>
      <c r="Z617" s="4"/>
    </row>
    <row r="618" ht="9.75" customHeight="1">
      <c r="A618" s="4"/>
      <c r="B618" s="7"/>
      <c r="C618" s="7"/>
      <c r="D618" s="4"/>
      <c r="E618" s="4"/>
      <c r="F618" s="7"/>
      <c r="G618" s="7"/>
      <c r="H618" s="4"/>
      <c r="I618" s="4"/>
      <c r="J618" s="7"/>
      <c r="K618" s="4"/>
      <c r="L618" s="4"/>
      <c r="M618" s="4"/>
      <c r="N618" s="4"/>
      <c r="O618" s="4"/>
      <c r="P618" s="4"/>
      <c r="Q618" s="4"/>
      <c r="R618" s="4"/>
      <c r="S618" s="4"/>
      <c r="T618" s="4"/>
      <c r="U618" s="4"/>
      <c r="V618" s="4"/>
      <c r="W618" s="4"/>
      <c r="X618" s="4"/>
      <c r="Y618" s="4"/>
      <c r="Z618" s="4"/>
    </row>
    <row r="619" ht="9.75" customHeight="1">
      <c r="A619" s="4"/>
      <c r="B619" s="7"/>
      <c r="C619" s="7"/>
      <c r="D619" s="4"/>
      <c r="E619" s="4"/>
      <c r="F619" s="7"/>
      <c r="G619" s="7"/>
      <c r="H619" s="4"/>
      <c r="I619" s="4"/>
      <c r="J619" s="7"/>
      <c r="K619" s="4"/>
      <c r="L619" s="4"/>
      <c r="M619" s="4"/>
      <c r="N619" s="4"/>
      <c r="O619" s="4"/>
      <c r="P619" s="4"/>
      <c r="Q619" s="4"/>
      <c r="R619" s="4"/>
      <c r="S619" s="4"/>
      <c r="T619" s="4"/>
      <c r="U619" s="4"/>
      <c r="V619" s="4"/>
      <c r="W619" s="4"/>
      <c r="X619" s="4"/>
      <c r="Y619" s="4"/>
      <c r="Z619" s="4"/>
    </row>
    <row r="620" ht="9.75" customHeight="1">
      <c r="A620" s="4"/>
      <c r="B620" s="7"/>
      <c r="C620" s="7"/>
      <c r="D620" s="4"/>
      <c r="E620" s="4"/>
      <c r="F620" s="7"/>
      <c r="G620" s="7"/>
      <c r="H620" s="4"/>
      <c r="I620" s="4"/>
      <c r="J620" s="7"/>
      <c r="K620" s="4"/>
      <c r="L620" s="4"/>
      <c r="M620" s="4"/>
      <c r="N620" s="4"/>
      <c r="O620" s="4"/>
      <c r="P620" s="4"/>
      <c r="Q620" s="4"/>
      <c r="R620" s="4"/>
      <c r="S620" s="4"/>
      <c r="T620" s="4"/>
      <c r="U620" s="4"/>
      <c r="V620" s="4"/>
      <c r="W620" s="4"/>
      <c r="X620" s="4"/>
      <c r="Y620" s="4"/>
      <c r="Z620" s="4"/>
    </row>
    <row r="621" ht="9.75" customHeight="1">
      <c r="A621" s="4"/>
      <c r="B621" s="7"/>
      <c r="C621" s="7"/>
      <c r="D621" s="4"/>
      <c r="E621" s="4"/>
      <c r="F621" s="7"/>
      <c r="G621" s="7"/>
      <c r="H621" s="4"/>
      <c r="I621" s="4"/>
      <c r="J621" s="7"/>
      <c r="K621" s="4"/>
      <c r="L621" s="4"/>
      <c r="M621" s="4"/>
      <c r="N621" s="4"/>
      <c r="O621" s="4"/>
      <c r="P621" s="4"/>
      <c r="Q621" s="4"/>
      <c r="R621" s="4"/>
      <c r="S621" s="4"/>
      <c r="T621" s="4"/>
      <c r="U621" s="4"/>
      <c r="V621" s="4"/>
      <c r="W621" s="4"/>
      <c r="X621" s="4"/>
      <c r="Y621" s="4"/>
      <c r="Z621" s="4"/>
    </row>
    <row r="622" ht="9.75" customHeight="1">
      <c r="A622" s="4"/>
      <c r="B622" s="7"/>
      <c r="C622" s="7"/>
      <c r="D622" s="4"/>
      <c r="E622" s="4"/>
      <c r="F622" s="7"/>
      <c r="G622" s="7"/>
      <c r="H622" s="4"/>
      <c r="I622" s="4"/>
      <c r="J622" s="7"/>
      <c r="K622" s="4"/>
      <c r="L622" s="4"/>
      <c r="M622" s="4"/>
      <c r="N622" s="4"/>
      <c r="O622" s="4"/>
      <c r="P622" s="4"/>
      <c r="Q622" s="4"/>
      <c r="R622" s="4"/>
      <c r="S622" s="4"/>
      <c r="T622" s="4"/>
      <c r="U622" s="4"/>
      <c r="V622" s="4"/>
      <c r="W622" s="4"/>
      <c r="X622" s="4"/>
      <c r="Y622" s="4"/>
      <c r="Z622" s="4"/>
    </row>
    <row r="623" ht="9.75" customHeight="1">
      <c r="A623" s="4"/>
      <c r="B623" s="7"/>
      <c r="C623" s="7"/>
      <c r="D623" s="4"/>
      <c r="E623" s="4"/>
      <c r="F623" s="7"/>
      <c r="G623" s="7"/>
      <c r="H623" s="4"/>
      <c r="I623" s="4"/>
      <c r="J623" s="7"/>
      <c r="K623" s="4"/>
      <c r="L623" s="4"/>
      <c r="M623" s="4"/>
      <c r="N623" s="4"/>
      <c r="O623" s="4"/>
      <c r="P623" s="4"/>
      <c r="Q623" s="4"/>
      <c r="R623" s="4"/>
      <c r="S623" s="4"/>
      <c r="T623" s="4"/>
      <c r="U623" s="4"/>
      <c r="V623" s="4"/>
      <c r="W623" s="4"/>
      <c r="X623" s="4"/>
      <c r="Y623" s="4"/>
      <c r="Z623" s="4"/>
    </row>
    <row r="624" ht="9.75" customHeight="1">
      <c r="A624" s="4"/>
      <c r="B624" s="7"/>
      <c r="C624" s="7"/>
      <c r="D624" s="4"/>
      <c r="E624" s="4"/>
      <c r="F624" s="7"/>
      <c r="G624" s="7"/>
      <c r="H624" s="4"/>
      <c r="I624" s="4"/>
      <c r="J624" s="7"/>
      <c r="K624" s="4"/>
      <c r="L624" s="4"/>
      <c r="M624" s="4"/>
      <c r="N624" s="4"/>
      <c r="O624" s="4"/>
      <c r="P624" s="4"/>
      <c r="Q624" s="4"/>
      <c r="R624" s="4"/>
      <c r="S624" s="4"/>
      <c r="T624" s="4"/>
      <c r="U624" s="4"/>
      <c r="V624" s="4"/>
      <c r="W624" s="4"/>
      <c r="X624" s="4"/>
      <c r="Y624" s="4"/>
      <c r="Z624" s="4"/>
    </row>
    <row r="625" ht="9.75" customHeight="1">
      <c r="A625" s="4"/>
      <c r="B625" s="7"/>
      <c r="C625" s="7"/>
      <c r="D625" s="4"/>
      <c r="E625" s="4"/>
      <c r="F625" s="7"/>
      <c r="G625" s="7"/>
      <c r="H625" s="4"/>
      <c r="I625" s="4"/>
      <c r="J625" s="7"/>
      <c r="K625" s="4"/>
      <c r="L625" s="4"/>
      <c r="M625" s="4"/>
      <c r="N625" s="4"/>
      <c r="O625" s="4"/>
      <c r="P625" s="4"/>
      <c r="Q625" s="4"/>
      <c r="R625" s="4"/>
      <c r="S625" s="4"/>
      <c r="T625" s="4"/>
      <c r="U625" s="4"/>
      <c r="V625" s="4"/>
      <c r="W625" s="4"/>
      <c r="X625" s="4"/>
      <c r="Y625" s="4"/>
      <c r="Z625" s="4"/>
    </row>
    <row r="626" ht="9.75" customHeight="1">
      <c r="A626" s="4"/>
      <c r="B626" s="7"/>
      <c r="C626" s="7"/>
      <c r="D626" s="4"/>
      <c r="E626" s="4"/>
      <c r="F626" s="7"/>
      <c r="G626" s="7"/>
      <c r="H626" s="4"/>
      <c r="I626" s="4"/>
      <c r="J626" s="7"/>
      <c r="K626" s="4"/>
      <c r="L626" s="4"/>
      <c r="M626" s="4"/>
      <c r="N626" s="4"/>
      <c r="O626" s="4"/>
      <c r="P626" s="4"/>
      <c r="Q626" s="4"/>
      <c r="R626" s="4"/>
      <c r="S626" s="4"/>
      <c r="T626" s="4"/>
      <c r="U626" s="4"/>
      <c r="V626" s="4"/>
      <c r="W626" s="4"/>
      <c r="X626" s="4"/>
      <c r="Y626" s="4"/>
      <c r="Z626" s="4"/>
    </row>
    <row r="627" ht="9.75" customHeight="1">
      <c r="A627" s="4"/>
      <c r="B627" s="7"/>
      <c r="C627" s="7"/>
      <c r="D627" s="4"/>
      <c r="E627" s="4"/>
      <c r="F627" s="7"/>
      <c r="G627" s="7"/>
      <c r="H627" s="4"/>
      <c r="I627" s="4"/>
      <c r="J627" s="7"/>
      <c r="K627" s="4"/>
      <c r="L627" s="4"/>
      <c r="M627" s="4"/>
      <c r="N627" s="4"/>
      <c r="O627" s="4"/>
      <c r="P627" s="4"/>
      <c r="Q627" s="4"/>
      <c r="R627" s="4"/>
      <c r="S627" s="4"/>
      <c r="T627" s="4"/>
      <c r="U627" s="4"/>
      <c r="V627" s="4"/>
      <c r="W627" s="4"/>
      <c r="X627" s="4"/>
      <c r="Y627" s="4"/>
      <c r="Z627" s="4"/>
    </row>
    <row r="628" ht="9.75" customHeight="1">
      <c r="A628" s="4"/>
      <c r="B628" s="7"/>
      <c r="C628" s="7"/>
      <c r="D628" s="4"/>
      <c r="E628" s="4"/>
      <c r="F628" s="7"/>
      <c r="G628" s="7"/>
      <c r="H628" s="4"/>
      <c r="I628" s="4"/>
      <c r="J628" s="7"/>
      <c r="K628" s="4"/>
      <c r="L628" s="4"/>
      <c r="M628" s="4"/>
      <c r="N628" s="4"/>
      <c r="O628" s="4"/>
      <c r="P628" s="4"/>
      <c r="Q628" s="4"/>
      <c r="R628" s="4"/>
      <c r="S628" s="4"/>
      <c r="T628" s="4"/>
      <c r="U628" s="4"/>
      <c r="V628" s="4"/>
      <c r="W628" s="4"/>
      <c r="X628" s="4"/>
      <c r="Y628" s="4"/>
      <c r="Z628" s="4"/>
    </row>
    <row r="629" ht="9.75" customHeight="1">
      <c r="A629" s="4"/>
      <c r="B629" s="7"/>
      <c r="C629" s="7"/>
      <c r="D629" s="4"/>
      <c r="E629" s="4"/>
      <c r="F629" s="7"/>
      <c r="G629" s="7"/>
      <c r="H629" s="4"/>
      <c r="I629" s="4"/>
      <c r="J629" s="7"/>
      <c r="K629" s="4"/>
      <c r="L629" s="4"/>
      <c r="M629" s="4"/>
      <c r="N629" s="4"/>
      <c r="O629" s="4"/>
      <c r="P629" s="4"/>
      <c r="Q629" s="4"/>
      <c r="R629" s="4"/>
      <c r="S629" s="4"/>
      <c r="T629" s="4"/>
      <c r="U629" s="4"/>
      <c r="V629" s="4"/>
      <c r="W629" s="4"/>
      <c r="X629" s="4"/>
      <c r="Y629" s="4"/>
      <c r="Z629" s="4"/>
    </row>
    <row r="630" ht="9.75" customHeight="1">
      <c r="A630" s="4"/>
      <c r="B630" s="7"/>
      <c r="C630" s="7"/>
      <c r="D630" s="4"/>
      <c r="E630" s="4"/>
      <c r="F630" s="7"/>
      <c r="G630" s="7"/>
      <c r="H630" s="4"/>
      <c r="I630" s="4"/>
      <c r="J630" s="7"/>
      <c r="K630" s="4"/>
      <c r="L630" s="4"/>
      <c r="M630" s="4"/>
      <c r="N630" s="4"/>
      <c r="O630" s="4"/>
      <c r="P630" s="4"/>
      <c r="Q630" s="4"/>
      <c r="R630" s="4"/>
      <c r="S630" s="4"/>
      <c r="T630" s="4"/>
      <c r="U630" s="4"/>
      <c r="V630" s="4"/>
      <c r="W630" s="4"/>
      <c r="X630" s="4"/>
      <c r="Y630" s="4"/>
      <c r="Z630" s="4"/>
    </row>
    <row r="631" ht="9.75" customHeight="1">
      <c r="A631" s="4"/>
      <c r="B631" s="7"/>
      <c r="C631" s="7"/>
      <c r="D631" s="4"/>
      <c r="E631" s="4"/>
      <c r="F631" s="7"/>
      <c r="G631" s="7"/>
      <c r="H631" s="4"/>
      <c r="I631" s="4"/>
      <c r="J631" s="7"/>
      <c r="K631" s="4"/>
      <c r="L631" s="4"/>
      <c r="M631" s="4"/>
      <c r="N631" s="4"/>
      <c r="O631" s="4"/>
      <c r="P631" s="4"/>
      <c r="Q631" s="4"/>
      <c r="R631" s="4"/>
      <c r="S631" s="4"/>
      <c r="T631" s="4"/>
      <c r="U631" s="4"/>
      <c r="V631" s="4"/>
      <c r="W631" s="4"/>
      <c r="X631" s="4"/>
      <c r="Y631" s="4"/>
      <c r="Z631" s="4"/>
    </row>
    <row r="632" ht="9.75" customHeight="1">
      <c r="A632" s="4"/>
      <c r="B632" s="7"/>
      <c r="C632" s="7"/>
      <c r="D632" s="4"/>
      <c r="E632" s="4"/>
      <c r="F632" s="7"/>
      <c r="G632" s="7"/>
      <c r="H632" s="4"/>
      <c r="I632" s="4"/>
      <c r="J632" s="7"/>
      <c r="K632" s="4"/>
      <c r="L632" s="4"/>
      <c r="M632" s="4"/>
      <c r="N632" s="4"/>
      <c r="O632" s="4"/>
      <c r="P632" s="4"/>
      <c r="Q632" s="4"/>
      <c r="R632" s="4"/>
      <c r="S632" s="4"/>
      <c r="T632" s="4"/>
      <c r="U632" s="4"/>
      <c r="V632" s="4"/>
      <c r="W632" s="4"/>
      <c r="X632" s="4"/>
      <c r="Y632" s="4"/>
      <c r="Z632" s="4"/>
    </row>
    <row r="633" ht="9.75" customHeight="1">
      <c r="A633" s="4"/>
      <c r="B633" s="7"/>
      <c r="C633" s="7"/>
      <c r="D633" s="4"/>
      <c r="E633" s="4"/>
      <c r="F633" s="7"/>
      <c r="G633" s="7"/>
      <c r="H633" s="4"/>
      <c r="I633" s="4"/>
      <c r="J633" s="7"/>
      <c r="K633" s="4"/>
      <c r="L633" s="4"/>
      <c r="M633" s="4"/>
      <c r="N633" s="4"/>
      <c r="O633" s="4"/>
      <c r="P633" s="4"/>
      <c r="Q633" s="4"/>
      <c r="R633" s="4"/>
      <c r="S633" s="4"/>
      <c r="T633" s="4"/>
      <c r="U633" s="4"/>
      <c r="V633" s="4"/>
      <c r="W633" s="4"/>
      <c r="X633" s="4"/>
      <c r="Y633" s="4"/>
      <c r="Z633" s="4"/>
    </row>
    <row r="634" ht="9.75" customHeight="1">
      <c r="A634" s="4"/>
      <c r="B634" s="7"/>
      <c r="C634" s="7"/>
      <c r="D634" s="4"/>
      <c r="E634" s="4"/>
      <c r="F634" s="7"/>
      <c r="G634" s="7"/>
      <c r="H634" s="4"/>
      <c r="I634" s="4"/>
      <c r="J634" s="7"/>
      <c r="K634" s="4"/>
      <c r="L634" s="4"/>
      <c r="M634" s="4"/>
      <c r="N634" s="4"/>
      <c r="O634" s="4"/>
      <c r="P634" s="4"/>
      <c r="Q634" s="4"/>
      <c r="R634" s="4"/>
      <c r="S634" s="4"/>
      <c r="T634" s="4"/>
      <c r="U634" s="4"/>
      <c r="V634" s="4"/>
      <c r="W634" s="4"/>
      <c r="X634" s="4"/>
      <c r="Y634" s="4"/>
      <c r="Z634" s="4"/>
    </row>
    <row r="635" ht="9.75" customHeight="1">
      <c r="A635" s="4"/>
      <c r="B635" s="7"/>
      <c r="C635" s="7"/>
      <c r="D635" s="4"/>
      <c r="E635" s="4"/>
      <c r="F635" s="7"/>
      <c r="G635" s="7"/>
      <c r="H635" s="4"/>
      <c r="I635" s="4"/>
      <c r="J635" s="7"/>
      <c r="K635" s="4"/>
      <c r="L635" s="4"/>
      <c r="M635" s="4"/>
      <c r="N635" s="4"/>
      <c r="O635" s="4"/>
      <c r="P635" s="4"/>
      <c r="Q635" s="4"/>
      <c r="R635" s="4"/>
      <c r="S635" s="4"/>
      <c r="T635" s="4"/>
      <c r="U635" s="4"/>
      <c r="V635" s="4"/>
      <c r="W635" s="4"/>
      <c r="X635" s="4"/>
      <c r="Y635" s="4"/>
      <c r="Z635" s="4"/>
    </row>
    <row r="636" ht="9.75" customHeight="1">
      <c r="A636" s="4"/>
      <c r="B636" s="7"/>
      <c r="C636" s="7"/>
      <c r="D636" s="4"/>
      <c r="E636" s="4"/>
      <c r="F636" s="7"/>
      <c r="G636" s="7"/>
      <c r="H636" s="4"/>
      <c r="I636" s="4"/>
      <c r="J636" s="7"/>
      <c r="K636" s="4"/>
      <c r="L636" s="4"/>
      <c r="M636" s="4"/>
      <c r="N636" s="4"/>
      <c r="O636" s="4"/>
      <c r="P636" s="4"/>
      <c r="Q636" s="4"/>
      <c r="R636" s="4"/>
      <c r="S636" s="4"/>
      <c r="T636" s="4"/>
      <c r="U636" s="4"/>
      <c r="V636" s="4"/>
      <c r="W636" s="4"/>
      <c r="X636" s="4"/>
      <c r="Y636" s="4"/>
      <c r="Z636" s="4"/>
    </row>
    <row r="637" ht="9.75" customHeight="1">
      <c r="A637" s="4"/>
      <c r="B637" s="7"/>
      <c r="C637" s="7"/>
      <c r="D637" s="4"/>
      <c r="E637" s="4"/>
      <c r="F637" s="7"/>
      <c r="G637" s="7"/>
      <c r="H637" s="4"/>
      <c r="I637" s="4"/>
      <c r="J637" s="7"/>
      <c r="K637" s="4"/>
      <c r="L637" s="4"/>
      <c r="M637" s="4"/>
      <c r="N637" s="4"/>
      <c r="O637" s="4"/>
      <c r="P637" s="4"/>
      <c r="Q637" s="4"/>
      <c r="R637" s="4"/>
      <c r="S637" s="4"/>
      <c r="T637" s="4"/>
      <c r="U637" s="4"/>
      <c r="V637" s="4"/>
      <c r="W637" s="4"/>
      <c r="X637" s="4"/>
      <c r="Y637" s="4"/>
      <c r="Z637" s="4"/>
    </row>
    <row r="638" ht="9.75" customHeight="1">
      <c r="A638" s="4"/>
      <c r="B638" s="7"/>
      <c r="C638" s="7"/>
      <c r="D638" s="4"/>
      <c r="E638" s="4"/>
      <c r="F638" s="7"/>
      <c r="G638" s="7"/>
      <c r="H638" s="4"/>
      <c r="I638" s="4"/>
      <c r="J638" s="7"/>
      <c r="K638" s="4"/>
      <c r="L638" s="4"/>
      <c r="M638" s="4"/>
      <c r="N638" s="4"/>
      <c r="O638" s="4"/>
      <c r="P638" s="4"/>
      <c r="Q638" s="4"/>
      <c r="R638" s="4"/>
      <c r="S638" s="4"/>
      <c r="T638" s="4"/>
      <c r="U638" s="4"/>
      <c r="V638" s="4"/>
      <c r="W638" s="4"/>
      <c r="X638" s="4"/>
      <c r="Y638" s="4"/>
      <c r="Z638" s="4"/>
    </row>
    <row r="639" ht="9.75" customHeight="1">
      <c r="A639" s="4"/>
      <c r="B639" s="7"/>
      <c r="C639" s="7"/>
      <c r="D639" s="4"/>
      <c r="E639" s="4"/>
      <c r="F639" s="7"/>
      <c r="G639" s="7"/>
      <c r="H639" s="4"/>
      <c r="I639" s="4"/>
      <c r="J639" s="7"/>
      <c r="K639" s="4"/>
      <c r="L639" s="4"/>
      <c r="M639" s="4"/>
      <c r="N639" s="4"/>
      <c r="O639" s="4"/>
      <c r="P639" s="4"/>
      <c r="Q639" s="4"/>
      <c r="R639" s="4"/>
      <c r="S639" s="4"/>
      <c r="T639" s="4"/>
      <c r="U639" s="4"/>
      <c r="V639" s="4"/>
      <c r="W639" s="4"/>
      <c r="X639" s="4"/>
      <c r="Y639" s="4"/>
      <c r="Z639" s="4"/>
    </row>
    <row r="640" ht="9.75" customHeight="1">
      <c r="A640" s="4"/>
      <c r="B640" s="7"/>
      <c r="C640" s="7"/>
      <c r="D640" s="4"/>
      <c r="E640" s="4"/>
      <c r="F640" s="7"/>
      <c r="G640" s="7"/>
      <c r="H640" s="4"/>
      <c r="I640" s="4"/>
      <c r="J640" s="7"/>
      <c r="K640" s="4"/>
      <c r="L640" s="4"/>
      <c r="M640" s="4"/>
      <c r="N640" s="4"/>
      <c r="O640" s="4"/>
      <c r="P640" s="4"/>
      <c r="Q640" s="4"/>
      <c r="R640" s="4"/>
      <c r="S640" s="4"/>
      <c r="T640" s="4"/>
      <c r="U640" s="4"/>
      <c r="V640" s="4"/>
      <c r="W640" s="4"/>
      <c r="X640" s="4"/>
      <c r="Y640" s="4"/>
      <c r="Z640" s="4"/>
    </row>
    <row r="641" ht="9.75" customHeight="1">
      <c r="A641" s="4"/>
      <c r="B641" s="7"/>
      <c r="C641" s="7"/>
      <c r="D641" s="4"/>
      <c r="E641" s="4"/>
      <c r="F641" s="7"/>
      <c r="G641" s="7"/>
      <c r="H641" s="4"/>
      <c r="I641" s="4"/>
      <c r="J641" s="7"/>
      <c r="K641" s="4"/>
      <c r="L641" s="4"/>
      <c r="M641" s="4"/>
      <c r="N641" s="4"/>
      <c r="O641" s="4"/>
      <c r="P641" s="4"/>
      <c r="Q641" s="4"/>
      <c r="R641" s="4"/>
      <c r="S641" s="4"/>
      <c r="T641" s="4"/>
      <c r="U641" s="4"/>
      <c r="V641" s="4"/>
      <c r="W641" s="4"/>
      <c r="X641" s="4"/>
      <c r="Y641" s="4"/>
      <c r="Z641" s="4"/>
    </row>
    <row r="642" ht="9.75" customHeight="1">
      <c r="A642" s="4"/>
      <c r="B642" s="7"/>
      <c r="C642" s="7"/>
      <c r="D642" s="4"/>
      <c r="E642" s="4"/>
      <c r="F642" s="7"/>
      <c r="G642" s="7"/>
      <c r="H642" s="4"/>
      <c r="I642" s="4"/>
      <c r="J642" s="7"/>
      <c r="K642" s="4"/>
      <c r="L642" s="4"/>
      <c r="M642" s="4"/>
      <c r="N642" s="4"/>
      <c r="O642" s="4"/>
      <c r="P642" s="4"/>
      <c r="Q642" s="4"/>
      <c r="R642" s="4"/>
      <c r="S642" s="4"/>
      <c r="T642" s="4"/>
      <c r="U642" s="4"/>
      <c r="V642" s="4"/>
      <c r="W642" s="4"/>
      <c r="X642" s="4"/>
      <c r="Y642" s="4"/>
      <c r="Z642" s="4"/>
    </row>
    <row r="643" ht="9.75" customHeight="1">
      <c r="A643" s="4"/>
      <c r="B643" s="7"/>
      <c r="C643" s="7"/>
      <c r="D643" s="4"/>
      <c r="E643" s="4"/>
      <c r="F643" s="7"/>
      <c r="G643" s="7"/>
      <c r="H643" s="4"/>
      <c r="I643" s="4"/>
      <c r="J643" s="7"/>
      <c r="K643" s="4"/>
      <c r="L643" s="4"/>
      <c r="M643" s="4"/>
      <c r="N643" s="4"/>
      <c r="O643" s="4"/>
      <c r="P643" s="4"/>
      <c r="Q643" s="4"/>
      <c r="R643" s="4"/>
      <c r="S643" s="4"/>
      <c r="T643" s="4"/>
      <c r="U643" s="4"/>
      <c r="V643" s="4"/>
      <c r="W643" s="4"/>
      <c r="X643" s="4"/>
      <c r="Y643" s="4"/>
      <c r="Z643" s="4"/>
    </row>
    <row r="644" ht="9.75" customHeight="1">
      <c r="A644" s="4"/>
      <c r="B644" s="7"/>
      <c r="C644" s="7"/>
      <c r="D644" s="4"/>
      <c r="E644" s="4"/>
      <c r="F644" s="7"/>
      <c r="G644" s="7"/>
      <c r="H644" s="4"/>
      <c r="I644" s="4"/>
      <c r="J644" s="7"/>
      <c r="K644" s="4"/>
      <c r="L644" s="4"/>
      <c r="M644" s="4"/>
      <c r="N644" s="4"/>
      <c r="O644" s="4"/>
      <c r="P644" s="4"/>
      <c r="Q644" s="4"/>
      <c r="R644" s="4"/>
      <c r="S644" s="4"/>
      <c r="T644" s="4"/>
      <c r="U644" s="4"/>
      <c r="V644" s="4"/>
      <c r="W644" s="4"/>
      <c r="X644" s="4"/>
      <c r="Y644" s="4"/>
      <c r="Z644" s="4"/>
    </row>
    <row r="645" ht="9.75" customHeight="1">
      <c r="A645" s="4"/>
      <c r="B645" s="7"/>
      <c r="C645" s="7"/>
      <c r="D645" s="4"/>
      <c r="E645" s="4"/>
      <c r="F645" s="7"/>
      <c r="G645" s="7"/>
      <c r="H645" s="4"/>
      <c r="I645" s="4"/>
      <c r="J645" s="7"/>
      <c r="K645" s="4"/>
      <c r="L645" s="4"/>
      <c r="M645" s="4"/>
      <c r="N645" s="4"/>
      <c r="O645" s="4"/>
      <c r="P645" s="4"/>
      <c r="Q645" s="4"/>
      <c r="R645" s="4"/>
      <c r="S645" s="4"/>
      <c r="T645" s="4"/>
      <c r="U645" s="4"/>
      <c r="V645" s="4"/>
      <c r="W645" s="4"/>
      <c r="X645" s="4"/>
      <c r="Y645" s="4"/>
      <c r="Z645" s="4"/>
    </row>
    <row r="646" ht="9.75" customHeight="1">
      <c r="A646" s="4"/>
      <c r="B646" s="7"/>
      <c r="C646" s="7"/>
      <c r="D646" s="4"/>
      <c r="E646" s="4"/>
      <c r="F646" s="7"/>
      <c r="G646" s="7"/>
      <c r="H646" s="4"/>
      <c r="I646" s="4"/>
      <c r="J646" s="7"/>
      <c r="K646" s="4"/>
      <c r="L646" s="4"/>
      <c r="M646" s="4"/>
      <c r="N646" s="4"/>
      <c r="O646" s="4"/>
      <c r="P646" s="4"/>
      <c r="Q646" s="4"/>
      <c r="R646" s="4"/>
      <c r="S646" s="4"/>
      <c r="T646" s="4"/>
      <c r="U646" s="4"/>
      <c r="V646" s="4"/>
      <c r="W646" s="4"/>
      <c r="X646" s="4"/>
      <c r="Y646" s="4"/>
      <c r="Z646" s="4"/>
    </row>
    <row r="647" ht="9.75" customHeight="1">
      <c r="A647" s="4"/>
      <c r="B647" s="7"/>
      <c r="C647" s="7"/>
      <c r="D647" s="4"/>
      <c r="E647" s="4"/>
      <c r="F647" s="7"/>
      <c r="G647" s="7"/>
      <c r="H647" s="4"/>
      <c r="I647" s="4"/>
      <c r="J647" s="7"/>
      <c r="K647" s="4"/>
      <c r="L647" s="4"/>
      <c r="M647" s="4"/>
      <c r="N647" s="4"/>
      <c r="O647" s="4"/>
      <c r="P647" s="4"/>
      <c r="Q647" s="4"/>
      <c r="R647" s="4"/>
      <c r="S647" s="4"/>
      <c r="T647" s="4"/>
      <c r="U647" s="4"/>
      <c r="V647" s="4"/>
      <c r="W647" s="4"/>
      <c r="X647" s="4"/>
      <c r="Y647" s="4"/>
      <c r="Z647" s="4"/>
    </row>
    <row r="648" ht="9.75" customHeight="1">
      <c r="A648" s="4"/>
      <c r="B648" s="7"/>
      <c r="C648" s="7"/>
      <c r="D648" s="4"/>
      <c r="E648" s="4"/>
      <c r="F648" s="7"/>
      <c r="G648" s="7"/>
      <c r="H648" s="4"/>
      <c r="I648" s="4"/>
      <c r="J648" s="7"/>
      <c r="K648" s="4"/>
      <c r="L648" s="4"/>
      <c r="M648" s="4"/>
      <c r="N648" s="4"/>
      <c r="O648" s="4"/>
      <c r="P648" s="4"/>
      <c r="Q648" s="4"/>
      <c r="R648" s="4"/>
      <c r="S648" s="4"/>
      <c r="T648" s="4"/>
      <c r="U648" s="4"/>
      <c r="V648" s="4"/>
      <c r="W648" s="4"/>
      <c r="X648" s="4"/>
      <c r="Y648" s="4"/>
      <c r="Z648" s="4"/>
    </row>
    <row r="649" ht="9.75" customHeight="1">
      <c r="A649" s="4"/>
      <c r="B649" s="7"/>
      <c r="C649" s="7"/>
      <c r="D649" s="4"/>
      <c r="E649" s="4"/>
      <c r="F649" s="7"/>
      <c r="G649" s="7"/>
      <c r="H649" s="4"/>
      <c r="I649" s="4"/>
      <c r="J649" s="7"/>
      <c r="K649" s="4"/>
      <c r="L649" s="4"/>
      <c r="M649" s="4"/>
      <c r="N649" s="4"/>
      <c r="O649" s="4"/>
      <c r="P649" s="4"/>
      <c r="Q649" s="4"/>
      <c r="R649" s="4"/>
      <c r="S649" s="4"/>
      <c r="T649" s="4"/>
      <c r="U649" s="4"/>
      <c r="V649" s="4"/>
      <c r="W649" s="4"/>
      <c r="X649" s="4"/>
      <c r="Y649" s="4"/>
      <c r="Z649" s="4"/>
    </row>
    <row r="650" ht="9.75" customHeight="1">
      <c r="A650" s="4"/>
      <c r="B650" s="7"/>
      <c r="C650" s="7"/>
      <c r="D650" s="4"/>
      <c r="E650" s="4"/>
      <c r="F650" s="7"/>
      <c r="G650" s="7"/>
      <c r="H650" s="4"/>
      <c r="I650" s="4"/>
      <c r="J650" s="7"/>
      <c r="K650" s="4"/>
      <c r="L650" s="4"/>
      <c r="M650" s="4"/>
      <c r="N650" s="4"/>
      <c r="O650" s="4"/>
      <c r="P650" s="4"/>
      <c r="Q650" s="4"/>
      <c r="R650" s="4"/>
      <c r="S650" s="4"/>
      <c r="T650" s="4"/>
      <c r="U650" s="4"/>
      <c r="V650" s="4"/>
      <c r="W650" s="4"/>
      <c r="X650" s="4"/>
      <c r="Y650" s="4"/>
      <c r="Z650" s="4"/>
    </row>
    <row r="651" ht="9.75" customHeight="1">
      <c r="A651" s="4"/>
      <c r="B651" s="7"/>
      <c r="C651" s="7"/>
      <c r="D651" s="4"/>
      <c r="E651" s="4"/>
      <c r="F651" s="7"/>
      <c r="G651" s="7"/>
      <c r="H651" s="4"/>
      <c r="I651" s="4"/>
      <c r="J651" s="7"/>
      <c r="K651" s="4"/>
      <c r="L651" s="4"/>
      <c r="M651" s="4"/>
      <c r="N651" s="4"/>
      <c r="O651" s="4"/>
      <c r="P651" s="4"/>
      <c r="Q651" s="4"/>
      <c r="R651" s="4"/>
      <c r="S651" s="4"/>
      <c r="T651" s="4"/>
      <c r="U651" s="4"/>
      <c r="V651" s="4"/>
      <c r="W651" s="4"/>
      <c r="X651" s="4"/>
      <c r="Y651" s="4"/>
      <c r="Z651" s="4"/>
    </row>
    <row r="652" ht="9.75" customHeight="1">
      <c r="A652" s="4"/>
      <c r="B652" s="7"/>
      <c r="C652" s="7"/>
      <c r="D652" s="4"/>
      <c r="E652" s="4"/>
      <c r="F652" s="7"/>
      <c r="G652" s="7"/>
      <c r="H652" s="4"/>
      <c r="I652" s="4"/>
      <c r="J652" s="7"/>
      <c r="K652" s="4"/>
      <c r="L652" s="4"/>
      <c r="M652" s="4"/>
      <c r="N652" s="4"/>
      <c r="O652" s="4"/>
      <c r="P652" s="4"/>
      <c r="Q652" s="4"/>
      <c r="R652" s="4"/>
      <c r="S652" s="4"/>
      <c r="T652" s="4"/>
      <c r="U652" s="4"/>
      <c r="V652" s="4"/>
      <c r="W652" s="4"/>
      <c r="X652" s="4"/>
      <c r="Y652" s="4"/>
      <c r="Z652" s="4"/>
    </row>
    <row r="653" ht="9.75" customHeight="1">
      <c r="A653" s="4"/>
      <c r="B653" s="7"/>
      <c r="C653" s="7"/>
      <c r="D653" s="4"/>
      <c r="E653" s="4"/>
      <c r="F653" s="7"/>
      <c r="G653" s="7"/>
      <c r="H653" s="4"/>
      <c r="I653" s="4"/>
      <c r="J653" s="7"/>
      <c r="K653" s="4"/>
      <c r="L653" s="4"/>
      <c r="M653" s="4"/>
      <c r="N653" s="4"/>
      <c r="O653" s="4"/>
      <c r="P653" s="4"/>
      <c r="Q653" s="4"/>
      <c r="R653" s="4"/>
      <c r="S653" s="4"/>
      <c r="T653" s="4"/>
      <c r="U653" s="4"/>
      <c r="V653" s="4"/>
      <c r="W653" s="4"/>
      <c r="X653" s="4"/>
      <c r="Y653" s="4"/>
      <c r="Z653" s="4"/>
    </row>
    <row r="654" ht="9.75" customHeight="1">
      <c r="A654" s="4"/>
      <c r="B654" s="7"/>
      <c r="C654" s="7"/>
      <c r="D654" s="4"/>
      <c r="E654" s="4"/>
      <c r="F654" s="7"/>
      <c r="G654" s="7"/>
      <c r="H654" s="4"/>
      <c r="I654" s="4"/>
      <c r="J654" s="7"/>
      <c r="K654" s="4"/>
      <c r="L654" s="4"/>
      <c r="M654" s="4"/>
      <c r="N654" s="4"/>
      <c r="O654" s="4"/>
      <c r="P654" s="4"/>
      <c r="Q654" s="4"/>
      <c r="R654" s="4"/>
      <c r="S654" s="4"/>
      <c r="T654" s="4"/>
      <c r="U654" s="4"/>
      <c r="V654" s="4"/>
      <c r="W654" s="4"/>
      <c r="X654" s="4"/>
      <c r="Y654" s="4"/>
      <c r="Z654" s="4"/>
    </row>
    <row r="655" ht="9.75" customHeight="1">
      <c r="A655" s="4"/>
      <c r="B655" s="7"/>
      <c r="C655" s="7"/>
      <c r="D655" s="4"/>
      <c r="E655" s="4"/>
      <c r="F655" s="7"/>
      <c r="G655" s="7"/>
      <c r="H655" s="4"/>
      <c r="I655" s="4"/>
      <c r="J655" s="7"/>
      <c r="K655" s="4"/>
      <c r="L655" s="4"/>
      <c r="M655" s="4"/>
      <c r="N655" s="4"/>
      <c r="O655" s="4"/>
      <c r="P655" s="4"/>
      <c r="Q655" s="4"/>
      <c r="R655" s="4"/>
      <c r="S655" s="4"/>
      <c r="T655" s="4"/>
      <c r="U655" s="4"/>
      <c r="V655" s="4"/>
      <c r="W655" s="4"/>
      <c r="X655" s="4"/>
      <c r="Y655" s="4"/>
      <c r="Z655" s="4"/>
    </row>
    <row r="656" ht="9.75" customHeight="1">
      <c r="A656" s="4"/>
      <c r="B656" s="7"/>
      <c r="C656" s="7"/>
      <c r="D656" s="4"/>
      <c r="E656" s="4"/>
      <c r="F656" s="7"/>
      <c r="G656" s="7"/>
      <c r="H656" s="4"/>
      <c r="I656" s="4"/>
      <c r="J656" s="7"/>
      <c r="K656" s="4"/>
      <c r="L656" s="4"/>
      <c r="M656" s="4"/>
      <c r="N656" s="4"/>
      <c r="O656" s="4"/>
      <c r="P656" s="4"/>
      <c r="Q656" s="4"/>
      <c r="R656" s="4"/>
      <c r="S656" s="4"/>
      <c r="T656" s="4"/>
      <c r="U656" s="4"/>
      <c r="V656" s="4"/>
      <c r="W656" s="4"/>
      <c r="X656" s="4"/>
      <c r="Y656" s="4"/>
      <c r="Z656" s="4"/>
    </row>
    <row r="657" ht="9.75" customHeight="1">
      <c r="A657" s="4"/>
      <c r="B657" s="7"/>
      <c r="C657" s="7"/>
      <c r="D657" s="4"/>
      <c r="E657" s="4"/>
      <c r="F657" s="7"/>
      <c r="G657" s="7"/>
      <c r="H657" s="4"/>
      <c r="I657" s="4"/>
      <c r="J657" s="7"/>
      <c r="K657" s="4"/>
      <c r="L657" s="4"/>
      <c r="M657" s="4"/>
      <c r="N657" s="4"/>
      <c r="O657" s="4"/>
      <c r="P657" s="4"/>
      <c r="Q657" s="4"/>
      <c r="R657" s="4"/>
      <c r="S657" s="4"/>
      <c r="T657" s="4"/>
      <c r="U657" s="4"/>
      <c r="V657" s="4"/>
      <c r="W657" s="4"/>
      <c r="X657" s="4"/>
      <c r="Y657" s="4"/>
      <c r="Z657" s="4"/>
    </row>
    <row r="658" ht="9.75" customHeight="1">
      <c r="A658" s="4"/>
      <c r="B658" s="7"/>
      <c r="C658" s="7"/>
      <c r="D658" s="4"/>
      <c r="E658" s="4"/>
      <c r="F658" s="7"/>
      <c r="G658" s="7"/>
      <c r="H658" s="4"/>
      <c r="I658" s="4"/>
      <c r="J658" s="7"/>
      <c r="K658" s="4"/>
      <c r="L658" s="4"/>
      <c r="M658" s="4"/>
      <c r="N658" s="4"/>
      <c r="O658" s="4"/>
      <c r="P658" s="4"/>
      <c r="Q658" s="4"/>
      <c r="R658" s="4"/>
      <c r="S658" s="4"/>
      <c r="T658" s="4"/>
      <c r="U658" s="4"/>
      <c r="V658" s="4"/>
      <c r="W658" s="4"/>
      <c r="X658" s="4"/>
      <c r="Y658" s="4"/>
      <c r="Z658" s="4"/>
    </row>
    <row r="659" ht="9.75" customHeight="1">
      <c r="A659" s="4"/>
      <c r="B659" s="7"/>
      <c r="C659" s="7"/>
      <c r="D659" s="4"/>
      <c r="E659" s="4"/>
      <c r="F659" s="7"/>
      <c r="G659" s="7"/>
      <c r="H659" s="4"/>
      <c r="I659" s="4"/>
      <c r="J659" s="7"/>
      <c r="K659" s="4"/>
      <c r="L659" s="4"/>
      <c r="M659" s="4"/>
      <c r="N659" s="4"/>
      <c r="O659" s="4"/>
      <c r="P659" s="4"/>
      <c r="Q659" s="4"/>
      <c r="R659" s="4"/>
      <c r="S659" s="4"/>
      <c r="T659" s="4"/>
      <c r="U659" s="4"/>
      <c r="V659" s="4"/>
      <c r="W659" s="4"/>
      <c r="X659" s="4"/>
      <c r="Y659" s="4"/>
      <c r="Z659" s="4"/>
    </row>
    <row r="660" ht="9.75" customHeight="1">
      <c r="A660" s="4"/>
      <c r="B660" s="7"/>
      <c r="C660" s="7"/>
      <c r="D660" s="4"/>
      <c r="E660" s="4"/>
      <c r="F660" s="7"/>
      <c r="G660" s="7"/>
      <c r="H660" s="4"/>
      <c r="I660" s="4"/>
      <c r="J660" s="7"/>
      <c r="K660" s="4"/>
      <c r="L660" s="4"/>
      <c r="M660" s="4"/>
      <c r="N660" s="4"/>
      <c r="O660" s="4"/>
      <c r="P660" s="4"/>
      <c r="Q660" s="4"/>
      <c r="R660" s="4"/>
      <c r="S660" s="4"/>
      <c r="T660" s="4"/>
      <c r="U660" s="4"/>
      <c r="V660" s="4"/>
      <c r="W660" s="4"/>
      <c r="X660" s="4"/>
      <c r="Y660" s="4"/>
      <c r="Z660" s="4"/>
    </row>
    <row r="661" ht="9.75" customHeight="1">
      <c r="A661" s="4"/>
      <c r="B661" s="7"/>
      <c r="C661" s="7"/>
      <c r="D661" s="4"/>
      <c r="E661" s="4"/>
      <c r="F661" s="7"/>
      <c r="G661" s="7"/>
      <c r="H661" s="4"/>
      <c r="I661" s="4"/>
      <c r="J661" s="7"/>
      <c r="K661" s="4"/>
      <c r="L661" s="4"/>
      <c r="M661" s="4"/>
      <c r="N661" s="4"/>
      <c r="O661" s="4"/>
      <c r="P661" s="4"/>
      <c r="Q661" s="4"/>
      <c r="R661" s="4"/>
      <c r="S661" s="4"/>
      <c r="T661" s="4"/>
      <c r="U661" s="4"/>
      <c r="V661" s="4"/>
      <c r="W661" s="4"/>
      <c r="X661" s="4"/>
      <c r="Y661" s="4"/>
      <c r="Z661" s="4"/>
    </row>
    <row r="662" ht="9.75" customHeight="1">
      <c r="A662" s="4"/>
      <c r="B662" s="7"/>
      <c r="C662" s="7"/>
      <c r="D662" s="4"/>
      <c r="E662" s="4"/>
      <c r="F662" s="7"/>
      <c r="G662" s="7"/>
      <c r="H662" s="4"/>
      <c r="I662" s="4"/>
      <c r="J662" s="7"/>
      <c r="K662" s="4"/>
      <c r="L662" s="4"/>
      <c r="M662" s="4"/>
      <c r="N662" s="4"/>
      <c r="O662" s="4"/>
      <c r="P662" s="4"/>
      <c r="Q662" s="4"/>
      <c r="R662" s="4"/>
      <c r="S662" s="4"/>
      <c r="T662" s="4"/>
      <c r="U662" s="4"/>
      <c r="V662" s="4"/>
      <c r="W662" s="4"/>
      <c r="X662" s="4"/>
      <c r="Y662" s="4"/>
      <c r="Z662" s="4"/>
    </row>
    <row r="663" ht="9.75" customHeight="1">
      <c r="A663" s="4"/>
      <c r="B663" s="7"/>
      <c r="C663" s="7"/>
      <c r="D663" s="4"/>
      <c r="E663" s="4"/>
      <c r="F663" s="7"/>
      <c r="G663" s="7"/>
      <c r="H663" s="4"/>
      <c r="I663" s="4"/>
      <c r="J663" s="7"/>
      <c r="K663" s="4"/>
      <c r="L663" s="4"/>
      <c r="M663" s="4"/>
      <c r="N663" s="4"/>
      <c r="O663" s="4"/>
      <c r="P663" s="4"/>
      <c r="Q663" s="4"/>
      <c r="R663" s="4"/>
      <c r="S663" s="4"/>
      <c r="T663" s="4"/>
      <c r="U663" s="4"/>
      <c r="V663" s="4"/>
      <c r="W663" s="4"/>
      <c r="X663" s="4"/>
      <c r="Y663" s="4"/>
      <c r="Z663" s="4"/>
    </row>
    <row r="664" ht="9.75" customHeight="1">
      <c r="A664" s="4"/>
      <c r="B664" s="7"/>
      <c r="C664" s="7"/>
      <c r="D664" s="4"/>
      <c r="E664" s="4"/>
      <c r="F664" s="7"/>
      <c r="G664" s="7"/>
      <c r="H664" s="4"/>
      <c r="I664" s="4"/>
      <c r="J664" s="7"/>
      <c r="K664" s="4"/>
      <c r="L664" s="4"/>
      <c r="M664" s="4"/>
      <c r="N664" s="4"/>
      <c r="O664" s="4"/>
      <c r="P664" s="4"/>
      <c r="Q664" s="4"/>
      <c r="R664" s="4"/>
      <c r="S664" s="4"/>
      <c r="T664" s="4"/>
      <c r="U664" s="4"/>
      <c r="V664" s="4"/>
      <c r="W664" s="4"/>
      <c r="X664" s="4"/>
      <c r="Y664" s="4"/>
      <c r="Z664" s="4"/>
    </row>
    <row r="665" ht="9.75" customHeight="1">
      <c r="A665" s="4"/>
      <c r="B665" s="7"/>
      <c r="C665" s="7"/>
      <c r="D665" s="4"/>
      <c r="E665" s="4"/>
      <c r="F665" s="7"/>
      <c r="G665" s="7"/>
      <c r="H665" s="4"/>
      <c r="I665" s="4"/>
      <c r="J665" s="7"/>
      <c r="K665" s="4"/>
      <c r="L665" s="4"/>
      <c r="M665" s="4"/>
      <c r="N665" s="4"/>
      <c r="O665" s="4"/>
      <c r="P665" s="4"/>
      <c r="Q665" s="4"/>
      <c r="R665" s="4"/>
      <c r="S665" s="4"/>
      <c r="T665" s="4"/>
      <c r="U665" s="4"/>
      <c r="V665" s="4"/>
      <c r="W665" s="4"/>
      <c r="X665" s="4"/>
      <c r="Y665" s="4"/>
      <c r="Z665" s="4"/>
    </row>
    <row r="666" ht="9.75" customHeight="1">
      <c r="A666" s="4"/>
      <c r="B666" s="7"/>
      <c r="C666" s="7"/>
      <c r="D666" s="4"/>
      <c r="E666" s="4"/>
      <c r="F666" s="7"/>
      <c r="G666" s="7"/>
      <c r="H666" s="4"/>
      <c r="I666" s="4"/>
      <c r="J666" s="7"/>
      <c r="K666" s="4"/>
      <c r="L666" s="4"/>
      <c r="M666" s="4"/>
      <c r="N666" s="4"/>
      <c r="O666" s="4"/>
      <c r="P666" s="4"/>
      <c r="Q666" s="4"/>
      <c r="R666" s="4"/>
      <c r="S666" s="4"/>
      <c r="T666" s="4"/>
      <c r="U666" s="4"/>
      <c r="V666" s="4"/>
      <c r="W666" s="4"/>
      <c r="X666" s="4"/>
      <c r="Y666" s="4"/>
      <c r="Z666" s="4"/>
    </row>
    <row r="667" ht="9.75" customHeight="1">
      <c r="A667" s="4"/>
      <c r="B667" s="7"/>
      <c r="C667" s="7"/>
      <c r="D667" s="4"/>
      <c r="E667" s="4"/>
      <c r="F667" s="7"/>
      <c r="G667" s="7"/>
      <c r="H667" s="4"/>
      <c r="I667" s="4"/>
      <c r="J667" s="7"/>
      <c r="K667" s="4"/>
      <c r="L667" s="4"/>
      <c r="M667" s="4"/>
      <c r="N667" s="4"/>
      <c r="O667" s="4"/>
      <c r="P667" s="4"/>
      <c r="Q667" s="4"/>
      <c r="R667" s="4"/>
      <c r="S667" s="4"/>
      <c r="T667" s="4"/>
      <c r="U667" s="4"/>
      <c r="V667" s="4"/>
      <c r="W667" s="4"/>
      <c r="X667" s="4"/>
      <c r="Y667" s="4"/>
      <c r="Z667" s="4"/>
    </row>
    <row r="668" ht="9.75" customHeight="1">
      <c r="A668" s="4"/>
      <c r="B668" s="7"/>
      <c r="C668" s="7"/>
      <c r="D668" s="4"/>
      <c r="E668" s="4"/>
      <c r="F668" s="7"/>
      <c r="G668" s="7"/>
      <c r="H668" s="4"/>
      <c r="I668" s="4"/>
      <c r="J668" s="7"/>
      <c r="K668" s="4"/>
      <c r="L668" s="4"/>
      <c r="M668" s="4"/>
      <c r="N668" s="4"/>
      <c r="O668" s="4"/>
      <c r="P668" s="4"/>
      <c r="Q668" s="4"/>
      <c r="R668" s="4"/>
      <c r="S668" s="4"/>
      <c r="T668" s="4"/>
      <c r="U668" s="4"/>
      <c r="V668" s="4"/>
      <c r="W668" s="4"/>
      <c r="X668" s="4"/>
      <c r="Y668" s="4"/>
      <c r="Z668" s="4"/>
    </row>
    <row r="669" ht="9.75" customHeight="1">
      <c r="A669" s="4"/>
      <c r="B669" s="7"/>
      <c r="C669" s="7"/>
      <c r="D669" s="4"/>
      <c r="E669" s="4"/>
      <c r="F669" s="7"/>
      <c r="G669" s="7"/>
      <c r="H669" s="4"/>
      <c r="I669" s="4"/>
      <c r="J669" s="7"/>
      <c r="K669" s="4"/>
      <c r="L669" s="4"/>
      <c r="M669" s="4"/>
      <c r="N669" s="4"/>
      <c r="O669" s="4"/>
      <c r="P669" s="4"/>
      <c r="Q669" s="4"/>
      <c r="R669" s="4"/>
      <c r="S669" s="4"/>
      <c r="T669" s="4"/>
      <c r="U669" s="4"/>
      <c r="V669" s="4"/>
      <c r="W669" s="4"/>
      <c r="X669" s="4"/>
      <c r="Y669" s="4"/>
      <c r="Z669" s="4"/>
    </row>
    <row r="670" ht="9.75" customHeight="1">
      <c r="A670" s="4"/>
      <c r="B670" s="7"/>
      <c r="C670" s="7"/>
      <c r="D670" s="4"/>
      <c r="E670" s="4"/>
      <c r="F670" s="7"/>
      <c r="G670" s="7"/>
      <c r="H670" s="4"/>
      <c r="I670" s="4"/>
      <c r="J670" s="7"/>
      <c r="K670" s="4"/>
      <c r="L670" s="4"/>
      <c r="M670" s="4"/>
      <c r="N670" s="4"/>
      <c r="O670" s="4"/>
      <c r="P670" s="4"/>
      <c r="Q670" s="4"/>
      <c r="R670" s="4"/>
      <c r="S670" s="4"/>
      <c r="T670" s="4"/>
      <c r="U670" s="4"/>
      <c r="V670" s="4"/>
      <c r="W670" s="4"/>
      <c r="X670" s="4"/>
      <c r="Y670" s="4"/>
      <c r="Z670" s="4"/>
    </row>
    <row r="671" ht="9.75" customHeight="1">
      <c r="A671" s="4"/>
      <c r="B671" s="7"/>
      <c r="C671" s="7"/>
      <c r="D671" s="4"/>
      <c r="E671" s="4"/>
      <c r="F671" s="7"/>
      <c r="G671" s="7"/>
      <c r="H671" s="4"/>
      <c r="I671" s="4"/>
      <c r="J671" s="7"/>
      <c r="K671" s="4"/>
      <c r="L671" s="4"/>
      <c r="M671" s="4"/>
      <c r="N671" s="4"/>
      <c r="O671" s="4"/>
      <c r="P671" s="4"/>
      <c r="Q671" s="4"/>
      <c r="R671" s="4"/>
      <c r="S671" s="4"/>
      <c r="T671" s="4"/>
      <c r="U671" s="4"/>
      <c r="V671" s="4"/>
      <c r="W671" s="4"/>
      <c r="X671" s="4"/>
      <c r="Y671" s="4"/>
      <c r="Z671" s="4"/>
    </row>
    <row r="672" ht="9.75" customHeight="1">
      <c r="A672" s="4"/>
      <c r="B672" s="7"/>
      <c r="C672" s="7"/>
      <c r="D672" s="4"/>
      <c r="E672" s="4"/>
      <c r="F672" s="7"/>
      <c r="G672" s="7"/>
      <c r="H672" s="4"/>
      <c r="I672" s="4"/>
      <c r="J672" s="7"/>
      <c r="K672" s="4"/>
      <c r="L672" s="4"/>
      <c r="M672" s="4"/>
      <c r="N672" s="4"/>
      <c r="O672" s="4"/>
      <c r="P672" s="4"/>
      <c r="Q672" s="4"/>
      <c r="R672" s="4"/>
      <c r="S672" s="4"/>
      <c r="T672" s="4"/>
      <c r="U672" s="4"/>
      <c r="V672" s="4"/>
      <c r="W672" s="4"/>
      <c r="X672" s="4"/>
      <c r="Y672" s="4"/>
      <c r="Z672" s="4"/>
    </row>
    <row r="673" ht="9.75" customHeight="1">
      <c r="A673" s="4"/>
      <c r="B673" s="7"/>
      <c r="C673" s="7"/>
      <c r="D673" s="4"/>
      <c r="E673" s="4"/>
      <c r="F673" s="7"/>
      <c r="G673" s="7"/>
      <c r="H673" s="4"/>
      <c r="I673" s="4"/>
      <c r="J673" s="7"/>
      <c r="K673" s="4"/>
      <c r="L673" s="4"/>
      <c r="M673" s="4"/>
      <c r="N673" s="4"/>
      <c r="O673" s="4"/>
      <c r="P673" s="4"/>
      <c r="Q673" s="4"/>
      <c r="R673" s="4"/>
      <c r="S673" s="4"/>
      <c r="T673" s="4"/>
      <c r="U673" s="4"/>
      <c r="V673" s="4"/>
      <c r="W673" s="4"/>
      <c r="X673" s="4"/>
      <c r="Y673" s="4"/>
      <c r="Z673" s="4"/>
    </row>
    <row r="674" ht="9.75" customHeight="1">
      <c r="A674" s="4"/>
      <c r="B674" s="7"/>
      <c r="C674" s="7"/>
      <c r="D674" s="4"/>
      <c r="E674" s="4"/>
      <c r="F674" s="7"/>
      <c r="G674" s="7"/>
      <c r="H674" s="4"/>
      <c r="I674" s="4"/>
      <c r="J674" s="7"/>
      <c r="K674" s="4"/>
      <c r="L674" s="4"/>
      <c r="M674" s="4"/>
      <c r="N674" s="4"/>
      <c r="O674" s="4"/>
      <c r="P674" s="4"/>
      <c r="Q674" s="4"/>
      <c r="R674" s="4"/>
      <c r="S674" s="4"/>
      <c r="T674" s="4"/>
      <c r="U674" s="4"/>
      <c r="V674" s="4"/>
      <c r="W674" s="4"/>
      <c r="X674" s="4"/>
      <c r="Y674" s="4"/>
      <c r="Z674" s="4"/>
    </row>
    <row r="675" ht="9.75" customHeight="1">
      <c r="A675" s="4"/>
      <c r="B675" s="7"/>
      <c r="C675" s="7"/>
      <c r="D675" s="4"/>
      <c r="E675" s="4"/>
      <c r="F675" s="7"/>
      <c r="G675" s="7"/>
      <c r="H675" s="4"/>
      <c r="I675" s="4"/>
      <c r="J675" s="7"/>
      <c r="K675" s="4"/>
      <c r="L675" s="4"/>
      <c r="M675" s="4"/>
      <c r="N675" s="4"/>
      <c r="O675" s="4"/>
      <c r="P675" s="4"/>
      <c r="Q675" s="4"/>
      <c r="R675" s="4"/>
      <c r="S675" s="4"/>
      <c r="T675" s="4"/>
      <c r="U675" s="4"/>
      <c r="V675" s="4"/>
      <c r="W675" s="4"/>
      <c r="X675" s="4"/>
      <c r="Y675" s="4"/>
      <c r="Z675" s="4"/>
    </row>
    <row r="676" ht="9.75" customHeight="1">
      <c r="A676" s="4"/>
      <c r="B676" s="7"/>
      <c r="C676" s="7"/>
      <c r="D676" s="4"/>
      <c r="E676" s="4"/>
      <c r="F676" s="7"/>
      <c r="G676" s="7"/>
      <c r="H676" s="4"/>
      <c r="I676" s="4"/>
      <c r="J676" s="7"/>
      <c r="K676" s="4"/>
      <c r="L676" s="4"/>
      <c r="M676" s="4"/>
      <c r="N676" s="4"/>
      <c r="O676" s="4"/>
      <c r="P676" s="4"/>
      <c r="Q676" s="4"/>
      <c r="R676" s="4"/>
      <c r="S676" s="4"/>
      <c r="T676" s="4"/>
      <c r="U676" s="4"/>
      <c r="V676" s="4"/>
      <c r="W676" s="4"/>
      <c r="X676" s="4"/>
      <c r="Y676" s="4"/>
      <c r="Z676" s="4"/>
    </row>
    <row r="677" ht="9.75" customHeight="1">
      <c r="A677" s="4"/>
      <c r="B677" s="7"/>
      <c r="C677" s="7"/>
      <c r="D677" s="4"/>
      <c r="E677" s="4"/>
      <c r="F677" s="7"/>
      <c r="G677" s="7"/>
      <c r="H677" s="4"/>
      <c r="I677" s="4"/>
      <c r="J677" s="7"/>
      <c r="K677" s="4"/>
      <c r="L677" s="4"/>
      <c r="M677" s="4"/>
      <c r="N677" s="4"/>
      <c r="O677" s="4"/>
      <c r="P677" s="4"/>
      <c r="Q677" s="4"/>
      <c r="R677" s="4"/>
      <c r="S677" s="4"/>
      <c r="T677" s="4"/>
      <c r="U677" s="4"/>
      <c r="V677" s="4"/>
      <c r="W677" s="4"/>
      <c r="X677" s="4"/>
      <c r="Y677" s="4"/>
      <c r="Z677" s="4"/>
    </row>
    <row r="678" ht="9.75" customHeight="1">
      <c r="A678" s="4"/>
      <c r="B678" s="7"/>
      <c r="C678" s="7"/>
      <c r="D678" s="4"/>
      <c r="E678" s="4"/>
      <c r="F678" s="7"/>
      <c r="G678" s="7"/>
      <c r="H678" s="4"/>
      <c r="I678" s="4"/>
      <c r="J678" s="7"/>
      <c r="K678" s="4"/>
      <c r="L678" s="4"/>
      <c r="M678" s="4"/>
      <c r="N678" s="4"/>
      <c r="O678" s="4"/>
      <c r="P678" s="4"/>
      <c r="Q678" s="4"/>
      <c r="R678" s="4"/>
      <c r="S678" s="4"/>
      <c r="T678" s="4"/>
      <c r="U678" s="4"/>
      <c r="V678" s="4"/>
      <c r="W678" s="4"/>
      <c r="X678" s="4"/>
      <c r="Y678" s="4"/>
      <c r="Z678" s="4"/>
    </row>
    <row r="679" ht="9.75" customHeight="1">
      <c r="A679" s="4"/>
      <c r="B679" s="7"/>
      <c r="C679" s="7"/>
      <c r="D679" s="4"/>
      <c r="E679" s="4"/>
      <c r="F679" s="7"/>
      <c r="G679" s="7"/>
      <c r="H679" s="4"/>
      <c r="I679" s="4"/>
      <c r="J679" s="7"/>
      <c r="K679" s="4"/>
      <c r="L679" s="4"/>
      <c r="M679" s="4"/>
      <c r="N679" s="4"/>
      <c r="O679" s="4"/>
      <c r="P679" s="4"/>
      <c r="Q679" s="4"/>
      <c r="R679" s="4"/>
      <c r="S679" s="4"/>
      <c r="T679" s="4"/>
      <c r="U679" s="4"/>
      <c r="V679" s="4"/>
      <c r="W679" s="4"/>
      <c r="X679" s="4"/>
      <c r="Y679" s="4"/>
      <c r="Z679" s="4"/>
    </row>
    <row r="680" ht="9.75" customHeight="1">
      <c r="A680" s="4"/>
      <c r="B680" s="7"/>
      <c r="C680" s="7"/>
      <c r="D680" s="4"/>
      <c r="E680" s="4"/>
      <c r="F680" s="7"/>
      <c r="G680" s="7"/>
      <c r="H680" s="4"/>
      <c r="I680" s="4"/>
      <c r="J680" s="7"/>
      <c r="K680" s="4"/>
      <c r="L680" s="4"/>
      <c r="M680" s="4"/>
      <c r="N680" s="4"/>
      <c r="O680" s="4"/>
      <c r="P680" s="4"/>
      <c r="Q680" s="4"/>
      <c r="R680" s="4"/>
      <c r="S680" s="4"/>
      <c r="T680" s="4"/>
      <c r="U680" s="4"/>
      <c r="V680" s="4"/>
      <c r="W680" s="4"/>
      <c r="X680" s="4"/>
      <c r="Y680" s="4"/>
      <c r="Z680" s="4"/>
    </row>
    <row r="681" ht="9.75" customHeight="1">
      <c r="A681" s="4"/>
      <c r="B681" s="7"/>
      <c r="C681" s="7"/>
      <c r="D681" s="4"/>
      <c r="E681" s="4"/>
      <c r="F681" s="7"/>
      <c r="G681" s="7"/>
      <c r="H681" s="4"/>
      <c r="I681" s="4"/>
      <c r="J681" s="7"/>
      <c r="K681" s="4"/>
      <c r="L681" s="4"/>
      <c r="M681" s="4"/>
      <c r="N681" s="4"/>
      <c r="O681" s="4"/>
      <c r="P681" s="4"/>
      <c r="Q681" s="4"/>
      <c r="R681" s="4"/>
      <c r="S681" s="4"/>
      <c r="T681" s="4"/>
      <c r="U681" s="4"/>
      <c r="V681" s="4"/>
      <c r="W681" s="4"/>
      <c r="X681" s="4"/>
      <c r="Y681" s="4"/>
      <c r="Z681" s="4"/>
    </row>
    <row r="682" ht="9.75" customHeight="1">
      <c r="A682" s="4"/>
      <c r="B682" s="7"/>
      <c r="C682" s="7"/>
      <c r="D682" s="4"/>
      <c r="E682" s="4"/>
      <c r="F682" s="7"/>
      <c r="G682" s="7"/>
      <c r="H682" s="4"/>
      <c r="I682" s="4"/>
      <c r="J682" s="7"/>
      <c r="K682" s="4"/>
      <c r="L682" s="4"/>
      <c r="M682" s="4"/>
      <c r="N682" s="4"/>
      <c r="O682" s="4"/>
      <c r="P682" s="4"/>
      <c r="Q682" s="4"/>
      <c r="R682" s="4"/>
      <c r="S682" s="4"/>
      <c r="T682" s="4"/>
      <c r="U682" s="4"/>
      <c r="V682" s="4"/>
      <c r="W682" s="4"/>
      <c r="X682" s="4"/>
      <c r="Y682" s="4"/>
      <c r="Z682" s="4"/>
    </row>
    <row r="683" ht="9.75" customHeight="1">
      <c r="A683" s="4"/>
      <c r="B683" s="7"/>
      <c r="C683" s="7"/>
      <c r="D683" s="4"/>
      <c r="E683" s="4"/>
      <c r="F683" s="7"/>
      <c r="G683" s="7"/>
      <c r="H683" s="4"/>
      <c r="I683" s="4"/>
      <c r="J683" s="7"/>
      <c r="K683" s="4"/>
      <c r="L683" s="4"/>
      <c r="M683" s="4"/>
      <c r="N683" s="4"/>
      <c r="O683" s="4"/>
      <c r="P683" s="4"/>
      <c r="Q683" s="4"/>
      <c r="R683" s="4"/>
      <c r="S683" s="4"/>
      <c r="T683" s="4"/>
      <c r="U683" s="4"/>
      <c r="V683" s="4"/>
      <c r="W683" s="4"/>
      <c r="X683" s="4"/>
      <c r="Y683" s="4"/>
      <c r="Z683" s="4"/>
    </row>
    <row r="684" ht="9.75" customHeight="1">
      <c r="A684" s="4"/>
      <c r="B684" s="7"/>
      <c r="C684" s="7"/>
      <c r="D684" s="4"/>
      <c r="E684" s="4"/>
      <c r="F684" s="7"/>
      <c r="G684" s="7"/>
      <c r="H684" s="4"/>
      <c r="I684" s="4"/>
      <c r="J684" s="7"/>
      <c r="K684" s="4"/>
      <c r="L684" s="4"/>
      <c r="M684" s="4"/>
      <c r="N684" s="4"/>
      <c r="O684" s="4"/>
      <c r="P684" s="4"/>
      <c r="Q684" s="4"/>
      <c r="R684" s="4"/>
      <c r="S684" s="4"/>
      <c r="T684" s="4"/>
      <c r="U684" s="4"/>
      <c r="V684" s="4"/>
      <c r="W684" s="4"/>
      <c r="X684" s="4"/>
      <c r="Y684" s="4"/>
      <c r="Z684" s="4"/>
    </row>
    <row r="685" ht="9.75" customHeight="1">
      <c r="A685" s="4"/>
      <c r="B685" s="7"/>
      <c r="C685" s="7"/>
      <c r="D685" s="4"/>
      <c r="E685" s="4"/>
      <c r="F685" s="7"/>
      <c r="G685" s="7"/>
      <c r="H685" s="4"/>
      <c r="I685" s="4"/>
      <c r="J685" s="7"/>
      <c r="K685" s="4"/>
      <c r="L685" s="4"/>
      <c r="M685" s="4"/>
      <c r="N685" s="4"/>
      <c r="O685" s="4"/>
      <c r="P685" s="4"/>
      <c r="Q685" s="4"/>
      <c r="R685" s="4"/>
      <c r="S685" s="4"/>
      <c r="T685" s="4"/>
      <c r="U685" s="4"/>
      <c r="V685" s="4"/>
      <c r="W685" s="4"/>
      <c r="X685" s="4"/>
      <c r="Y685" s="4"/>
      <c r="Z685" s="4"/>
    </row>
    <row r="686" ht="9.75" customHeight="1">
      <c r="A686" s="4"/>
      <c r="B686" s="7"/>
      <c r="C686" s="7"/>
      <c r="D686" s="4"/>
      <c r="E686" s="4"/>
      <c r="F686" s="7"/>
      <c r="G686" s="7"/>
      <c r="H686" s="4"/>
      <c r="I686" s="4"/>
      <c r="J686" s="7"/>
      <c r="K686" s="4"/>
      <c r="L686" s="4"/>
      <c r="M686" s="4"/>
      <c r="N686" s="4"/>
      <c r="O686" s="4"/>
      <c r="P686" s="4"/>
      <c r="Q686" s="4"/>
      <c r="R686" s="4"/>
      <c r="S686" s="4"/>
      <c r="T686" s="4"/>
      <c r="U686" s="4"/>
      <c r="V686" s="4"/>
      <c r="W686" s="4"/>
      <c r="X686" s="4"/>
      <c r="Y686" s="4"/>
      <c r="Z686" s="4"/>
    </row>
    <row r="687" ht="9.75" customHeight="1">
      <c r="A687" s="4"/>
      <c r="B687" s="7"/>
      <c r="C687" s="7"/>
      <c r="D687" s="4"/>
      <c r="E687" s="4"/>
      <c r="F687" s="7"/>
      <c r="G687" s="7"/>
      <c r="H687" s="4"/>
      <c r="I687" s="4"/>
      <c r="J687" s="7"/>
      <c r="K687" s="4"/>
      <c r="L687" s="4"/>
      <c r="M687" s="4"/>
      <c r="N687" s="4"/>
      <c r="O687" s="4"/>
      <c r="P687" s="4"/>
      <c r="Q687" s="4"/>
      <c r="R687" s="4"/>
      <c r="S687" s="4"/>
      <c r="T687" s="4"/>
      <c r="U687" s="4"/>
      <c r="V687" s="4"/>
      <c r="W687" s="4"/>
      <c r="X687" s="4"/>
      <c r="Y687" s="4"/>
      <c r="Z687" s="4"/>
    </row>
    <row r="688" ht="9.75" customHeight="1">
      <c r="A688" s="4"/>
      <c r="B688" s="7"/>
      <c r="C688" s="7"/>
      <c r="D688" s="4"/>
      <c r="E688" s="4"/>
      <c r="F688" s="7"/>
      <c r="G688" s="7"/>
      <c r="H688" s="4"/>
      <c r="I688" s="4"/>
      <c r="J688" s="7"/>
      <c r="K688" s="4"/>
      <c r="L688" s="4"/>
      <c r="M688" s="4"/>
      <c r="N688" s="4"/>
      <c r="O688" s="4"/>
      <c r="P688" s="4"/>
      <c r="Q688" s="4"/>
      <c r="R688" s="4"/>
      <c r="S688" s="4"/>
      <c r="T688" s="4"/>
      <c r="U688" s="4"/>
      <c r="V688" s="4"/>
      <c r="W688" s="4"/>
      <c r="X688" s="4"/>
      <c r="Y688" s="4"/>
      <c r="Z688" s="4"/>
    </row>
    <row r="689" ht="9.75" customHeight="1">
      <c r="A689" s="4"/>
      <c r="B689" s="7"/>
      <c r="C689" s="7"/>
      <c r="D689" s="4"/>
      <c r="E689" s="4"/>
      <c r="F689" s="7"/>
      <c r="G689" s="7"/>
      <c r="H689" s="4"/>
      <c r="I689" s="4"/>
      <c r="J689" s="7"/>
      <c r="K689" s="4"/>
      <c r="L689" s="4"/>
      <c r="M689" s="4"/>
      <c r="N689" s="4"/>
      <c r="O689" s="4"/>
      <c r="P689" s="4"/>
      <c r="Q689" s="4"/>
      <c r="R689" s="4"/>
      <c r="S689" s="4"/>
      <c r="T689" s="4"/>
      <c r="U689" s="4"/>
      <c r="V689" s="4"/>
      <c r="W689" s="4"/>
      <c r="X689" s="4"/>
      <c r="Y689" s="4"/>
      <c r="Z689" s="4"/>
    </row>
    <row r="690" ht="9.75" customHeight="1">
      <c r="A690" s="4"/>
      <c r="B690" s="7"/>
      <c r="C690" s="7"/>
      <c r="D690" s="4"/>
      <c r="E690" s="4"/>
      <c r="F690" s="7"/>
      <c r="G690" s="7"/>
      <c r="H690" s="4"/>
      <c r="I690" s="4"/>
      <c r="J690" s="7"/>
      <c r="K690" s="4"/>
      <c r="L690" s="4"/>
      <c r="M690" s="4"/>
      <c r="N690" s="4"/>
      <c r="O690" s="4"/>
      <c r="P690" s="4"/>
      <c r="Q690" s="4"/>
      <c r="R690" s="4"/>
      <c r="S690" s="4"/>
      <c r="T690" s="4"/>
      <c r="U690" s="4"/>
      <c r="V690" s="4"/>
      <c r="W690" s="4"/>
      <c r="X690" s="4"/>
      <c r="Y690" s="4"/>
      <c r="Z690" s="4"/>
    </row>
    <row r="691" ht="9.75" customHeight="1">
      <c r="A691" s="4"/>
      <c r="B691" s="7"/>
      <c r="C691" s="7"/>
      <c r="D691" s="4"/>
      <c r="E691" s="4"/>
      <c r="F691" s="7"/>
      <c r="G691" s="7"/>
      <c r="H691" s="4"/>
      <c r="I691" s="4"/>
      <c r="J691" s="7"/>
      <c r="K691" s="4"/>
      <c r="L691" s="4"/>
      <c r="M691" s="4"/>
      <c r="N691" s="4"/>
      <c r="O691" s="4"/>
      <c r="P691" s="4"/>
      <c r="Q691" s="4"/>
      <c r="R691" s="4"/>
      <c r="S691" s="4"/>
      <c r="T691" s="4"/>
      <c r="U691" s="4"/>
      <c r="V691" s="4"/>
      <c r="W691" s="4"/>
      <c r="X691" s="4"/>
      <c r="Y691" s="4"/>
      <c r="Z691" s="4"/>
    </row>
    <row r="692" ht="9.75" customHeight="1">
      <c r="A692" s="4"/>
      <c r="B692" s="7"/>
      <c r="C692" s="7"/>
      <c r="D692" s="4"/>
      <c r="E692" s="4"/>
      <c r="F692" s="7"/>
      <c r="G692" s="7"/>
      <c r="H692" s="4"/>
      <c r="I692" s="4"/>
      <c r="J692" s="7"/>
      <c r="K692" s="4"/>
      <c r="L692" s="4"/>
      <c r="M692" s="4"/>
      <c r="N692" s="4"/>
      <c r="O692" s="4"/>
      <c r="P692" s="4"/>
      <c r="Q692" s="4"/>
      <c r="R692" s="4"/>
      <c r="S692" s="4"/>
      <c r="T692" s="4"/>
      <c r="U692" s="4"/>
      <c r="V692" s="4"/>
      <c r="W692" s="4"/>
      <c r="X692" s="4"/>
      <c r="Y692" s="4"/>
      <c r="Z692" s="4"/>
    </row>
    <row r="693" ht="9.75" customHeight="1">
      <c r="A693" s="4"/>
      <c r="B693" s="7"/>
      <c r="C693" s="7"/>
      <c r="D693" s="4"/>
      <c r="E693" s="4"/>
      <c r="F693" s="7"/>
      <c r="G693" s="7"/>
      <c r="H693" s="4"/>
      <c r="I693" s="4"/>
      <c r="J693" s="7"/>
      <c r="K693" s="4"/>
      <c r="L693" s="4"/>
      <c r="M693" s="4"/>
      <c r="N693" s="4"/>
      <c r="O693" s="4"/>
      <c r="P693" s="4"/>
      <c r="Q693" s="4"/>
      <c r="R693" s="4"/>
      <c r="S693" s="4"/>
      <c r="T693" s="4"/>
      <c r="U693" s="4"/>
      <c r="V693" s="4"/>
      <c r="W693" s="4"/>
      <c r="X693" s="4"/>
      <c r="Y693" s="4"/>
      <c r="Z693" s="4"/>
    </row>
    <row r="694" ht="9.75" customHeight="1">
      <c r="A694" s="4"/>
      <c r="B694" s="7"/>
      <c r="C694" s="7"/>
      <c r="D694" s="4"/>
      <c r="E694" s="4"/>
      <c r="F694" s="7"/>
      <c r="G694" s="7"/>
      <c r="H694" s="4"/>
      <c r="I694" s="4"/>
      <c r="J694" s="7"/>
      <c r="K694" s="4"/>
      <c r="L694" s="4"/>
      <c r="M694" s="4"/>
      <c r="N694" s="4"/>
      <c r="O694" s="4"/>
      <c r="P694" s="4"/>
      <c r="Q694" s="4"/>
      <c r="R694" s="4"/>
      <c r="S694" s="4"/>
      <c r="T694" s="4"/>
      <c r="U694" s="4"/>
      <c r="V694" s="4"/>
      <c r="W694" s="4"/>
      <c r="X694" s="4"/>
      <c r="Y694" s="4"/>
      <c r="Z694" s="4"/>
    </row>
    <row r="695" ht="9.75" customHeight="1">
      <c r="A695" s="4"/>
      <c r="B695" s="7"/>
      <c r="C695" s="7"/>
      <c r="D695" s="4"/>
      <c r="E695" s="4"/>
      <c r="F695" s="7"/>
      <c r="G695" s="7"/>
      <c r="H695" s="4"/>
      <c r="I695" s="4"/>
      <c r="J695" s="7"/>
      <c r="K695" s="4"/>
      <c r="L695" s="4"/>
      <c r="M695" s="4"/>
      <c r="N695" s="4"/>
      <c r="O695" s="4"/>
      <c r="P695" s="4"/>
      <c r="Q695" s="4"/>
      <c r="R695" s="4"/>
      <c r="S695" s="4"/>
      <c r="T695" s="4"/>
      <c r="U695" s="4"/>
      <c r="V695" s="4"/>
      <c r="W695" s="4"/>
      <c r="X695" s="4"/>
      <c r="Y695" s="4"/>
      <c r="Z695" s="4"/>
    </row>
    <row r="696" ht="9.75" customHeight="1">
      <c r="A696" s="4"/>
      <c r="B696" s="7"/>
      <c r="C696" s="7"/>
      <c r="D696" s="4"/>
      <c r="E696" s="4"/>
      <c r="F696" s="7"/>
      <c r="G696" s="7"/>
      <c r="H696" s="4"/>
      <c r="I696" s="4"/>
      <c r="J696" s="7"/>
      <c r="K696" s="4"/>
      <c r="L696" s="4"/>
      <c r="M696" s="4"/>
      <c r="N696" s="4"/>
      <c r="O696" s="4"/>
      <c r="P696" s="4"/>
      <c r="Q696" s="4"/>
      <c r="R696" s="4"/>
      <c r="S696" s="4"/>
      <c r="T696" s="4"/>
      <c r="U696" s="4"/>
      <c r="V696" s="4"/>
      <c r="W696" s="4"/>
      <c r="X696" s="4"/>
      <c r="Y696" s="4"/>
      <c r="Z696" s="4"/>
    </row>
    <row r="697" ht="9.75" customHeight="1">
      <c r="A697" s="4"/>
      <c r="B697" s="7"/>
      <c r="C697" s="7"/>
      <c r="D697" s="4"/>
      <c r="E697" s="4"/>
      <c r="F697" s="7"/>
      <c r="G697" s="7"/>
      <c r="H697" s="4"/>
      <c r="I697" s="4"/>
      <c r="J697" s="7"/>
      <c r="K697" s="4"/>
      <c r="L697" s="4"/>
      <c r="M697" s="4"/>
      <c r="N697" s="4"/>
      <c r="O697" s="4"/>
      <c r="P697" s="4"/>
      <c r="Q697" s="4"/>
      <c r="R697" s="4"/>
      <c r="S697" s="4"/>
      <c r="T697" s="4"/>
      <c r="U697" s="4"/>
      <c r="V697" s="4"/>
      <c r="W697" s="4"/>
      <c r="X697" s="4"/>
      <c r="Y697" s="4"/>
      <c r="Z697" s="4"/>
    </row>
    <row r="698" ht="9.75" customHeight="1">
      <c r="A698" s="4"/>
      <c r="B698" s="7"/>
      <c r="C698" s="7"/>
      <c r="D698" s="4"/>
      <c r="E698" s="4"/>
      <c r="F698" s="7"/>
      <c r="G698" s="7"/>
      <c r="H698" s="4"/>
      <c r="I698" s="4"/>
      <c r="J698" s="7"/>
      <c r="K698" s="4"/>
      <c r="L698" s="4"/>
      <c r="M698" s="4"/>
      <c r="N698" s="4"/>
      <c r="O698" s="4"/>
      <c r="P698" s="4"/>
      <c r="Q698" s="4"/>
      <c r="R698" s="4"/>
      <c r="S698" s="4"/>
      <c r="T698" s="4"/>
      <c r="U698" s="4"/>
      <c r="V698" s="4"/>
      <c r="W698" s="4"/>
      <c r="X698" s="4"/>
      <c r="Y698" s="4"/>
      <c r="Z698" s="4"/>
    </row>
    <row r="699" ht="9.75" customHeight="1">
      <c r="A699" s="4"/>
      <c r="B699" s="7"/>
      <c r="C699" s="7"/>
      <c r="D699" s="4"/>
      <c r="E699" s="4"/>
      <c r="F699" s="7"/>
      <c r="G699" s="7"/>
      <c r="H699" s="4"/>
      <c r="I699" s="4"/>
      <c r="J699" s="7"/>
      <c r="K699" s="4"/>
      <c r="L699" s="4"/>
      <c r="M699" s="4"/>
      <c r="N699" s="4"/>
      <c r="O699" s="4"/>
      <c r="P699" s="4"/>
      <c r="Q699" s="4"/>
      <c r="R699" s="4"/>
      <c r="S699" s="4"/>
      <c r="T699" s="4"/>
      <c r="U699" s="4"/>
      <c r="V699" s="4"/>
      <c r="W699" s="4"/>
      <c r="X699" s="4"/>
      <c r="Y699" s="4"/>
      <c r="Z699" s="4"/>
    </row>
    <row r="700" ht="9.75" customHeight="1">
      <c r="A700" s="4"/>
      <c r="B700" s="7"/>
      <c r="C700" s="7"/>
      <c r="D700" s="4"/>
      <c r="E700" s="4"/>
      <c r="F700" s="7"/>
      <c r="G700" s="7"/>
      <c r="H700" s="4"/>
      <c r="I700" s="4"/>
      <c r="J700" s="7"/>
      <c r="K700" s="4"/>
      <c r="L700" s="4"/>
      <c r="M700" s="4"/>
      <c r="N700" s="4"/>
      <c r="O700" s="4"/>
      <c r="P700" s="4"/>
      <c r="Q700" s="4"/>
      <c r="R700" s="4"/>
      <c r="S700" s="4"/>
      <c r="T700" s="4"/>
      <c r="U700" s="4"/>
      <c r="V700" s="4"/>
      <c r="W700" s="4"/>
      <c r="X700" s="4"/>
      <c r="Y700" s="4"/>
      <c r="Z700" s="4"/>
    </row>
    <row r="701" ht="9.75" customHeight="1">
      <c r="A701" s="4"/>
      <c r="B701" s="7"/>
      <c r="C701" s="7"/>
      <c r="D701" s="4"/>
      <c r="E701" s="4"/>
      <c r="F701" s="7"/>
      <c r="G701" s="7"/>
      <c r="H701" s="4"/>
      <c r="I701" s="4"/>
      <c r="J701" s="7"/>
      <c r="K701" s="4"/>
      <c r="L701" s="4"/>
      <c r="M701" s="4"/>
      <c r="N701" s="4"/>
      <c r="O701" s="4"/>
      <c r="P701" s="4"/>
      <c r="Q701" s="4"/>
      <c r="R701" s="4"/>
      <c r="S701" s="4"/>
      <c r="T701" s="4"/>
      <c r="U701" s="4"/>
      <c r="V701" s="4"/>
      <c r="W701" s="4"/>
      <c r="X701" s="4"/>
      <c r="Y701" s="4"/>
      <c r="Z701" s="4"/>
    </row>
    <row r="702" ht="9.75" customHeight="1">
      <c r="A702" s="4"/>
      <c r="B702" s="7"/>
      <c r="C702" s="7"/>
      <c r="D702" s="4"/>
      <c r="E702" s="4"/>
      <c r="F702" s="7"/>
      <c r="G702" s="7"/>
      <c r="H702" s="4"/>
      <c r="I702" s="4"/>
      <c r="J702" s="7"/>
      <c r="K702" s="4"/>
      <c r="L702" s="4"/>
      <c r="M702" s="4"/>
      <c r="N702" s="4"/>
      <c r="O702" s="4"/>
      <c r="P702" s="4"/>
      <c r="Q702" s="4"/>
      <c r="R702" s="4"/>
      <c r="S702" s="4"/>
      <c r="T702" s="4"/>
      <c r="U702" s="4"/>
      <c r="V702" s="4"/>
      <c r="W702" s="4"/>
      <c r="X702" s="4"/>
      <c r="Y702" s="4"/>
      <c r="Z702" s="4"/>
    </row>
    <row r="703" ht="9.75" customHeight="1">
      <c r="A703" s="4"/>
      <c r="B703" s="7"/>
      <c r="C703" s="7"/>
      <c r="D703" s="4"/>
      <c r="E703" s="4"/>
      <c r="F703" s="7"/>
      <c r="G703" s="7"/>
      <c r="H703" s="4"/>
      <c r="I703" s="4"/>
      <c r="J703" s="7"/>
      <c r="K703" s="4"/>
      <c r="L703" s="4"/>
      <c r="M703" s="4"/>
      <c r="N703" s="4"/>
      <c r="O703" s="4"/>
      <c r="P703" s="4"/>
      <c r="Q703" s="4"/>
      <c r="R703" s="4"/>
      <c r="S703" s="4"/>
      <c r="T703" s="4"/>
      <c r="U703" s="4"/>
      <c r="V703" s="4"/>
      <c r="W703" s="4"/>
      <c r="X703" s="4"/>
      <c r="Y703" s="4"/>
      <c r="Z703" s="4"/>
    </row>
    <row r="704" ht="9.75" customHeight="1">
      <c r="A704" s="4"/>
      <c r="B704" s="7"/>
      <c r="C704" s="7"/>
      <c r="D704" s="4"/>
      <c r="E704" s="4"/>
      <c r="F704" s="7"/>
      <c r="G704" s="7"/>
      <c r="H704" s="4"/>
      <c r="I704" s="4"/>
      <c r="J704" s="7"/>
      <c r="K704" s="4"/>
      <c r="L704" s="4"/>
      <c r="M704" s="4"/>
      <c r="N704" s="4"/>
      <c r="O704" s="4"/>
      <c r="P704" s="4"/>
      <c r="Q704" s="4"/>
      <c r="R704" s="4"/>
      <c r="S704" s="4"/>
      <c r="T704" s="4"/>
      <c r="U704" s="4"/>
      <c r="V704" s="4"/>
      <c r="W704" s="4"/>
      <c r="X704" s="4"/>
      <c r="Y704" s="4"/>
      <c r="Z704" s="4"/>
    </row>
    <row r="705" ht="9.75" customHeight="1">
      <c r="A705" s="4"/>
      <c r="B705" s="7"/>
      <c r="C705" s="7"/>
      <c r="D705" s="4"/>
      <c r="E705" s="4"/>
      <c r="F705" s="7"/>
      <c r="G705" s="7"/>
      <c r="H705" s="4"/>
      <c r="I705" s="4"/>
      <c r="J705" s="7"/>
      <c r="K705" s="4"/>
      <c r="L705" s="4"/>
      <c r="M705" s="4"/>
      <c r="N705" s="4"/>
      <c r="O705" s="4"/>
      <c r="P705" s="4"/>
      <c r="Q705" s="4"/>
      <c r="R705" s="4"/>
      <c r="S705" s="4"/>
      <c r="T705" s="4"/>
      <c r="U705" s="4"/>
      <c r="V705" s="4"/>
      <c r="W705" s="4"/>
      <c r="X705" s="4"/>
      <c r="Y705" s="4"/>
      <c r="Z705" s="4"/>
    </row>
    <row r="706" ht="9.75" customHeight="1">
      <c r="A706" s="4"/>
      <c r="B706" s="7"/>
      <c r="C706" s="7"/>
      <c r="D706" s="4"/>
      <c r="E706" s="4"/>
      <c r="F706" s="7"/>
      <c r="G706" s="7"/>
      <c r="H706" s="4"/>
      <c r="I706" s="4"/>
      <c r="J706" s="7"/>
      <c r="K706" s="4"/>
      <c r="L706" s="4"/>
      <c r="M706" s="4"/>
      <c r="N706" s="4"/>
      <c r="O706" s="4"/>
      <c r="P706" s="4"/>
      <c r="Q706" s="4"/>
      <c r="R706" s="4"/>
      <c r="S706" s="4"/>
      <c r="T706" s="4"/>
      <c r="U706" s="4"/>
      <c r="V706" s="4"/>
      <c r="W706" s="4"/>
      <c r="X706" s="4"/>
      <c r="Y706" s="4"/>
      <c r="Z706" s="4"/>
    </row>
    <row r="707" ht="9.75" customHeight="1">
      <c r="A707" s="4"/>
      <c r="B707" s="7"/>
      <c r="C707" s="7"/>
      <c r="D707" s="4"/>
      <c r="E707" s="4"/>
      <c r="F707" s="7"/>
      <c r="G707" s="7"/>
      <c r="H707" s="4"/>
      <c r="I707" s="4"/>
      <c r="J707" s="7"/>
      <c r="K707" s="4"/>
      <c r="L707" s="4"/>
      <c r="M707" s="4"/>
      <c r="N707" s="4"/>
      <c r="O707" s="4"/>
      <c r="P707" s="4"/>
      <c r="Q707" s="4"/>
      <c r="R707" s="4"/>
      <c r="S707" s="4"/>
      <c r="T707" s="4"/>
      <c r="U707" s="4"/>
      <c r="V707" s="4"/>
      <c r="W707" s="4"/>
      <c r="X707" s="4"/>
      <c r="Y707" s="4"/>
      <c r="Z707" s="4"/>
    </row>
    <row r="708" ht="9.75" customHeight="1">
      <c r="A708" s="4"/>
      <c r="B708" s="7"/>
      <c r="C708" s="7"/>
      <c r="D708" s="4"/>
      <c r="E708" s="4"/>
      <c r="F708" s="7"/>
      <c r="G708" s="7"/>
      <c r="H708" s="4"/>
      <c r="I708" s="4"/>
      <c r="J708" s="7"/>
      <c r="K708" s="4"/>
      <c r="L708" s="4"/>
      <c r="M708" s="4"/>
      <c r="N708" s="4"/>
      <c r="O708" s="4"/>
      <c r="P708" s="4"/>
      <c r="Q708" s="4"/>
      <c r="R708" s="4"/>
      <c r="S708" s="4"/>
      <c r="T708" s="4"/>
      <c r="U708" s="4"/>
      <c r="V708" s="4"/>
      <c r="W708" s="4"/>
      <c r="X708" s="4"/>
      <c r="Y708" s="4"/>
      <c r="Z708" s="4"/>
    </row>
    <row r="709" ht="9.75" customHeight="1">
      <c r="A709" s="4"/>
      <c r="B709" s="7"/>
      <c r="C709" s="7"/>
      <c r="D709" s="4"/>
      <c r="E709" s="4"/>
      <c r="F709" s="7"/>
      <c r="G709" s="7"/>
      <c r="H709" s="4"/>
      <c r="I709" s="4"/>
      <c r="J709" s="7"/>
      <c r="K709" s="4"/>
      <c r="L709" s="4"/>
      <c r="M709" s="4"/>
      <c r="N709" s="4"/>
      <c r="O709" s="4"/>
      <c r="P709" s="4"/>
      <c r="Q709" s="4"/>
      <c r="R709" s="4"/>
      <c r="S709" s="4"/>
      <c r="T709" s="4"/>
      <c r="U709" s="4"/>
      <c r="V709" s="4"/>
      <c r="W709" s="4"/>
      <c r="X709" s="4"/>
      <c r="Y709" s="4"/>
      <c r="Z709" s="4"/>
    </row>
    <row r="710" ht="9.75" customHeight="1">
      <c r="A710" s="4"/>
      <c r="B710" s="7"/>
      <c r="C710" s="7"/>
      <c r="D710" s="4"/>
      <c r="E710" s="4"/>
      <c r="F710" s="7"/>
      <c r="G710" s="7"/>
      <c r="H710" s="4"/>
      <c r="I710" s="4"/>
      <c r="J710" s="7"/>
      <c r="K710" s="4"/>
      <c r="L710" s="4"/>
      <c r="M710" s="4"/>
      <c r="N710" s="4"/>
      <c r="O710" s="4"/>
      <c r="P710" s="4"/>
      <c r="Q710" s="4"/>
      <c r="R710" s="4"/>
      <c r="S710" s="4"/>
      <c r="T710" s="4"/>
      <c r="U710" s="4"/>
      <c r="V710" s="4"/>
      <c r="W710" s="4"/>
      <c r="X710" s="4"/>
      <c r="Y710" s="4"/>
      <c r="Z710" s="4"/>
    </row>
    <row r="711" ht="9.75" customHeight="1">
      <c r="A711" s="4"/>
      <c r="B711" s="7"/>
      <c r="C711" s="7"/>
      <c r="D711" s="4"/>
      <c r="E711" s="4"/>
      <c r="F711" s="7"/>
      <c r="G711" s="7"/>
      <c r="H711" s="4"/>
      <c r="I711" s="4"/>
      <c r="J711" s="7"/>
      <c r="K711" s="4"/>
      <c r="L711" s="4"/>
      <c r="M711" s="4"/>
      <c r="N711" s="4"/>
      <c r="O711" s="4"/>
      <c r="P711" s="4"/>
      <c r="Q711" s="4"/>
      <c r="R711" s="4"/>
      <c r="S711" s="4"/>
      <c r="T711" s="4"/>
      <c r="U711" s="4"/>
      <c r="V711" s="4"/>
      <c r="W711" s="4"/>
      <c r="X711" s="4"/>
      <c r="Y711" s="4"/>
      <c r="Z711" s="4"/>
    </row>
    <row r="712" ht="9.75" customHeight="1">
      <c r="A712" s="4"/>
      <c r="B712" s="7"/>
      <c r="C712" s="7"/>
      <c r="D712" s="4"/>
      <c r="E712" s="4"/>
      <c r="F712" s="7"/>
      <c r="G712" s="7"/>
      <c r="H712" s="4"/>
      <c r="I712" s="4"/>
      <c r="J712" s="7"/>
      <c r="K712" s="4"/>
      <c r="L712" s="4"/>
      <c r="M712" s="4"/>
      <c r="N712" s="4"/>
      <c r="O712" s="4"/>
      <c r="P712" s="4"/>
      <c r="Q712" s="4"/>
      <c r="R712" s="4"/>
      <c r="S712" s="4"/>
      <c r="T712" s="4"/>
      <c r="U712" s="4"/>
      <c r="V712" s="4"/>
      <c r="W712" s="4"/>
      <c r="X712" s="4"/>
      <c r="Y712" s="4"/>
      <c r="Z712" s="4"/>
    </row>
    <row r="713" ht="9.75" customHeight="1">
      <c r="A713" s="4"/>
      <c r="B713" s="7"/>
      <c r="C713" s="7"/>
      <c r="D713" s="4"/>
      <c r="E713" s="4"/>
      <c r="F713" s="7"/>
      <c r="G713" s="7"/>
      <c r="H713" s="4"/>
      <c r="I713" s="4"/>
      <c r="J713" s="7"/>
      <c r="K713" s="4"/>
      <c r="L713" s="4"/>
      <c r="M713" s="4"/>
      <c r="N713" s="4"/>
      <c r="O713" s="4"/>
      <c r="P713" s="4"/>
      <c r="Q713" s="4"/>
      <c r="R713" s="4"/>
      <c r="S713" s="4"/>
      <c r="T713" s="4"/>
      <c r="U713" s="4"/>
      <c r="V713" s="4"/>
      <c r="W713" s="4"/>
      <c r="X713" s="4"/>
      <c r="Y713" s="4"/>
      <c r="Z713" s="4"/>
    </row>
    <row r="714" ht="9.75" customHeight="1">
      <c r="A714" s="4"/>
      <c r="B714" s="7"/>
      <c r="C714" s="7"/>
      <c r="D714" s="4"/>
      <c r="E714" s="4"/>
      <c r="F714" s="7"/>
      <c r="G714" s="7"/>
      <c r="H714" s="4"/>
      <c r="I714" s="4"/>
      <c r="J714" s="7"/>
      <c r="K714" s="4"/>
      <c r="L714" s="4"/>
      <c r="M714" s="4"/>
      <c r="N714" s="4"/>
      <c r="O714" s="4"/>
      <c r="P714" s="4"/>
      <c r="Q714" s="4"/>
      <c r="R714" s="4"/>
      <c r="S714" s="4"/>
      <c r="T714" s="4"/>
      <c r="U714" s="4"/>
      <c r="V714" s="4"/>
      <c r="W714" s="4"/>
      <c r="X714" s="4"/>
      <c r="Y714" s="4"/>
      <c r="Z714" s="4"/>
    </row>
    <row r="715" ht="9.75" customHeight="1">
      <c r="A715" s="4"/>
      <c r="B715" s="7"/>
      <c r="C715" s="7"/>
      <c r="D715" s="4"/>
      <c r="E715" s="4"/>
      <c r="F715" s="7"/>
      <c r="G715" s="7"/>
      <c r="H715" s="4"/>
      <c r="I715" s="4"/>
      <c r="J715" s="7"/>
      <c r="K715" s="4"/>
      <c r="L715" s="4"/>
      <c r="M715" s="4"/>
      <c r="N715" s="4"/>
      <c r="O715" s="4"/>
      <c r="P715" s="4"/>
      <c r="Q715" s="4"/>
      <c r="R715" s="4"/>
      <c r="S715" s="4"/>
      <c r="T715" s="4"/>
      <c r="U715" s="4"/>
      <c r="V715" s="4"/>
      <c r="W715" s="4"/>
      <c r="X715" s="4"/>
      <c r="Y715" s="4"/>
      <c r="Z715" s="4"/>
    </row>
    <row r="716" ht="9.75" customHeight="1">
      <c r="A716" s="4"/>
      <c r="B716" s="7"/>
      <c r="C716" s="7"/>
      <c r="D716" s="4"/>
      <c r="E716" s="4"/>
      <c r="F716" s="7"/>
      <c r="G716" s="7"/>
      <c r="H716" s="4"/>
      <c r="I716" s="4"/>
      <c r="J716" s="7"/>
      <c r="K716" s="4"/>
      <c r="L716" s="4"/>
      <c r="M716" s="4"/>
      <c r="N716" s="4"/>
      <c r="O716" s="4"/>
      <c r="P716" s="4"/>
      <c r="Q716" s="4"/>
      <c r="R716" s="4"/>
      <c r="S716" s="4"/>
      <c r="T716" s="4"/>
      <c r="U716" s="4"/>
      <c r="V716" s="4"/>
      <c r="W716" s="4"/>
      <c r="X716" s="4"/>
      <c r="Y716" s="4"/>
      <c r="Z716" s="4"/>
    </row>
    <row r="717" ht="9.75" customHeight="1">
      <c r="A717" s="4"/>
      <c r="B717" s="7"/>
      <c r="C717" s="7"/>
      <c r="D717" s="4"/>
      <c r="E717" s="4"/>
      <c r="F717" s="7"/>
      <c r="G717" s="7"/>
      <c r="H717" s="4"/>
      <c r="I717" s="4"/>
      <c r="J717" s="7"/>
      <c r="K717" s="4"/>
      <c r="L717" s="4"/>
      <c r="M717" s="4"/>
      <c r="N717" s="4"/>
      <c r="O717" s="4"/>
      <c r="P717" s="4"/>
      <c r="Q717" s="4"/>
      <c r="R717" s="4"/>
      <c r="S717" s="4"/>
      <c r="T717" s="4"/>
      <c r="U717" s="4"/>
      <c r="V717" s="4"/>
      <c r="W717" s="4"/>
      <c r="X717" s="4"/>
      <c r="Y717" s="4"/>
      <c r="Z717" s="4"/>
    </row>
    <row r="718" ht="9.75" customHeight="1">
      <c r="A718" s="4"/>
      <c r="B718" s="7"/>
      <c r="C718" s="7"/>
      <c r="D718" s="4"/>
      <c r="E718" s="4"/>
      <c r="F718" s="7"/>
      <c r="G718" s="7"/>
      <c r="H718" s="4"/>
      <c r="I718" s="4"/>
      <c r="J718" s="7"/>
      <c r="K718" s="4"/>
      <c r="L718" s="4"/>
      <c r="M718" s="4"/>
      <c r="N718" s="4"/>
      <c r="O718" s="4"/>
      <c r="P718" s="4"/>
      <c r="Q718" s="4"/>
      <c r="R718" s="4"/>
      <c r="S718" s="4"/>
      <c r="T718" s="4"/>
      <c r="U718" s="4"/>
      <c r="V718" s="4"/>
      <c r="W718" s="4"/>
      <c r="X718" s="4"/>
      <c r="Y718" s="4"/>
      <c r="Z718" s="4"/>
    </row>
    <row r="719" ht="9.75" customHeight="1">
      <c r="A719" s="4"/>
      <c r="B719" s="7"/>
      <c r="C719" s="7"/>
      <c r="D719" s="4"/>
      <c r="E719" s="4"/>
      <c r="F719" s="7"/>
      <c r="G719" s="7"/>
      <c r="H719" s="4"/>
      <c r="I719" s="4"/>
      <c r="J719" s="7"/>
      <c r="K719" s="4"/>
      <c r="L719" s="4"/>
      <c r="M719" s="4"/>
      <c r="N719" s="4"/>
      <c r="O719" s="4"/>
      <c r="P719" s="4"/>
      <c r="Q719" s="4"/>
      <c r="R719" s="4"/>
      <c r="S719" s="4"/>
      <c r="T719" s="4"/>
      <c r="U719" s="4"/>
      <c r="V719" s="4"/>
      <c r="W719" s="4"/>
      <c r="X719" s="4"/>
      <c r="Y719" s="4"/>
      <c r="Z719" s="4"/>
    </row>
    <row r="720" ht="9.75" customHeight="1">
      <c r="A720" s="4"/>
      <c r="B720" s="7"/>
      <c r="C720" s="7"/>
      <c r="D720" s="4"/>
      <c r="E720" s="4"/>
      <c r="F720" s="7"/>
      <c r="G720" s="7"/>
      <c r="H720" s="4"/>
      <c r="I720" s="4"/>
      <c r="J720" s="7"/>
      <c r="K720" s="4"/>
      <c r="L720" s="4"/>
      <c r="M720" s="4"/>
      <c r="N720" s="4"/>
      <c r="O720" s="4"/>
      <c r="P720" s="4"/>
      <c r="Q720" s="4"/>
      <c r="R720" s="4"/>
      <c r="S720" s="4"/>
      <c r="T720" s="4"/>
      <c r="U720" s="4"/>
      <c r="V720" s="4"/>
      <c r="W720" s="4"/>
      <c r="X720" s="4"/>
      <c r="Y720" s="4"/>
      <c r="Z720" s="4"/>
    </row>
    <row r="721" ht="9.75" customHeight="1">
      <c r="A721" s="4"/>
      <c r="B721" s="7"/>
      <c r="C721" s="7"/>
      <c r="D721" s="4"/>
      <c r="E721" s="4"/>
      <c r="F721" s="7"/>
      <c r="G721" s="7"/>
      <c r="H721" s="4"/>
      <c r="I721" s="4"/>
      <c r="J721" s="7"/>
      <c r="K721" s="4"/>
      <c r="L721" s="4"/>
      <c r="M721" s="4"/>
      <c r="N721" s="4"/>
      <c r="O721" s="4"/>
      <c r="P721" s="4"/>
      <c r="Q721" s="4"/>
      <c r="R721" s="4"/>
      <c r="S721" s="4"/>
      <c r="T721" s="4"/>
      <c r="U721" s="4"/>
      <c r="V721" s="4"/>
      <c r="W721" s="4"/>
      <c r="X721" s="4"/>
      <c r="Y721" s="4"/>
      <c r="Z721" s="4"/>
    </row>
    <row r="722" ht="9.75" customHeight="1">
      <c r="A722" s="4"/>
      <c r="B722" s="7"/>
      <c r="C722" s="7"/>
      <c r="D722" s="4"/>
      <c r="E722" s="4"/>
      <c r="F722" s="7"/>
      <c r="G722" s="7"/>
      <c r="H722" s="4"/>
      <c r="I722" s="4"/>
      <c r="J722" s="7"/>
      <c r="K722" s="4"/>
      <c r="L722" s="4"/>
      <c r="M722" s="4"/>
      <c r="N722" s="4"/>
      <c r="O722" s="4"/>
      <c r="P722" s="4"/>
      <c r="Q722" s="4"/>
      <c r="R722" s="4"/>
      <c r="S722" s="4"/>
      <c r="T722" s="4"/>
      <c r="U722" s="4"/>
      <c r="V722" s="4"/>
      <c r="W722" s="4"/>
      <c r="X722" s="4"/>
      <c r="Y722" s="4"/>
      <c r="Z722" s="4"/>
    </row>
    <row r="723" ht="9.75" customHeight="1">
      <c r="A723" s="4"/>
      <c r="B723" s="7"/>
      <c r="C723" s="7"/>
      <c r="D723" s="4"/>
      <c r="E723" s="4"/>
      <c r="F723" s="7"/>
      <c r="G723" s="7"/>
      <c r="H723" s="4"/>
      <c r="I723" s="4"/>
      <c r="J723" s="7"/>
      <c r="K723" s="4"/>
      <c r="L723" s="4"/>
      <c r="M723" s="4"/>
      <c r="N723" s="4"/>
      <c r="O723" s="4"/>
      <c r="P723" s="4"/>
      <c r="Q723" s="4"/>
      <c r="R723" s="4"/>
      <c r="S723" s="4"/>
      <c r="T723" s="4"/>
      <c r="U723" s="4"/>
      <c r="V723" s="4"/>
      <c r="W723" s="4"/>
      <c r="X723" s="4"/>
      <c r="Y723" s="4"/>
      <c r="Z723" s="4"/>
    </row>
    <row r="724" ht="9.75" customHeight="1">
      <c r="A724" s="4"/>
      <c r="B724" s="7"/>
      <c r="C724" s="7"/>
      <c r="D724" s="4"/>
      <c r="E724" s="4"/>
      <c r="F724" s="7"/>
      <c r="G724" s="7"/>
      <c r="H724" s="4"/>
      <c r="I724" s="4"/>
      <c r="J724" s="7"/>
      <c r="K724" s="4"/>
      <c r="L724" s="4"/>
      <c r="M724" s="4"/>
      <c r="N724" s="4"/>
      <c r="O724" s="4"/>
      <c r="P724" s="4"/>
      <c r="Q724" s="4"/>
      <c r="R724" s="4"/>
      <c r="S724" s="4"/>
      <c r="T724" s="4"/>
      <c r="U724" s="4"/>
      <c r="V724" s="4"/>
      <c r="W724" s="4"/>
      <c r="X724" s="4"/>
      <c r="Y724" s="4"/>
      <c r="Z724" s="4"/>
    </row>
    <row r="725" ht="9.75" customHeight="1">
      <c r="A725" s="4"/>
      <c r="B725" s="7"/>
      <c r="C725" s="7"/>
      <c r="D725" s="4"/>
      <c r="E725" s="4"/>
      <c r="F725" s="7"/>
      <c r="G725" s="7"/>
      <c r="H725" s="4"/>
      <c r="I725" s="4"/>
      <c r="J725" s="7"/>
      <c r="K725" s="4"/>
      <c r="L725" s="4"/>
      <c r="M725" s="4"/>
      <c r="N725" s="4"/>
      <c r="O725" s="4"/>
      <c r="P725" s="4"/>
      <c r="Q725" s="4"/>
      <c r="R725" s="4"/>
      <c r="S725" s="4"/>
      <c r="T725" s="4"/>
      <c r="U725" s="4"/>
      <c r="V725" s="4"/>
      <c r="W725" s="4"/>
      <c r="X725" s="4"/>
      <c r="Y725" s="4"/>
      <c r="Z725" s="4"/>
    </row>
    <row r="726" ht="9.75" customHeight="1">
      <c r="A726" s="4"/>
      <c r="B726" s="7"/>
      <c r="C726" s="7"/>
      <c r="D726" s="4"/>
      <c r="E726" s="4"/>
      <c r="F726" s="7"/>
      <c r="G726" s="7"/>
      <c r="H726" s="4"/>
      <c r="I726" s="4"/>
      <c r="J726" s="7"/>
      <c r="K726" s="4"/>
      <c r="L726" s="4"/>
      <c r="M726" s="4"/>
      <c r="N726" s="4"/>
      <c r="O726" s="4"/>
      <c r="P726" s="4"/>
      <c r="Q726" s="4"/>
      <c r="R726" s="4"/>
      <c r="S726" s="4"/>
      <c r="T726" s="4"/>
      <c r="U726" s="4"/>
      <c r="V726" s="4"/>
      <c r="W726" s="4"/>
      <c r="X726" s="4"/>
      <c r="Y726" s="4"/>
      <c r="Z726" s="4"/>
    </row>
    <row r="727" ht="9.75" customHeight="1">
      <c r="A727" s="4"/>
      <c r="B727" s="7"/>
      <c r="C727" s="7"/>
      <c r="D727" s="4"/>
      <c r="E727" s="4"/>
      <c r="F727" s="7"/>
      <c r="G727" s="7"/>
      <c r="H727" s="4"/>
      <c r="I727" s="4"/>
      <c r="J727" s="7"/>
      <c r="K727" s="4"/>
      <c r="L727" s="4"/>
      <c r="M727" s="4"/>
      <c r="N727" s="4"/>
      <c r="O727" s="4"/>
      <c r="P727" s="4"/>
      <c r="Q727" s="4"/>
      <c r="R727" s="4"/>
      <c r="S727" s="4"/>
      <c r="T727" s="4"/>
      <c r="U727" s="4"/>
      <c r="V727" s="4"/>
      <c r="W727" s="4"/>
      <c r="X727" s="4"/>
      <c r="Y727" s="4"/>
      <c r="Z727" s="4"/>
    </row>
    <row r="728" ht="9.75" customHeight="1">
      <c r="A728" s="4"/>
      <c r="B728" s="7"/>
      <c r="C728" s="7"/>
      <c r="D728" s="4"/>
      <c r="E728" s="4"/>
      <c r="F728" s="7"/>
      <c r="G728" s="7"/>
      <c r="H728" s="4"/>
      <c r="I728" s="4"/>
      <c r="J728" s="7"/>
      <c r="K728" s="4"/>
      <c r="L728" s="4"/>
      <c r="M728" s="4"/>
      <c r="N728" s="4"/>
      <c r="O728" s="4"/>
      <c r="P728" s="4"/>
      <c r="Q728" s="4"/>
      <c r="R728" s="4"/>
      <c r="S728" s="4"/>
      <c r="T728" s="4"/>
      <c r="U728" s="4"/>
      <c r="V728" s="4"/>
      <c r="W728" s="4"/>
      <c r="X728" s="4"/>
      <c r="Y728" s="4"/>
      <c r="Z728" s="4"/>
    </row>
    <row r="729" ht="9.75" customHeight="1">
      <c r="A729" s="4"/>
      <c r="B729" s="7"/>
      <c r="C729" s="7"/>
      <c r="D729" s="4"/>
      <c r="E729" s="4"/>
      <c r="F729" s="7"/>
      <c r="G729" s="7"/>
      <c r="H729" s="4"/>
      <c r="I729" s="4"/>
      <c r="J729" s="7"/>
      <c r="K729" s="4"/>
      <c r="L729" s="4"/>
      <c r="M729" s="4"/>
      <c r="N729" s="4"/>
      <c r="O729" s="4"/>
      <c r="P729" s="4"/>
      <c r="Q729" s="4"/>
      <c r="R729" s="4"/>
      <c r="S729" s="4"/>
      <c r="T729" s="4"/>
      <c r="U729" s="4"/>
      <c r="V729" s="4"/>
      <c r="W729" s="4"/>
      <c r="X729" s="4"/>
      <c r="Y729" s="4"/>
      <c r="Z729" s="4"/>
    </row>
    <row r="730" ht="9.75" customHeight="1">
      <c r="A730" s="4"/>
      <c r="B730" s="7"/>
      <c r="C730" s="7"/>
      <c r="D730" s="4"/>
      <c r="E730" s="4"/>
      <c r="F730" s="7"/>
      <c r="G730" s="7"/>
      <c r="H730" s="4"/>
      <c r="I730" s="4"/>
      <c r="J730" s="7"/>
      <c r="K730" s="4"/>
      <c r="L730" s="4"/>
      <c r="M730" s="4"/>
      <c r="N730" s="4"/>
      <c r="O730" s="4"/>
      <c r="P730" s="4"/>
      <c r="Q730" s="4"/>
      <c r="R730" s="4"/>
      <c r="S730" s="4"/>
      <c r="T730" s="4"/>
      <c r="U730" s="4"/>
      <c r="V730" s="4"/>
      <c r="W730" s="4"/>
      <c r="X730" s="4"/>
      <c r="Y730" s="4"/>
      <c r="Z730" s="4"/>
    </row>
    <row r="731" ht="9.75" customHeight="1">
      <c r="A731" s="4"/>
      <c r="B731" s="7"/>
      <c r="C731" s="7"/>
      <c r="D731" s="4"/>
      <c r="E731" s="4"/>
      <c r="F731" s="7"/>
      <c r="G731" s="7"/>
      <c r="H731" s="4"/>
      <c r="I731" s="4"/>
      <c r="J731" s="7"/>
      <c r="K731" s="4"/>
      <c r="L731" s="4"/>
      <c r="M731" s="4"/>
      <c r="N731" s="4"/>
      <c r="O731" s="4"/>
      <c r="P731" s="4"/>
      <c r="Q731" s="4"/>
      <c r="R731" s="4"/>
      <c r="S731" s="4"/>
      <c r="T731" s="4"/>
      <c r="U731" s="4"/>
      <c r="V731" s="4"/>
      <c r="W731" s="4"/>
      <c r="X731" s="4"/>
      <c r="Y731" s="4"/>
      <c r="Z731" s="4"/>
    </row>
    <row r="732" ht="9.75" customHeight="1">
      <c r="A732" s="4"/>
      <c r="B732" s="7"/>
      <c r="C732" s="7"/>
      <c r="D732" s="4"/>
      <c r="E732" s="4"/>
      <c r="F732" s="7"/>
      <c r="G732" s="7"/>
      <c r="H732" s="4"/>
      <c r="I732" s="4"/>
      <c r="J732" s="7"/>
      <c r="K732" s="4"/>
      <c r="L732" s="4"/>
      <c r="M732" s="4"/>
      <c r="N732" s="4"/>
      <c r="O732" s="4"/>
      <c r="P732" s="4"/>
      <c r="Q732" s="4"/>
      <c r="R732" s="4"/>
      <c r="S732" s="4"/>
      <c r="T732" s="4"/>
      <c r="U732" s="4"/>
      <c r="V732" s="4"/>
      <c r="W732" s="4"/>
      <c r="X732" s="4"/>
      <c r="Y732" s="4"/>
      <c r="Z732" s="4"/>
    </row>
    <row r="733" ht="9.75" customHeight="1">
      <c r="A733" s="4"/>
      <c r="B733" s="7"/>
      <c r="C733" s="7"/>
      <c r="D733" s="4"/>
      <c r="E733" s="4"/>
      <c r="F733" s="7"/>
      <c r="G733" s="7"/>
      <c r="H733" s="4"/>
      <c r="I733" s="4"/>
      <c r="J733" s="7"/>
      <c r="K733" s="4"/>
      <c r="L733" s="4"/>
      <c r="M733" s="4"/>
      <c r="N733" s="4"/>
      <c r="O733" s="4"/>
      <c r="P733" s="4"/>
      <c r="Q733" s="4"/>
      <c r="R733" s="4"/>
      <c r="S733" s="4"/>
      <c r="T733" s="4"/>
      <c r="U733" s="4"/>
      <c r="V733" s="4"/>
      <c r="W733" s="4"/>
      <c r="X733" s="4"/>
      <c r="Y733" s="4"/>
      <c r="Z733" s="4"/>
    </row>
    <row r="734" ht="9.75" customHeight="1">
      <c r="A734" s="4"/>
      <c r="B734" s="7"/>
      <c r="C734" s="7"/>
      <c r="D734" s="4"/>
      <c r="E734" s="4"/>
      <c r="F734" s="7"/>
      <c r="G734" s="7"/>
      <c r="H734" s="4"/>
      <c r="I734" s="4"/>
      <c r="J734" s="7"/>
      <c r="K734" s="4"/>
      <c r="L734" s="4"/>
      <c r="M734" s="4"/>
      <c r="N734" s="4"/>
      <c r="O734" s="4"/>
      <c r="P734" s="4"/>
      <c r="Q734" s="4"/>
      <c r="R734" s="4"/>
      <c r="S734" s="4"/>
      <c r="T734" s="4"/>
      <c r="U734" s="4"/>
      <c r="V734" s="4"/>
      <c r="W734" s="4"/>
      <c r="X734" s="4"/>
      <c r="Y734" s="4"/>
      <c r="Z734" s="4"/>
    </row>
    <row r="735" ht="9.75" customHeight="1">
      <c r="A735" s="4"/>
      <c r="B735" s="7"/>
      <c r="C735" s="7"/>
      <c r="D735" s="4"/>
      <c r="E735" s="4"/>
      <c r="F735" s="7"/>
      <c r="G735" s="7"/>
      <c r="H735" s="4"/>
      <c r="I735" s="4"/>
      <c r="J735" s="7"/>
      <c r="K735" s="4"/>
      <c r="L735" s="4"/>
      <c r="M735" s="4"/>
      <c r="N735" s="4"/>
      <c r="O735" s="4"/>
      <c r="P735" s="4"/>
      <c r="Q735" s="4"/>
      <c r="R735" s="4"/>
      <c r="S735" s="4"/>
      <c r="T735" s="4"/>
      <c r="U735" s="4"/>
      <c r="V735" s="4"/>
      <c r="W735" s="4"/>
      <c r="X735" s="4"/>
      <c r="Y735" s="4"/>
      <c r="Z735" s="4"/>
    </row>
    <row r="736" ht="9.75" customHeight="1">
      <c r="A736" s="4"/>
      <c r="B736" s="7"/>
      <c r="C736" s="7"/>
      <c r="D736" s="4"/>
      <c r="E736" s="4"/>
      <c r="F736" s="7"/>
      <c r="G736" s="7"/>
      <c r="H736" s="4"/>
      <c r="I736" s="4"/>
      <c r="J736" s="7"/>
      <c r="K736" s="4"/>
      <c r="L736" s="4"/>
      <c r="M736" s="4"/>
      <c r="N736" s="4"/>
      <c r="O736" s="4"/>
      <c r="P736" s="4"/>
      <c r="Q736" s="4"/>
      <c r="R736" s="4"/>
      <c r="S736" s="4"/>
      <c r="T736" s="4"/>
      <c r="U736" s="4"/>
      <c r="V736" s="4"/>
      <c r="W736" s="4"/>
      <c r="X736" s="4"/>
      <c r="Y736" s="4"/>
      <c r="Z736" s="4"/>
    </row>
    <row r="737" ht="9.75" customHeight="1">
      <c r="A737" s="4"/>
      <c r="B737" s="7"/>
      <c r="C737" s="7"/>
      <c r="D737" s="4"/>
      <c r="E737" s="4"/>
      <c r="F737" s="7"/>
      <c r="G737" s="7"/>
      <c r="H737" s="4"/>
      <c r="I737" s="4"/>
      <c r="J737" s="7"/>
      <c r="K737" s="4"/>
      <c r="L737" s="4"/>
      <c r="M737" s="4"/>
      <c r="N737" s="4"/>
      <c r="O737" s="4"/>
      <c r="P737" s="4"/>
      <c r="Q737" s="4"/>
      <c r="R737" s="4"/>
      <c r="S737" s="4"/>
      <c r="T737" s="4"/>
      <c r="U737" s="4"/>
      <c r="V737" s="4"/>
      <c r="W737" s="4"/>
      <c r="X737" s="4"/>
      <c r="Y737" s="4"/>
      <c r="Z737" s="4"/>
    </row>
    <row r="738" ht="9.75" customHeight="1">
      <c r="A738" s="4"/>
      <c r="B738" s="7"/>
      <c r="C738" s="7"/>
      <c r="D738" s="4"/>
      <c r="E738" s="4"/>
      <c r="F738" s="7"/>
      <c r="G738" s="7"/>
      <c r="H738" s="4"/>
      <c r="I738" s="4"/>
      <c r="J738" s="7"/>
      <c r="K738" s="4"/>
      <c r="L738" s="4"/>
      <c r="M738" s="4"/>
      <c r="N738" s="4"/>
      <c r="O738" s="4"/>
      <c r="P738" s="4"/>
      <c r="Q738" s="4"/>
      <c r="R738" s="4"/>
      <c r="S738" s="4"/>
      <c r="T738" s="4"/>
      <c r="U738" s="4"/>
      <c r="V738" s="4"/>
      <c r="W738" s="4"/>
      <c r="X738" s="4"/>
      <c r="Y738" s="4"/>
      <c r="Z738" s="4"/>
    </row>
    <row r="739" ht="9.75" customHeight="1">
      <c r="A739" s="4"/>
      <c r="B739" s="7"/>
      <c r="C739" s="7"/>
      <c r="D739" s="4"/>
      <c r="E739" s="4"/>
      <c r="F739" s="7"/>
      <c r="G739" s="7"/>
      <c r="H739" s="4"/>
      <c r="I739" s="4"/>
      <c r="J739" s="7"/>
      <c r="K739" s="4"/>
      <c r="L739" s="4"/>
      <c r="M739" s="4"/>
      <c r="N739" s="4"/>
      <c r="O739" s="4"/>
      <c r="P739" s="4"/>
      <c r="Q739" s="4"/>
      <c r="R739" s="4"/>
      <c r="S739" s="4"/>
      <c r="T739" s="4"/>
      <c r="U739" s="4"/>
      <c r="V739" s="4"/>
      <c r="W739" s="4"/>
      <c r="X739" s="4"/>
      <c r="Y739" s="4"/>
      <c r="Z739" s="4"/>
    </row>
    <row r="740" ht="9.75" customHeight="1">
      <c r="A740" s="4"/>
      <c r="B740" s="7"/>
      <c r="C740" s="7"/>
      <c r="D740" s="4"/>
      <c r="E740" s="4"/>
      <c r="F740" s="7"/>
      <c r="G740" s="7"/>
      <c r="H740" s="4"/>
      <c r="I740" s="4"/>
      <c r="J740" s="7"/>
      <c r="K740" s="4"/>
      <c r="L740" s="4"/>
      <c r="M740" s="4"/>
      <c r="N740" s="4"/>
      <c r="O740" s="4"/>
      <c r="P740" s="4"/>
      <c r="Q740" s="4"/>
      <c r="R740" s="4"/>
      <c r="S740" s="4"/>
      <c r="T740" s="4"/>
      <c r="U740" s="4"/>
      <c r="V740" s="4"/>
      <c r="W740" s="4"/>
      <c r="X740" s="4"/>
      <c r="Y740" s="4"/>
      <c r="Z740" s="4"/>
    </row>
    <row r="741" ht="9.75" customHeight="1">
      <c r="A741" s="4"/>
      <c r="B741" s="7"/>
      <c r="C741" s="7"/>
      <c r="D741" s="4"/>
      <c r="E741" s="4"/>
      <c r="F741" s="7"/>
      <c r="G741" s="7"/>
      <c r="H741" s="4"/>
      <c r="I741" s="4"/>
      <c r="J741" s="7"/>
      <c r="K741" s="4"/>
      <c r="L741" s="4"/>
      <c r="M741" s="4"/>
      <c r="N741" s="4"/>
      <c r="O741" s="4"/>
      <c r="P741" s="4"/>
      <c r="Q741" s="4"/>
      <c r="R741" s="4"/>
      <c r="S741" s="4"/>
      <c r="T741" s="4"/>
      <c r="U741" s="4"/>
      <c r="V741" s="4"/>
      <c r="W741" s="4"/>
      <c r="X741" s="4"/>
      <c r="Y741" s="4"/>
      <c r="Z741" s="4"/>
    </row>
    <row r="742" ht="9.75" customHeight="1">
      <c r="A742" s="4"/>
      <c r="B742" s="7"/>
      <c r="C742" s="7"/>
      <c r="D742" s="4"/>
      <c r="E742" s="4"/>
      <c r="F742" s="7"/>
      <c r="G742" s="7"/>
      <c r="H742" s="4"/>
      <c r="I742" s="4"/>
      <c r="J742" s="7"/>
      <c r="K742" s="4"/>
      <c r="L742" s="4"/>
      <c r="M742" s="4"/>
      <c r="N742" s="4"/>
      <c r="O742" s="4"/>
      <c r="P742" s="4"/>
      <c r="Q742" s="4"/>
      <c r="R742" s="4"/>
      <c r="S742" s="4"/>
      <c r="T742" s="4"/>
      <c r="U742" s="4"/>
      <c r="V742" s="4"/>
      <c r="W742" s="4"/>
      <c r="X742" s="4"/>
      <c r="Y742" s="4"/>
      <c r="Z742" s="4"/>
    </row>
    <row r="743" ht="9.75" customHeight="1">
      <c r="A743" s="4"/>
      <c r="B743" s="7"/>
      <c r="C743" s="7"/>
      <c r="D743" s="4"/>
      <c r="E743" s="4"/>
      <c r="F743" s="7"/>
      <c r="G743" s="7"/>
      <c r="H743" s="4"/>
      <c r="I743" s="4"/>
      <c r="J743" s="7"/>
      <c r="K743" s="4"/>
      <c r="L743" s="4"/>
      <c r="M743" s="4"/>
      <c r="N743" s="4"/>
      <c r="O743" s="4"/>
      <c r="P743" s="4"/>
      <c r="Q743" s="4"/>
      <c r="R743" s="4"/>
      <c r="S743" s="4"/>
      <c r="T743" s="4"/>
      <c r="U743" s="4"/>
      <c r="V743" s="4"/>
      <c r="W743" s="4"/>
      <c r="X743" s="4"/>
      <c r="Y743" s="4"/>
      <c r="Z743" s="4"/>
    </row>
    <row r="744" ht="9.75" customHeight="1">
      <c r="A744" s="4"/>
      <c r="B744" s="7"/>
      <c r="C744" s="7"/>
      <c r="D744" s="4"/>
      <c r="E744" s="4"/>
      <c r="F744" s="7"/>
      <c r="G744" s="7"/>
      <c r="H744" s="4"/>
      <c r="I744" s="4"/>
      <c r="J744" s="7"/>
      <c r="K744" s="4"/>
      <c r="L744" s="4"/>
      <c r="M744" s="4"/>
      <c r="N744" s="4"/>
      <c r="O744" s="4"/>
      <c r="P744" s="4"/>
      <c r="Q744" s="4"/>
      <c r="R744" s="4"/>
      <c r="S744" s="4"/>
      <c r="T744" s="4"/>
      <c r="U744" s="4"/>
      <c r="V744" s="4"/>
      <c r="W744" s="4"/>
      <c r="X744" s="4"/>
      <c r="Y744" s="4"/>
      <c r="Z744" s="4"/>
    </row>
    <row r="745" ht="9.75" customHeight="1">
      <c r="A745" s="4"/>
      <c r="B745" s="7"/>
      <c r="C745" s="7"/>
      <c r="D745" s="4"/>
      <c r="E745" s="4"/>
      <c r="F745" s="7"/>
      <c r="G745" s="7"/>
      <c r="H745" s="4"/>
      <c r="I745" s="4"/>
      <c r="J745" s="7"/>
      <c r="K745" s="4"/>
      <c r="L745" s="4"/>
      <c r="M745" s="4"/>
      <c r="N745" s="4"/>
      <c r="O745" s="4"/>
      <c r="P745" s="4"/>
      <c r="Q745" s="4"/>
      <c r="R745" s="4"/>
      <c r="S745" s="4"/>
      <c r="T745" s="4"/>
      <c r="U745" s="4"/>
      <c r="V745" s="4"/>
      <c r="W745" s="4"/>
      <c r="X745" s="4"/>
      <c r="Y745" s="4"/>
      <c r="Z745" s="4"/>
    </row>
    <row r="746" ht="9.75" customHeight="1">
      <c r="A746" s="4"/>
      <c r="B746" s="7"/>
      <c r="C746" s="7"/>
      <c r="D746" s="4"/>
      <c r="E746" s="4"/>
      <c r="F746" s="7"/>
      <c r="G746" s="7"/>
      <c r="H746" s="4"/>
      <c r="I746" s="4"/>
      <c r="J746" s="7"/>
      <c r="K746" s="4"/>
      <c r="L746" s="4"/>
      <c r="M746" s="4"/>
      <c r="N746" s="4"/>
      <c r="O746" s="4"/>
      <c r="P746" s="4"/>
      <c r="Q746" s="4"/>
      <c r="R746" s="4"/>
      <c r="S746" s="4"/>
      <c r="T746" s="4"/>
      <c r="U746" s="4"/>
      <c r="V746" s="4"/>
      <c r="W746" s="4"/>
      <c r="X746" s="4"/>
      <c r="Y746" s="4"/>
      <c r="Z746" s="4"/>
    </row>
    <row r="747" ht="9.75" customHeight="1">
      <c r="A747" s="4"/>
      <c r="B747" s="7"/>
      <c r="C747" s="7"/>
      <c r="D747" s="4"/>
      <c r="E747" s="4"/>
      <c r="F747" s="7"/>
      <c r="G747" s="7"/>
      <c r="H747" s="4"/>
      <c r="I747" s="4"/>
      <c r="J747" s="7"/>
      <c r="K747" s="4"/>
      <c r="L747" s="4"/>
      <c r="M747" s="4"/>
      <c r="N747" s="4"/>
      <c r="O747" s="4"/>
      <c r="P747" s="4"/>
      <c r="Q747" s="4"/>
      <c r="R747" s="4"/>
      <c r="S747" s="4"/>
      <c r="T747" s="4"/>
      <c r="U747" s="4"/>
      <c r="V747" s="4"/>
      <c r="W747" s="4"/>
      <c r="X747" s="4"/>
      <c r="Y747" s="4"/>
      <c r="Z747" s="4"/>
    </row>
    <row r="748" ht="9.75" customHeight="1">
      <c r="A748" s="4"/>
      <c r="B748" s="7"/>
      <c r="C748" s="7"/>
      <c r="D748" s="4"/>
      <c r="E748" s="4"/>
      <c r="F748" s="7"/>
      <c r="G748" s="7"/>
      <c r="H748" s="4"/>
      <c r="I748" s="4"/>
      <c r="J748" s="7"/>
      <c r="K748" s="4"/>
      <c r="L748" s="4"/>
      <c r="M748" s="4"/>
      <c r="N748" s="4"/>
      <c r="O748" s="4"/>
      <c r="P748" s="4"/>
      <c r="Q748" s="4"/>
      <c r="R748" s="4"/>
      <c r="S748" s="4"/>
      <c r="T748" s="4"/>
      <c r="U748" s="4"/>
      <c r="V748" s="4"/>
      <c r="W748" s="4"/>
      <c r="X748" s="4"/>
      <c r="Y748" s="4"/>
      <c r="Z748" s="4"/>
    </row>
    <row r="749" ht="9.75" customHeight="1">
      <c r="A749" s="4"/>
      <c r="B749" s="7"/>
      <c r="C749" s="7"/>
      <c r="D749" s="4"/>
      <c r="E749" s="4"/>
      <c r="F749" s="7"/>
      <c r="G749" s="7"/>
      <c r="H749" s="4"/>
      <c r="I749" s="4"/>
      <c r="J749" s="7"/>
      <c r="K749" s="4"/>
      <c r="L749" s="4"/>
      <c r="M749" s="4"/>
      <c r="N749" s="4"/>
      <c r="O749" s="4"/>
      <c r="P749" s="4"/>
      <c r="Q749" s="4"/>
      <c r="R749" s="4"/>
      <c r="S749" s="4"/>
      <c r="T749" s="4"/>
      <c r="U749" s="4"/>
      <c r="V749" s="4"/>
      <c r="W749" s="4"/>
      <c r="X749" s="4"/>
      <c r="Y749" s="4"/>
      <c r="Z749" s="4"/>
    </row>
    <row r="750" ht="9.75" customHeight="1">
      <c r="A750" s="4"/>
      <c r="B750" s="7"/>
      <c r="C750" s="7"/>
      <c r="D750" s="4"/>
      <c r="E750" s="4"/>
      <c r="F750" s="7"/>
      <c r="G750" s="7"/>
      <c r="H750" s="4"/>
      <c r="I750" s="4"/>
      <c r="J750" s="7"/>
      <c r="K750" s="4"/>
      <c r="L750" s="4"/>
      <c r="M750" s="4"/>
      <c r="N750" s="4"/>
      <c r="O750" s="4"/>
      <c r="P750" s="4"/>
      <c r="Q750" s="4"/>
      <c r="R750" s="4"/>
      <c r="S750" s="4"/>
      <c r="T750" s="4"/>
      <c r="U750" s="4"/>
      <c r="V750" s="4"/>
      <c r="W750" s="4"/>
      <c r="X750" s="4"/>
      <c r="Y750" s="4"/>
      <c r="Z750" s="4"/>
    </row>
    <row r="751" ht="9.75" customHeight="1">
      <c r="A751" s="4"/>
      <c r="B751" s="7"/>
      <c r="C751" s="7"/>
      <c r="D751" s="4"/>
      <c r="E751" s="4"/>
      <c r="F751" s="7"/>
      <c r="G751" s="7"/>
      <c r="H751" s="4"/>
      <c r="I751" s="4"/>
      <c r="J751" s="7"/>
      <c r="K751" s="4"/>
      <c r="L751" s="4"/>
      <c r="M751" s="4"/>
      <c r="N751" s="4"/>
      <c r="O751" s="4"/>
      <c r="P751" s="4"/>
      <c r="Q751" s="4"/>
      <c r="R751" s="4"/>
      <c r="S751" s="4"/>
      <c r="T751" s="4"/>
      <c r="U751" s="4"/>
      <c r="V751" s="4"/>
      <c r="W751" s="4"/>
      <c r="X751" s="4"/>
      <c r="Y751" s="4"/>
      <c r="Z751" s="4"/>
    </row>
    <row r="752" ht="9.75" customHeight="1">
      <c r="A752" s="4"/>
      <c r="B752" s="7"/>
      <c r="C752" s="7"/>
      <c r="D752" s="4"/>
      <c r="E752" s="4"/>
      <c r="F752" s="7"/>
      <c r="G752" s="7"/>
      <c r="H752" s="4"/>
      <c r="I752" s="4"/>
      <c r="J752" s="7"/>
      <c r="K752" s="4"/>
      <c r="L752" s="4"/>
      <c r="M752" s="4"/>
      <c r="N752" s="4"/>
      <c r="O752" s="4"/>
      <c r="P752" s="4"/>
      <c r="Q752" s="4"/>
      <c r="R752" s="4"/>
      <c r="S752" s="4"/>
      <c r="T752" s="4"/>
      <c r="U752" s="4"/>
      <c r="V752" s="4"/>
      <c r="W752" s="4"/>
      <c r="X752" s="4"/>
      <c r="Y752" s="4"/>
      <c r="Z752" s="4"/>
    </row>
    <row r="753" ht="9.75" customHeight="1">
      <c r="A753" s="4"/>
      <c r="B753" s="7"/>
      <c r="C753" s="7"/>
      <c r="D753" s="4"/>
      <c r="E753" s="4"/>
      <c r="F753" s="7"/>
      <c r="G753" s="7"/>
      <c r="H753" s="4"/>
      <c r="I753" s="4"/>
      <c r="J753" s="7"/>
      <c r="K753" s="4"/>
      <c r="L753" s="4"/>
      <c r="M753" s="4"/>
      <c r="N753" s="4"/>
      <c r="O753" s="4"/>
      <c r="P753" s="4"/>
      <c r="Q753" s="4"/>
      <c r="R753" s="4"/>
      <c r="S753" s="4"/>
      <c r="T753" s="4"/>
      <c r="U753" s="4"/>
      <c r="V753" s="4"/>
      <c r="W753" s="4"/>
      <c r="X753" s="4"/>
      <c r="Y753" s="4"/>
      <c r="Z753" s="4"/>
    </row>
    <row r="754" ht="9.75" customHeight="1">
      <c r="A754" s="4"/>
      <c r="B754" s="7"/>
      <c r="C754" s="7"/>
      <c r="D754" s="4"/>
      <c r="E754" s="4"/>
      <c r="F754" s="7"/>
      <c r="G754" s="7"/>
      <c r="H754" s="4"/>
      <c r="I754" s="4"/>
      <c r="J754" s="7"/>
      <c r="K754" s="4"/>
      <c r="L754" s="4"/>
      <c r="M754" s="4"/>
      <c r="N754" s="4"/>
      <c r="O754" s="4"/>
      <c r="P754" s="4"/>
      <c r="Q754" s="4"/>
      <c r="R754" s="4"/>
      <c r="S754" s="4"/>
      <c r="T754" s="4"/>
      <c r="U754" s="4"/>
      <c r="V754" s="4"/>
      <c r="W754" s="4"/>
      <c r="X754" s="4"/>
      <c r="Y754" s="4"/>
      <c r="Z754" s="4"/>
    </row>
    <row r="755" ht="9.75" customHeight="1">
      <c r="A755" s="4"/>
      <c r="B755" s="7"/>
      <c r="C755" s="7"/>
      <c r="D755" s="4"/>
      <c r="E755" s="4"/>
      <c r="F755" s="7"/>
      <c r="G755" s="7"/>
      <c r="H755" s="4"/>
      <c r="I755" s="4"/>
      <c r="J755" s="7"/>
      <c r="K755" s="4"/>
      <c r="L755" s="4"/>
      <c r="M755" s="4"/>
      <c r="N755" s="4"/>
      <c r="O755" s="4"/>
      <c r="P755" s="4"/>
      <c r="Q755" s="4"/>
      <c r="R755" s="4"/>
      <c r="S755" s="4"/>
      <c r="T755" s="4"/>
      <c r="U755" s="4"/>
      <c r="V755" s="4"/>
      <c r="W755" s="4"/>
      <c r="X755" s="4"/>
      <c r="Y755" s="4"/>
      <c r="Z755" s="4"/>
    </row>
    <row r="756" ht="9.75" customHeight="1">
      <c r="A756" s="4"/>
      <c r="B756" s="7"/>
      <c r="C756" s="7"/>
      <c r="D756" s="4"/>
      <c r="E756" s="4"/>
      <c r="F756" s="7"/>
      <c r="G756" s="7"/>
      <c r="H756" s="4"/>
      <c r="I756" s="4"/>
      <c r="J756" s="7"/>
      <c r="K756" s="4"/>
      <c r="L756" s="4"/>
      <c r="M756" s="4"/>
      <c r="N756" s="4"/>
      <c r="O756" s="4"/>
      <c r="P756" s="4"/>
      <c r="Q756" s="4"/>
      <c r="R756" s="4"/>
      <c r="S756" s="4"/>
      <c r="T756" s="4"/>
      <c r="U756" s="4"/>
      <c r="V756" s="4"/>
      <c r="W756" s="4"/>
      <c r="X756" s="4"/>
      <c r="Y756" s="4"/>
      <c r="Z756" s="4"/>
    </row>
    <row r="757" ht="9.75" customHeight="1">
      <c r="A757" s="4"/>
      <c r="B757" s="7"/>
      <c r="C757" s="7"/>
      <c r="D757" s="4"/>
      <c r="E757" s="4"/>
      <c r="F757" s="7"/>
      <c r="G757" s="7"/>
      <c r="H757" s="4"/>
      <c r="I757" s="4"/>
      <c r="J757" s="7"/>
      <c r="K757" s="4"/>
      <c r="L757" s="4"/>
      <c r="M757" s="4"/>
      <c r="N757" s="4"/>
      <c r="O757" s="4"/>
      <c r="P757" s="4"/>
      <c r="Q757" s="4"/>
      <c r="R757" s="4"/>
      <c r="S757" s="4"/>
      <c r="T757" s="4"/>
      <c r="U757" s="4"/>
      <c r="V757" s="4"/>
      <c r="W757" s="4"/>
      <c r="X757" s="4"/>
      <c r="Y757" s="4"/>
      <c r="Z757" s="4"/>
    </row>
    <row r="758" ht="9.75" customHeight="1">
      <c r="A758" s="4"/>
      <c r="B758" s="7"/>
      <c r="C758" s="7"/>
      <c r="D758" s="4"/>
      <c r="E758" s="4"/>
      <c r="F758" s="7"/>
      <c r="G758" s="7"/>
      <c r="H758" s="4"/>
      <c r="I758" s="4"/>
      <c r="J758" s="7"/>
      <c r="K758" s="4"/>
      <c r="L758" s="4"/>
      <c r="M758" s="4"/>
      <c r="N758" s="4"/>
      <c r="O758" s="4"/>
      <c r="P758" s="4"/>
      <c r="Q758" s="4"/>
      <c r="R758" s="4"/>
      <c r="S758" s="4"/>
      <c r="T758" s="4"/>
      <c r="U758" s="4"/>
      <c r="V758" s="4"/>
      <c r="W758" s="4"/>
      <c r="X758" s="4"/>
      <c r="Y758" s="4"/>
      <c r="Z758" s="4"/>
    </row>
    <row r="759" ht="9.75" customHeight="1">
      <c r="A759" s="4"/>
      <c r="B759" s="7"/>
      <c r="C759" s="7"/>
      <c r="D759" s="4"/>
      <c r="E759" s="4"/>
      <c r="F759" s="7"/>
      <c r="G759" s="7"/>
      <c r="H759" s="4"/>
      <c r="I759" s="4"/>
      <c r="J759" s="7"/>
      <c r="K759" s="4"/>
      <c r="L759" s="4"/>
      <c r="M759" s="4"/>
      <c r="N759" s="4"/>
      <c r="O759" s="4"/>
      <c r="P759" s="4"/>
      <c r="Q759" s="4"/>
      <c r="R759" s="4"/>
      <c r="S759" s="4"/>
      <c r="T759" s="4"/>
      <c r="U759" s="4"/>
      <c r="V759" s="4"/>
      <c r="W759" s="4"/>
      <c r="X759" s="4"/>
      <c r="Y759" s="4"/>
      <c r="Z759" s="4"/>
    </row>
    <row r="760" ht="9.75" customHeight="1">
      <c r="A760" s="4"/>
      <c r="B760" s="7"/>
      <c r="C760" s="7"/>
      <c r="D760" s="4"/>
      <c r="E760" s="4"/>
      <c r="F760" s="7"/>
      <c r="G760" s="7"/>
      <c r="H760" s="4"/>
      <c r="I760" s="4"/>
      <c r="J760" s="7"/>
      <c r="K760" s="4"/>
      <c r="L760" s="4"/>
      <c r="M760" s="4"/>
      <c r="N760" s="4"/>
      <c r="O760" s="4"/>
      <c r="P760" s="4"/>
      <c r="Q760" s="4"/>
      <c r="R760" s="4"/>
      <c r="S760" s="4"/>
      <c r="T760" s="4"/>
      <c r="U760" s="4"/>
      <c r="V760" s="4"/>
      <c r="W760" s="4"/>
      <c r="X760" s="4"/>
      <c r="Y760" s="4"/>
      <c r="Z760" s="4"/>
    </row>
    <row r="761" ht="9.75" customHeight="1">
      <c r="A761" s="4"/>
      <c r="B761" s="7"/>
      <c r="C761" s="7"/>
      <c r="D761" s="4"/>
      <c r="E761" s="4"/>
      <c r="F761" s="7"/>
      <c r="G761" s="7"/>
      <c r="H761" s="4"/>
      <c r="I761" s="4"/>
      <c r="J761" s="7"/>
      <c r="K761" s="4"/>
      <c r="L761" s="4"/>
      <c r="M761" s="4"/>
      <c r="N761" s="4"/>
      <c r="O761" s="4"/>
      <c r="P761" s="4"/>
      <c r="Q761" s="4"/>
      <c r="R761" s="4"/>
      <c r="S761" s="4"/>
      <c r="T761" s="4"/>
      <c r="U761" s="4"/>
      <c r="V761" s="4"/>
      <c r="W761" s="4"/>
      <c r="X761" s="4"/>
      <c r="Y761" s="4"/>
      <c r="Z761" s="4"/>
    </row>
    <row r="762" ht="9.75" customHeight="1">
      <c r="A762" s="4"/>
      <c r="B762" s="7"/>
      <c r="C762" s="7"/>
      <c r="D762" s="4"/>
      <c r="E762" s="4"/>
      <c r="F762" s="7"/>
      <c r="G762" s="7"/>
      <c r="H762" s="4"/>
      <c r="I762" s="4"/>
      <c r="J762" s="7"/>
      <c r="K762" s="4"/>
      <c r="L762" s="4"/>
      <c r="M762" s="4"/>
      <c r="N762" s="4"/>
      <c r="O762" s="4"/>
      <c r="P762" s="4"/>
      <c r="Q762" s="4"/>
      <c r="R762" s="4"/>
      <c r="S762" s="4"/>
      <c r="T762" s="4"/>
      <c r="U762" s="4"/>
      <c r="V762" s="4"/>
      <c r="W762" s="4"/>
      <c r="X762" s="4"/>
      <c r="Y762" s="4"/>
      <c r="Z762" s="4"/>
    </row>
    <row r="763" ht="9.75" customHeight="1">
      <c r="A763" s="4"/>
      <c r="B763" s="7"/>
      <c r="C763" s="7"/>
      <c r="D763" s="4"/>
      <c r="E763" s="4"/>
      <c r="F763" s="7"/>
      <c r="G763" s="7"/>
      <c r="H763" s="4"/>
      <c r="I763" s="4"/>
      <c r="J763" s="7"/>
      <c r="K763" s="4"/>
      <c r="L763" s="4"/>
      <c r="M763" s="4"/>
      <c r="N763" s="4"/>
      <c r="O763" s="4"/>
      <c r="P763" s="4"/>
      <c r="Q763" s="4"/>
      <c r="R763" s="4"/>
      <c r="S763" s="4"/>
      <c r="T763" s="4"/>
      <c r="U763" s="4"/>
      <c r="V763" s="4"/>
      <c r="W763" s="4"/>
      <c r="X763" s="4"/>
      <c r="Y763" s="4"/>
      <c r="Z763" s="4"/>
    </row>
    <row r="764" ht="9.75" customHeight="1">
      <c r="A764" s="4"/>
      <c r="B764" s="7"/>
      <c r="C764" s="7"/>
      <c r="D764" s="4"/>
      <c r="E764" s="4"/>
      <c r="F764" s="7"/>
      <c r="G764" s="7"/>
      <c r="H764" s="4"/>
      <c r="I764" s="4"/>
      <c r="J764" s="7"/>
      <c r="K764" s="4"/>
      <c r="L764" s="4"/>
      <c r="M764" s="4"/>
      <c r="N764" s="4"/>
      <c r="O764" s="4"/>
      <c r="P764" s="4"/>
      <c r="Q764" s="4"/>
      <c r="R764" s="4"/>
      <c r="S764" s="4"/>
      <c r="T764" s="4"/>
      <c r="U764" s="4"/>
      <c r="V764" s="4"/>
      <c r="W764" s="4"/>
      <c r="X764" s="4"/>
      <c r="Y764" s="4"/>
      <c r="Z764" s="4"/>
    </row>
    <row r="765" ht="9.75" customHeight="1">
      <c r="A765" s="4"/>
      <c r="B765" s="7"/>
      <c r="C765" s="7"/>
      <c r="D765" s="4"/>
      <c r="E765" s="4"/>
      <c r="F765" s="7"/>
      <c r="G765" s="7"/>
      <c r="H765" s="4"/>
      <c r="I765" s="4"/>
      <c r="J765" s="7"/>
      <c r="K765" s="4"/>
      <c r="L765" s="4"/>
      <c r="M765" s="4"/>
      <c r="N765" s="4"/>
      <c r="O765" s="4"/>
      <c r="P765" s="4"/>
      <c r="Q765" s="4"/>
      <c r="R765" s="4"/>
      <c r="S765" s="4"/>
      <c r="T765" s="4"/>
      <c r="U765" s="4"/>
      <c r="V765" s="4"/>
      <c r="W765" s="4"/>
      <c r="X765" s="4"/>
      <c r="Y765" s="4"/>
      <c r="Z765" s="4"/>
    </row>
    <row r="766" ht="9.75" customHeight="1">
      <c r="A766" s="4"/>
      <c r="B766" s="7"/>
      <c r="C766" s="7"/>
      <c r="D766" s="4"/>
      <c r="E766" s="4"/>
      <c r="F766" s="7"/>
      <c r="G766" s="7"/>
      <c r="H766" s="4"/>
      <c r="I766" s="4"/>
      <c r="J766" s="7"/>
      <c r="K766" s="4"/>
      <c r="L766" s="4"/>
      <c r="M766" s="4"/>
      <c r="N766" s="4"/>
      <c r="O766" s="4"/>
      <c r="P766" s="4"/>
      <c r="Q766" s="4"/>
      <c r="R766" s="4"/>
      <c r="S766" s="4"/>
      <c r="T766" s="4"/>
      <c r="U766" s="4"/>
      <c r="V766" s="4"/>
      <c r="W766" s="4"/>
      <c r="X766" s="4"/>
      <c r="Y766" s="4"/>
      <c r="Z766" s="4"/>
    </row>
    <row r="767" ht="9.75" customHeight="1">
      <c r="A767" s="4"/>
      <c r="B767" s="7"/>
      <c r="C767" s="7"/>
      <c r="D767" s="4"/>
      <c r="E767" s="4"/>
      <c r="F767" s="7"/>
      <c r="G767" s="7"/>
      <c r="H767" s="4"/>
      <c r="I767" s="4"/>
      <c r="J767" s="7"/>
      <c r="K767" s="4"/>
      <c r="L767" s="4"/>
      <c r="M767" s="4"/>
      <c r="N767" s="4"/>
      <c r="O767" s="4"/>
      <c r="P767" s="4"/>
      <c r="Q767" s="4"/>
      <c r="R767" s="4"/>
      <c r="S767" s="4"/>
      <c r="T767" s="4"/>
      <c r="U767" s="4"/>
      <c r="V767" s="4"/>
      <c r="W767" s="4"/>
      <c r="X767" s="4"/>
      <c r="Y767" s="4"/>
      <c r="Z767" s="4"/>
    </row>
    <row r="768" ht="9.75" customHeight="1">
      <c r="A768" s="4"/>
      <c r="B768" s="7"/>
      <c r="C768" s="7"/>
      <c r="D768" s="4"/>
      <c r="E768" s="4"/>
      <c r="F768" s="7"/>
      <c r="G768" s="7"/>
      <c r="H768" s="4"/>
      <c r="I768" s="4"/>
      <c r="J768" s="7"/>
      <c r="K768" s="4"/>
      <c r="L768" s="4"/>
      <c r="M768" s="4"/>
      <c r="N768" s="4"/>
      <c r="O768" s="4"/>
      <c r="P768" s="4"/>
      <c r="Q768" s="4"/>
      <c r="R768" s="4"/>
      <c r="S768" s="4"/>
      <c r="T768" s="4"/>
      <c r="U768" s="4"/>
      <c r="V768" s="4"/>
      <c r="W768" s="4"/>
      <c r="X768" s="4"/>
      <c r="Y768" s="4"/>
      <c r="Z768" s="4"/>
    </row>
    <row r="769" ht="9.75" customHeight="1">
      <c r="A769" s="4"/>
      <c r="B769" s="7"/>
      <c r="C769" s="7"/>
      <c r="D769" s="4"/>
      <c r="E769" s="4"/>
      <c r="F769" s="7"/>
      <c r="G769" s="7"/>
      <c r="H769" s="4"/>
      <c r="I769" s="4"/>
      <c r="J769" s="7"/>
      <c r="K769" s="4"/>
      <c r="L769" s="4"/>
      <c r="M769" s="4"/>
      <c r="N769" s="4"/>
      <c r="O769" s="4"/>
      <c r="P769" s="4"/>
      <c r="Q769" s="4"/>
      <c r="R769" s="4"/>
      <c r="S769" s="4"/>
      <c r="T769" s="4"/>
      <c r="U769" s="4"/>
      <c r="V769" s="4"/>
      <c r="W769" s="4"/>
      <c r="X769" s="4"/>
      <c r="Y769" s="4"/>
      <c r="Z769" s="4"/>
    </row>
    <row r="770" ht="9.75" customHeight="1">
      <c r="A770" s="4"/>
      <c r="B770" s="7"/>
      <c r="C770" s="7"/>
      <c r="D770" s="4"/>
      <c r="E770" s="4"/>
      <c r="F770" s="7"/>
      <c r="G770" s="7"/>
      <c r="H770" s="4"/>
      <c r="I770" s="4"/>
      <c r="J770" s="7"/>
      <c r="K770" s="4"/>
      <c r="L770" s="4"/>
      <c r="M770" s="4"/>
      <c r="N770" s="4"/>
      <c r="O770" s="4"/>
      <c r="P770" s="4"/>
      <c r="Q770" s="4"/>
      <c r="R770" s="4"/>
      <c r="S770" s="4"/>
      <c r="T770" s="4"/>
      <c r="U770" s="4"/>
      <c r="V770" s="4"/>
      <c r="W770" s="4"/>
      <c r="X770" s="4"/>
      <c r="Y770" s="4"/>
      <c r="Z770" s="4"/>
    </row>
    <row r="771" ht="9.75" customHeight="1">
      <c r="A771" s="4"/>
      <c r="B771" s="7"/>
      <c r="C771" s="7"/>
      <c r="D771" s="4"/>
      <c r="E771" s="4"/>
      <c r="F771" s="7"/>
      <c r="G771" s="7"/>
      <c r="H771" s="4"/>
      <c r="I771" s="4"/>
      <c r="J771" s="7"/>
      <c r="K771" s="4"/>
      <c r="L771" s="4"/>
      <c r="M771" s="4"/>
      <c r="N771" s="4"/>
      <c r="O771" s="4"/>
      <c r="P771" s="4"/>
      <c r="Q771" s="4"/>
      <c r="R771" s="4"/>
      <c r="S771" s="4"/>
      <c r="T771" s="4"/>
      <c r="U771" s="4"/>
      <c r="V771" s="4"/>
      <c r="W771" s="4"/>
      <c r="X771" s="4"/>
      <c r="Y771" s="4"/>
      <c r="Z771" s="4"/>
    </row>
    <row r="772" ht="9.75" customHeight="1">
      <c r="A772" s="4"/>
      <c r="B772" s="7"/>
      <c r="C772" s="7"/>
      <c r="D772" s="4"/>
      <c r="E772" s="4"/>
      <c r="F772" s="7"/>
      <c r="G772" s="7"/>
      <c r="H772" s="4"/>
      <c r="I772" s="4"/>
      <c r="J772" s="7"/>
      <c r="K772" s="4"/>
      <c r="L772" s="4"/>
      <c r="M772" s="4"/>
      <c r="N772" s="4"/>
      <c r="O772" s="4"/>
      <c r="P772" s="4"/>
      <c r="Q772" s="4"/>
      <c r="R772" s="4"/>
      <c r="S772" s="4"/>
      <c r="T772" s="4"/>
      <c r="U772" s="4"/>
      <c r="V772" s="4"/>
      <c r="W772" s="4"/>
      <c r="X772" s="4"/>
      <c r="Y772" s="4"/>
      <c r="Z772" s="4"/>
    </row>
    <row r="773" ht="9.75" customHeight="1">
      <c r="A773" s="4"/>
      <c r="B773" s="7"/>
      <c r="C773" s="7"/>
      <c r="D773" s="4"/>
      <c r="E773" s="4"/>
      <c r="F773" s="7"/>
      <c r="G773" s="7"/>
      <c r="H773" s="4"/>
      <c r="I773" s="4"/>
      <c r="J773" s="7"/>
      <c r="K773" s="4"/>
      <c r="L773" s="4"/>
      <c r="M773" s="4"/>
      <c r="N773" s="4"/>
      <c r="O773" s="4"/>
      <c r="P773" s="4"/>
      <c r="Q773" s="4"/>
      <c r="R773" s="4"/>
      <c r="S773" s="4"/>
      <c r="T773" s="4"/>
      <c r="U773" s="4"/>
      <c r="V773" s="4"/>
      <c r="W773" s="4"/>
      <c r="X773" s="4"/>
      <c r="Y773" s="4"/>
      <c r="Z773" s="4"/>
    </row>
    <row r="774" ht="9.75" customHeight="1">
      <c r="A774" s="4"/>
      <c r="B774" s="7"/>
      <c r="C774" s="7"/>
      <c r="D774" s="4"/>
      <c r="E774" s="4"/>
      <c r="F774" s="7"/>
      <c r="G774" s="7"/>
      <c r="H774" s="4"/>
      <c r="I774" s="4"/>
      <c r="J774" s="7"/>
      <c r="K774" s="4"/>
      <c r="L774" s="4"/>
      <c r="M774" s="4"/>
      <c r="N774" s="4"/>
      <c r="O774" s="4"/>
      <c r="P774" s="4"/>
      <c r="Q774" s="4"/>
      <c r="R774" s="4"/>
      <c r="S774" s="4"/>
      <c r="T774" s="4"/>
      <c r="U774" s="4"/>
      <c r="V774" s="4"/>
      <c r="W774" s="4"/>
      <c r="X774" s="4"/>
      <c r="Y774" s="4"/>
      <c r="Z774" s="4"/>
    </row>
    <row r="775" ht="9.75" customHeight="1">
      <c r="A775" s="4"/>
      <c r="B775" s="7"/>
      <c r="C775" s="7"/>
      <c r="D775" s="4"/>
      <c r="E775" s="4"/>
      <c r="F775" s="7"/>
      <c r="G775" s="7"/>
      <c r="H775" s="4"/>
      <c r="I775" s="4"/>
      <c r="J775" s="7"/>
      <c r="K775" s="4"/>
      <c r="L775" s="4"/>
      <c r="M775" s="4"/>
      <c r="N775" s="4"/>
      <c r="O775" s="4"/>
      <c r="P775" s="4"/>
      <c r="Q775" s="4"/>
      <c r="R775" s="4"/>
      <c r="S775" s="4"/>
      <c r="T775" s="4"/>
      <c r="U775" s="4"/>
      <c r="V775" s="4"/>
      <c r="W775" s="4"/>
      <c r="X775" s="4"/>
      <c r="Y775" s="4"/>
      <c r="Z775" s="4"/>
    </row>
    <row r="776" ht="9.75" customHeight="1">
      <c r="A776" s="4"/>
      <c r="B776" s="7"/>
      <c r="C776" s="7"/>
      <c r="D776" s="4"/>
      <c r="E776" s="4"/>
      <c r="F776" s="7"/>
      <c r="G776" s="7"/>
      <c r="H776" s="4"/>
      <c r="I776" s="4"/>
      <c r="J776" s="7"/>
      <c r="K776" s="4"/>
      <c r="L776" s="4"/>
      <c r="M776" s="4"/>
      <c r="N776" s="4"/>
      <c r="O776" s="4"/>
      <c r="P776" s="4"/>
      <c r="Q776" s="4"/>
      <c r="R776" s="4"/>
      <c r="S776" s="4"/>
      <c r="T776" s="4"/>
      <c r="U776" s="4"/>
      <c r="V776" s="4"/>
      <c r="W776" s="4"/>
      <c r="X776" s="4"/>
      <c r="Y776" s="4"/>
      <c r="Z776" s="4"/>
    </row>
    <row r="777" ht="9.75" customHeight="1">
      <c r="A777" s="4"/>
      <c r="B777" s="7"/>
      <c r="C777" s="7"/>
      <c r="D777" s="4"/>
      <c r="E777" s="4"/>
      <c r="F777" s="7"/>
      <c r="G777" s="7"/>
      <c r="H777" s="4"/>
      <c r="I777" s="4"/>
      <c r="J777" s="7"/>
      <c r="K777" s="4"/>
      <c r="L777" s="4"/>
      <c r="M777" s="4"/>
      <c r="N777" s="4"/>
      <c r="O777" s="4"/>
      <c r="P777" s="4"/>
      <c r="Q777" s="4"/>
      <c r="R777" s="4"/>
      <c r="S777" s="4"/>
      <c r="T777" s="4"/>
      <c r="U777" s="4"/>
      <c r="V777" s="4"/>
      <c r="W777" s="4"/>
      <c r="X777" s="4"/>
      <c r="Y777" s="4"/>
      <c r="Z777" s="4"/>
    </row>
    <row r="778" ht="9.75" customHeight="1">
      <c r="A778" s="4"/>
      <c r="B778" s="7"/>
      <c r="C778" s="7"/>
      <c r="D778" s="4"/>
      <c r="E778" s="4"/>
      <c r="F778" s="7"/>
      <c r="G778" s="7"/>
      <c r="H778" s="4"/>
      <c r="I778" s="4"/>
      <c r="J778" s="7"/>
      <c r="K778" s="4"/>
      <c r="L778" s="4"/>
      <c r="M778" s="4"/>
      <c r="N778" s="4"/>
      <c r="O778" s="4"/>
      <c r="P778" s="4"/>
      <c r="Q778" s="4"/>
      <c r="R778" s="4"/>
      <c r="S778" s="4"/>
      <c r="T778" s="4"/>
      <c r="U778" s="4"/>
      <c r="V778" s="4"/>
      <c r="W778" s="4"/>
      <c r="X778" s="4"/>
      <c r="Y778" s="4"/>
      <c r="Z778" s="4"/>
    </row>
    <row r="779" ht="9.75" customHeight="1">
      <c r="A779" s="4"/>
      <c r="B779" s="7"/>
      <c r="C779" s="7"/>
      <c r="D779" s="4"/>
      <c r="E779" s="4"/>
      <c r="F779" s="7"/>
      <c r="G779" s="7"/>
      <c r="H779" s="4"/>
      <c r="I779" s="4"/>
      <c r="J779" s="7"/>
      <c r="K779" s="4"/>
      <c r="L779" s="4"/>
      <c r="M779" s="4"/>
      <c r="N779" s="4"/>
      <c r="O779" s="4"/>
      <c r="P779" s="4"/>
      <c r="Q779" s="4"/>
      <c r="R779" s="4"/>
      <c r="S779" s="4"/>
      <c r="T779" s="4"/>
      <c r="U779" s="4"/>
      <c r="V779" s="4"/>
      <c r="W779" s="4"/>
      <c r="X779" s="4"/>
      <c r="Y779" s="4"/>
      <c r="Z779" s="4"/>
    </row>
    <row r="780" ht="9.75" customHeight="1">
      <c r="A780" s="4"/>
      <c r="B780" s="7"/>
      <c r="C780" s="7"/>
      <c r="D780" s="4"/>
      <c r="E780" s="4"/>
      <c r="F780" s="7"/>
      <c r="G780" s="7"/>
      <c r="H780" s="4"/>
      <c r="I780" s="4"/>
      <c r="J780" s="7"/>
      <c r="K780" s="4"/>
      <c r="L780" s="4"/>
      <c r="M780" s="4"/>
      <c r="N780" s="4"/>
      <c r="O780" s="4"/>
      <c r="P780" s="4"/>
      <c r="Q780" s="4"/>
      <c r="R780" s="4"/>
      <c r="S780" s="4"/>
      <c r="T780" s="4"/>
      <c r="U780" s="4"/>
      <c r="V780" s="4"/>
      <c r="W780" s="4"/>
      <c r="X780" s="4"/>
      <c r="Y780" s="4"/>
      <c r="Z780" s="4"/>
    </row>
    <row r="781" ht="9.75" customHeight="1">
      <c r="A781" s="4"/>
      <c r="B781" s="7"/>
      <c r="C781" s="7"/>
      <c r="D781" s="4"/>
      <c r="E781" s="4"/>
      <c r="F781" s="7"/>
      <c r="G781" s="7"/>
      <c r="H781" s="4"/>
      <c r="I781" s="4"/>
      <c r="J781" s="7"/>
      <c r="K781" s="4"/>
      <c r="L781" s="4"/>
      <c r="M781" s="4"/>
      <c r="N781" s="4"/>
      <c r="O781" s="4"/>
      <c r="P781" s="4"/>
      <c r="Q781" s="4"/>
      <c r="R781" s="4"/>
      <c r="S781" s="4"/>
      <c r="T781" s="4"/>
      <c r="U781" s="4"/>
      <c r="V781" s="4"/>
      <c r="W781" s="4"/>
      <c r="X781" s="4"/>
      <c r="Y781" s="4"/>
      <c r="Z781" s="4"/>
    </row>
    <row r="782" ht="9.75" customHeight="1">
      <c r="A782" s="4"/>
      <c r="B782" s="7"/>
      <c r="C782" s="7"/>
      <c r="D782" s="4"/>
      <c r="E782" s="4"/>
      <c r="F782" s="7"/>
      <c r="G782" s="7"/>
      <c r="H782" s="4"/>
      <c r="I782" s="4"/>
      <c r="J782" s="7"/>
      <c r="K782" s="4"/>
      <c r="L782" s="4"/>
      <c r="M782" s="4"/>
      <c r="N782" s="4"/>
      <c r="O782" s="4"/>
      <c r="P782" s="4"/>
      <c r="Q782" s="4"/>
      <c r="R782" s="4"/>
      <c r="S782" s="4"/>
      <c r="T782" s="4"/>
      <c r="U782" s="4"/>
      <c r="V782" s="4"/>
      <c r="W782" s="4"/>
      <c r="X782" s="4"/>
      <c r="Y782" s="4"/>
      <c r="Z782" s="4"/>
    </row>
    <row r="783" ht="9.75" customHeight="1">
      <c r="A783" s="4"/>
      <c r="B783" s="7"/>
      <c r="C783" s="7"/>
      <c r="D783" s="4"/>
      <c r="E783" s="4"/>
      <c r="F783" s="7"/>
      <c r="G783" s="7"/>
      <c r="H783" s="4"/>
      <c r="I783" s="4"/>
      <c r="J783" s="7"/>
      <c r="K783" s="4"/>
      <c r="L783" s="4"/>
      <c r="M783" s="4"/>
      <c r="N783" s="4"/>
      <c r="O783" s="4"/>
      <c r="P783" s="4"/>
      <c r="Q783" s="4"/>
      <c r="R783" s="4"/>
      <c r="S783" s="4"/>
      <c r="T783" s="4"/>
      <c r="U783" s="4"/>
      <c r="V783" s="4"/>
      <c r="W783" s="4"/>
      <c r="X783" s="4"/>
      <c r="Y783" s="4"/>
      <c r="Z783" s="4"/>
    </row>
    <row r="784" ht="9.75" customHeight="1">
      <c r="A784" s="4"/>
      <c r="B784" s="7"/>
      <c r="C784" s="7"/>
      <c r="D784" s="4"/>
      <c r="E784" s="4"/>
      <c r="F784" s="7"/>
      <c r="G784" s="7"/>
      <c r="H784" s="4"/>
      <c r="I784" s="4"/>
      <c r="J784" s="7"/>
      <c r="K784" s="4"/>
      <c r="L784" s="4"/>
      <c r="M784" s="4"/>
      <c r="N784" s="4"/>
      <c r="O784" s="4"/>
      <c r="P784" s="4"/>
      <c r="Q784" s="4"/>
      <c r="R784" s="4"/>
      <c r="S784" s="4"/>
      <c r="T784" s="4"/>
      <c r="U784" s="4"/>
      <c r="V784" s="4"/>
      <c r="W784" s="4"/>
      <c r="X784" s="4"/>
      <c r="Y784" s="4"/>
      <c r="Z784" s="4"/>
    </row>
    <row r="785" ht="9.75" customHeight="1">
      <c r="A785" s="4"/>
      <c r="B785" s="7"/>
      <c r="C785" s="7"/>
      <c r="D785" s="4"/>
      <c r="E785" s="4"/>
      <c r="F785" s="7"/>
      <c r="G785" s="7"/>
      <c r="H785" s="4"/>
      <c r="I785" s="4"/>
      <c r="J785" s="7"/>
      <c r="K785" s="4"/>
      <c r="L785" s="4"/>
      <c r="M785" s="4"/>
      <c r="N785" s="4"/>
      <c r="O785" s="4"/>
      <c r="P785" s="4"/>
      <c r="Q785" s="4"/>
      <c r="R785" s="4"/>
      <c r="S785" s="4"/>
      <c r="T785" s="4"/>
      <c r="U785" s="4"/>
      <c r="V785" s="4"/>
      <c r="W785" s="4"/>
      <c r="X785" s="4"/>
      <c r="Y785" s="4"/>
      <c r="Z785" s="4"/>
    </row>
    <row r="786" ht="9.75" customHeight="1">
      <c r="A786" s="4"/>
      <c r="B786" s="7"/>
      <c r="C786" s="7"/>
      <c r="D786" s="4"/>
      <c r="E786" s="4"/>
      <c r="F786" s="7"/>
      <c r="G786" s="7"/>
      <c r="H786" s="4"/>
      <c r="I786" s="4"/>
      <c r="J786" s="7"/>
      <c r="K786" s="4"/>
      <c r="L786" s="4"/>
      <c r="M786" s="4"/>
      <c r="N786" s="4"/>
      <c r="O786" s="4"/>
      <c r="P786" s="4"/>
      <c r="Q786" s="4"/>
      <c r="R786" s="4"/>
      <c r="S786" s="4"/>
      <c r="T786" s="4"/>
      <c r="U786" s="4"/>
      <c r="V786" s="4"/>
      <c r="W786" s="4"/>
      <c r="X786" s="4"/>
      <c r="Y786" s="4"/>
      <c r="Z786" s="4"/>
    </row>
    <row r="787" ht="9.75" customHeight="1">
      <c r="A787" s="4"/>
      <c r="B787" s="7"/>
      <c r="C787" s="7"/>
      <c r="D787" s="4"/>
      <c r="E787" s="4"/>
      <c r="F787" s="7"/>
      <c r="G787" s="7"/>
      <c r="H787" s="4"/>
      <c r="I787" s="4"/>
      <c r="J787" s="7"/>
      <c r="K787" s="4"/>
      <c r="L787" s="4"/>
      <c r="M787" s="4"/>
      <c r="N787" s="4"/>
      <c r="O787" s="4"/>
      <c r="P787" s="4"/>
      <c r="Q787" s="4"/>
      <c r="R787" s="4"/>
      <c r="S787" s="4"/>
      <c r="T787" s="4"/>
      <c r="U787" s="4"/>
      <c r="V787" s="4"/>
      <c r="W787" s="4"/>
      <c r="X787" s="4"/>
      <c r="Y787" s="4"/>
      <c r="Z787" s="4"/>
    </row>
    <row r="788" ht="9.75" customHeight="1">
      <c r="A788" s="4"/>
      <c r="B788" s="7"/>
      <c r="C788" s="7"/>
      <c r="D788" s="4"/>
      <c r="E788" s="4"/>
      <c r="F788" s="7"/>
      <c r="G788" s="7"/>
      <c r="H788" s="4"/>
      <c r="I788" s="4"/>
      <c r="J788" s="7"/>
      <c r="K788" s="4"/>
      <c r="L788" s="4"/>
      <c r="M788" s="4"/>
      <c r="N788" s="4"/>
      <c r="O788" s="4"/>
      <c r="P788" s="4"/>
      <c r="Q788" s="4"/>
      <c r="R788" s="4"/>
      <c r="S788" s="4"/>
      <c r="T788" s="4"/>
      <c r="U788" s="4"/>
      <c r="V788" s="4"/>
      <c r="W788" s="4"/>
      <c r="X788" s="4"/>
      <c r="Y788" s="4"/>
      <c r="Z788" s="4"/>
    </row>
    <row r="789" ht="9.75" customHeight="1">
      <c r="A789" s="4"/>
      <c r="B789" s="7"/>
      <c r="C789" s="7"/>
      <c r="D789" s="4"/>
      <c r="E789" s="4"/>
      <c r="F789" s="7"/>
      <c r="G789" s="7"/>
      <c r="H789" s="4"/>
      <c r="I789" s="4"/>
      <c r="J789" s="7"/>
      <c r="K789" s="4"/>
      <c r="L789" s="4"/>
      <c r="M789" s="4"/>
      <c r="N789" s="4"/>
      <c r="O789" s="4"/>
      <c r="P789" s="4"/>
      <c r="Q789" s="4"/>
      <c r="R789" s="4"/>
      <c r="S789" s="4"/>
      <c r="T789" s="4"/>
      <c r="U789" s="4"/>
      <c r="V789" s="4"/>
      <c r="W789" s="4"/>
      <c r="X789" s="4"/>
      <c r="Y789" s="4"/>
      <c r="Z789" s="4"/>
    </row>
    <row r="790" ht="9.75" customHeight="1">
      <c r="A790" s="4"/>
      <c r="B790" s="7"/>
      <c r="C790" s="7"/>
      <c r="D790" s="4"/>
      <c r="E790" s="4"/>
      <c r="F790" s="7"/>
      <c r="G790" s="7"/>
      <c r="H790" s="4"/>
      <c r="I790" s="4"/>
      <c r="J790" s="7"/>
      <c r="K790" s="4"/>
      <c r="L790" s="4"/>
      <c r="M790" s="4"/>
      <c r="N790" s="4"/>
      <c r="O790" s="4"/>
      <c r="P790" s="4"/>
      <c r="Q790" s="4"/>
      <c r="R790" s="4"/>
      <c r="S790" s="4"/>
      <c r="T790" s="4"/>
      <c r="U790" s="4"/>
      <c r="V790" s="4"/>
      <c r="W790" s="4"/>
      <c r="X790" s="4"/>
      <c r="Y790" s="4"/>
      <c r="Z790" s="4"/>
    </row>
    <row r="791" ht="9.75" customHeight="1">
      <c r="A791" s="4"/>
      <c r="B791" s="7"/>
      <c r="C791" s="7"/>
      <c r="D791" s="4"/>
      <c r="E791" s="4"/>
      <c r="F791" s="7"/>
      <c r="G791" s="7"/>
      <c r="H791" s="4"/>
      <c r="I791" s="4"/>
      <c r="J791" s="7"/>
      <c r="K791" s="4"/>
      <c r="L791" s="4"/>
      <c r="M791" s="4"/>
      <c r="N791" s="4"/>
      <c r="O791" s="4"/>
      <c r="P791" s="4"/>
      <c r="Q791" s="4"/>
      <c r="R791" s="4"/>
      <c r="S791" s="4"/>
      <c r="T791" s="4"/>
      <c r="U791" s="4"/>
      <c r="V791" s="4"/>
      <c r="W791" s="4"/>
      <c r="X791" s="4"/>
      <c r="Y791" s="4"/>
      <c r="Z791" s="4"/>
    </row>
    <row r="792" ht="9.75" customHeight="1">
      <c r="A792" s="4"/>
      <c r="B792" s="7"/>
      <c r="C792" s="7"/>
      <c r="D792" s="4"/>
      <c r="E792" s="4"/>
      <c r="F792" s="7"/>
      <c r="G792" s="7"/>
      <c r="H792" s="4"/>
      <c r="I792" s="4"/>
      <c r="J792" s="7"/>
      <c r="K792" s="4"/>
      <c r="L792" s="4"/>
      <c r="M792" s="4"/>
      <c r="N792" s="4"/>
      <c r="O792" s="4"/>
      <c r="P792" s="4"/>
      <c r="Q792" s="4"/>
      <c r="R792" s="4"/>
      <c r="S792" s="4"/>
      <c r="T792" s="4"/>
      <c r="U792" s="4"/>
      <c r="V792" s="4"/>
      <c r="W792" s="4"/>
      <c r="X792" s="4"/>
      <c r="Y792" s="4"/>
      <c r="Z792" s="4"/>
    </row>
    <row r="793" ht="9.75" customHeight="1">
      <c r="A793" s="4"/>
      <c r="B793" s="7"/>
      <c r="C793" s="7"/>
      <c r="D793" s="4"/>
      <c r="E793" s="4"/>
      <c r="F793" s="7"/>
      <c r="G793" s="7"/>
      <c r="H793" s="4"/>
      <c r="I793" s="4"/>
      <c r="J793" s="7"/>
      <c r="K793" s="4"/>
      <c r="L793" s="4"/>
      <c r="M793" s="4"/>
      <c r="N793" s="4"/>
      <c r="O793" s="4"/>
      <c r="P793" s="4"/>
      <c r="Q793" s="4"/>
      <c r="R793" s="4"/>
      <c r="S793" s="4"/>
      <c r="T793" s="4"/>
      <c r="U793" s="4"/>
      <c r="V793" s="4"/>
      <c r="W793" s="4"/>
      <c r="X793" s="4"/>
      <c r="Y793" s="4"/>
      <c r="Z793" s="4"/>
    </row>
    <row r="794" ht="9.75" customHeight="1">
      <c r="A794" s="4"/>
      <c r="B794" s="7"/>
      <c r="C794" s="7"/>
      <c r="D794" s="4"/>
      <c r="E794" s="4"/>
      <c r="F794" s="7"/>
      <c r="G794" s="7"/>
      <c r="H794" s="4"/>
      <c r="I794" s="4"/>
      <c r="J794" s="7"/>
      <c r="K794" s="4"/>
      <c r="L794" s="4"/>
      <c r="M794" s="4"/>
      <c r="N794" s="4"/>
      <c r="O794" s="4"/>
      <c r="P794" s="4"/>
      <c r="Q794" s="4"/>
      <c r="R794" s="4"/>
      <c r="S794" s="4"/>
      <c r="T794" s="4"/>
      <c r="U794" s="4"/>
      <c r="V794" s="4"/>
      <c r="W794" s="4"/>
      <c r="X794" s="4"/>
      <c r="Y794" s="4"/>
      <c r="Z794" s="4"/>
    </row>
    <row r="795" ht="9.75" customHeight="1">
      <c r="A795" s="4"/>
      <c r="B795" s="7"/>
      <c r="C795" s="7"/>
      <c r="D795" s="4"/>
      <c r="E795" s="4"/>
      <c r="F795" s="7"/>
      <c r="G795" s="7"/>
      <c r="H795" s="4"/>
      <c r="I795" s="4"/>
      <c r="J795" s="7"/>
      <c r="K795" s="4"/>
      <c r="L795" s="4"/>
      <c r="M795" s="4"/>
      <c r="N795" s="4"/>
      <c r="O795" s="4"/>
      <c r="P795" s="4"/>
      <c r="Q795" s="4"/>
      <c r="R795" s="4"/>
      <c r="S795" s="4"/>
      <c r="T795" s="4"/>
      <c r="U795" s="4"/>
      <c r="V795" s="4"/>
      <c r="W795" s="4"/>
      <c r="X795" s="4"/>
      <c r="Y795" s="4"/>
      <c r="Z795" s="4"/>
    </row>
    <row r="796" ht="9.75" customHeight="1">
      <c r="A796" s="4"/>
      <c r="B796" s="7"/>
      <c r="C796" s="7"/>
      <c r="D796" s="4"/>
      <c r="E796" s="4"/>
      <c r="F796" s="7"/>
      <c r="G796" s="7"/>
      <c r="H796" s="4"/>
      <c r="I796" s="4"/>
      <c r="J796" s="7"/>
      <c r="K796" s="4"/>
      <c r="L796" s="4"/>
      <c r="M796" s="4"/>
      <c r="N796" s="4"/>
      <c r="O796" s="4"/>
      <c r="P796" s="4"/>
      <c r="Q796" s="4"/>
      <c r="R796" s="4"/>
      <c r="S796" s="4"/>
      <c r="T796" s="4"/>
      <c r="U796" s="4"/>
      <c r="V796" s="4"/>
      <c r="W796" s="4"/>
      <c r="X796" s="4"/>
      <c r="Y796" s="4"/>
      <c r="Z796" s="4"/>
    </row>
    <row r="797" ht="9.75" customHeight="1">
      <c r="A797" s="4"/>
      <c r="B797" s="7"/>
      <c r="C797" s="7"/>
      <c r="D797" s="4"/>
      <c r="E797" s="4"/>
      <c r="F797" s="7"/>
      <c r="G797" s="7"/>
      <c r="H797" s="4"/>
      <c r="I797" s="4"/>
      <c r="J797" s="7"/>
      <c r="K797" s="4"/>
      <c r="L797" s="4"/>
      <c r="M797" s="4"/>
      <c r="N797" s="4"/>
      <c r="O797" s="4"/>
      <c r="P797" s="4"/>
      <c r="Q797" s="4"/>
      <c r="R797" s="4"/>
      <c r="S797" s="4"/>
      <c r="T797" s="4"/>
      <c r="U797" s="4"/>
      <c r="V797" s="4"/>
      <c r="W797" s="4"/>
      <c r="X797" s="4"/>
      <c r="Y797" s="4"/>
      <c r="Z797" s="4"/>
    </row>
    <row r="798" ht="9.75" customHeight="1">
      <c r="A798" s="4"/>
      <c r="B798" s="7"/>
      <c r="C798" s="7"/>
      <c r="D798" s="4"/>
      <c r="E798" s="4"/>
      <c r="F798" s="7"/>
      <c r="G798" s="7"/>
      <c r="H798" s="4"/>
      <c r="I798" s="4"/>
      <c r="J798" s="7"/>
      <c r="K798" s="4"/>
      <c r="L798" s="4"/>
      <c r="M798" s="4"/>
      <c r="N798" s="4"/>
      <c r="O798" s="4"/>
      <c r="P798" s="4"/>
      <c r="Q798" s="4"/>
      <c r="R798" s="4"/>
      <c r="S798" s="4"/>
      <c r="T798" s="4"/>
      <c r="U798" s="4"/>
      <c r="V798" s="4"/>
      <c r="W798" s="4"/>
      <c r="X798" s="4"/>
      <c r="Y798" s="4"/>
      <c r="Z798" s="4"/>
    </row>
    <row r="799" ht="9.75" customHeight="1">
      <c r="A799" s="4"/>
      <c r="B799" s="7"/>
      <c r="C799" s="7"/>
      <c r="D799" s="4"/>
      <c r="E799" s="4"/>
      <c r="F799" s="7"/>
      <c r="G799" s="7"/>
      <c r="H799" s="4"/>
      <c r="I799" s="4"/>
      <c r="J799" s="7"/>
      <c r="K799" s="4"/>
      <c r="L799" s="4"/>
      <c r="M799" s="4"/>
      <c r="N799" s="4"/>
      <c r="O799" s="4"/>
      <c r="P799" s="4"/>
      <c r="Q799" s="4"/>
      <c r="R799" s="4"/>
      <c r="S799" s="4"/>
      <c r="T799" s="4"/>
      <c r="U799" s="4"/>
      <c r="V799" s="4"/>
      <c r="W799" s="4"/>
      <c r="X799" s="4"/>
      <c r="Y799" s="4"/>
      <c r="Z799" s="4"/>
    </row>
    <row r="800" ht="9.75" customHeight="1">
      <c r="A800" s="4"/>
      <c r="B800" s="7"/>
      <c r="C800" s="7"/>
      <c r="D800" s="4"/>
      <c r="E800" s="4"/>
      <c r="F800" s="7"/>
      <c r="G800" s="7"/>
      <c r="H800" s="4"/>
      <c r="I800" s="4"/>
      <c r="J800" s="7"/>
      <c r="K800" s="4"/>
      <c r="L800" s="4"/>
      <c r="M800" s="4"/>
      <c r="N800" s="4"/>
      <c r="O800" s="4"/>
      <c r="P800" s="4"/>
      <c r="Q800" s="4"/>
      <c r="R800" s="4"/>
      <c r="S800" s="4"/>
      <c r="T800" s="4"/>
      <c r="U800" s="4"/>
      <c r="V800" s="4"/>
      <c r="W800" s="4"/>
      <c r="X800" s="4"/>
      <c r="Y800" s="4"/>
      <c r="Z800" s="4"/>
    </row>
    <row r="801" ht="9.75" customHeight="1">
      <c r="A801" s="4"/>
      <c r="B801" s="7"/>
      <c r="C801" s="7"/>
      <c r="D801" s="4"/>
      <c r="E801" s="4"/>
      <c r="F801" s="7"/>
      <c r="G801" s="7"/>
      <c r="H801" s="4"/>
      <c r="I801" s="4"/>
      <c r="J801" s="7"/>
      <c r="K801" s="4"/>
      <c r="L801" s="4"/>
      <c r="M801" s="4"/>
      <c r="N801" s="4"/>
      <c r="O801" s="4"/>
      <c r="P801" s="4"/>
      <c r="Q801" s="4"/>
      <c r="R801" s="4"/>
      <c r="S801" s="4"/>
      <c r="T801" s="4"/>
      <c r="U801" s="4"/>
      <c r="V801" s="4"/>
      <c r="W801" s="4"/>
      <c r="X801" s="4"/>
      <c r="Y801" s="4"/>
      <c r="Z801" s="4"/>
    </row>
    <row r="802" ht="9.75" customHeight="1">
      <c r="A802" s="4"/>
      <c r="B802" s="7"/>
      <c r="C802" s="7"/>
      <c r="D802" s="4"/>
      <c r="E802" s="4"/>
      <c r="F802" s="7"/>
      <c r="G802" s="7"/>
      <c r="H802" s="4"/>
      <c r="I802" s="4"/>
      <c r="J802" s="7"/>
      <c r="K802" s="4"/>
      <c r="L802" s="4"/>
      <c r="M802" s="4"/>
      <c r="N802" s="4"/>
      <c r="O802" s="4"/>
      <c r="P802" s="4"/>
      <c r="Q802" s="4"/>
      <c r="R802" s="4"/>
      <c r="S802" s="4"/>
      <c r="T802" s="4"/>
      <c r="U802" s="4"/>
      <c r="V802" s="4"/>
      <c r="W802" s="4"/>
      <c r="X802" s="4"/>
      <c r="Y802" s="4"/>
      <c r="Z802" s="4"/>
    </row>
    <row r="803" ht="9.75" customHeight="1">
      <c r="A803" s="4"/>
      <c r="B803" s="7"/>
      <c r="C803" s="7"/>
      <c r="D803" s="4"/>
      <c r="E803" s="4"/>
      <c r="F803" s="7"/>
      <c r="G803" s="7"/>
      <c r="H803" s="4"/>
      <c r="I803" s="4"/>
      <c r="J803" s="7"/>
      <c r="K803" s="4"/>
      <c r="L803" s="4"/>
      <c r="M803" s="4"/>
      <c r="N803" s="4"/>
      <c r="O803" s="4"/>
      <c r="P803" s="4"/>
      <c r="Q803" s="4"/>
      <c r="R803" s="4"/>
      <c r="S803" s="4"/>
      <c r="T803" s="4"/>
      <c r="U803" s="4"/>
      <c r="V803" s="4"/>
      <c r="W803" s="4"/>
      <c r="X803" s="4"/>
      <c r="Y803" s="4"/>
      <c r="Z803" s="4"/>
    </row>
    <row r="804" ht="9.75" customHeight="1">
      <c r="A804" s="4"/>
      <c r="B804" s="7"/>
      <c r="C804" s="7"/>
      <c r="D804" s="4"/>
      <c r="E804" s="4"/>
      <c r="F804" s="7"/>
      <c r="G804" s="7"/>
      <c r="H804" s="4"/>
      <c r="I804" s="4"/>
      <c r="J804" s="7"/>
      <c r="K804" s="4"/>
      <c r="L804" s="4"/>
      <c r="M804" s="4"/>
      <c r="N804" s="4"/>
      <c r="O804" s="4"/>
      <c r="P804" s="4"/>
      <c r="Q804" s="4"/>
      <c r="R804" s="4"/>
      <c r="S804" s="4"/>
      <c r="T804" s="4"/>
      <c r="U804" s="4"/>
      <c r="V804" s="4"/>
      <c r="W804" s="4"/>
      <c r="X804" s="4"/>
      <c r="Y804" s="4"/>
      <c r="Z804" s="4"/>
    </row>
    <row r="805" ht="9.75" customHeight="1">
      <c r="A805" s="4"/>
      <c r="B805" s="7"/>
      <c r="C805" s="7"/>
      <c r="D805" s="4"/>
      <c r="E805" s="4"/>
      <c r="F805" s="7"/>
      <c r="G805" s="7"/>
      <c r="H805" s="4"/>
      <c r="I805" s="4"/>
      <c r="J805" s="7"/>
      <c r="K805" s="4"/>
      <c r="L805" s="4"/>
      <c r="M805" s="4"/>
      <c r="N805" s="4"/>
      <c r="O805" s="4"/>
      <c r="P805" s="4"/>
      <c r="Q805" s="4"/>
      <c r="R805" s="4"/>
      <c r="S805" s="4"/>
      <c r="T805" s="4"/>
      <c r="U805" s="4"/>
      <c r="V805" s="4"/>
      <c r="W805" s="4"/>
      <c r="X805" s="4"/>
      <c r="Y805" s="4"/>
      <c r="Z805" s="4"/>
    </row>
    <row r="806" ht="9.75" customHeight="1">
      <c r="A806" s="4"/>
      <c r="B806" s="7"/>
      <c r="C806" s="7"/>
      <c r="D806" s="4"/>
      <c r="E806" s="4"/>
      <c r="F806" s="7"/>
      <c r="G806" s="7"/>
      <c r="H806" s="4"/>
      <c r="I806" s="4"/>
      <c r="J806" s="7"/>
      <c r="K806" s="4"/>
      <c r="L806" s="4"/>
      <c r="M806" s="4"/>
      <c r="N806" s="4"/>
      <c r="O806" s="4"/>
      <c r="P806" s="4"/>
      <c r="Q806" s="4"/>
      <c r="R806" s="4"/>
      <c r="S806" s="4"/>
      <c r="T806" s="4"/>
      <c r="U806" s="4"/>
      <c r="V806" s="4"/>
      <c r="W806" s="4"/>
      <c r="X806" s="4"/>
      <c r="Y806" s="4"/>
      <c r="Z806" s="4"/>
    </row>
    <row r="807" ht="9.75" customHeight="1">
      <c r="A807" s="4"/>
      <c r="B807" s="7"/>
      <c r="C807" s="7"/>
      <c r="D807" s="4"/>
      <c r="E807" s="4"/>
      <c r="F807" s="7"/>
      <c r="G807" s="7"/>
      <c r="H807" s="4"/>
      <c r="I807" s="4"/>
      <c r="J807" s="7"/>
      <c r="K807" s="4"/>
      <c r="L807" s="4"/>
      <c r="M807" s="4"/>
      <c r="N807" s="4"/>
      <c r="O807" s="4"/>
      <c r="P807" s="4"/>
      <c r="Q807" s="4"/>
      <c r="R807" s="4"/>
      <c r="S807" s="4"/>
      <c r="T807" s="4"/>
      <c r="U807" s="4"/>
      <c r="V807" s="4"/>
      <c r="W807" s="4"/>
      <c r="X807" s="4"/>
      <c r="Y807" s="4"/>
      <c r="Z807" s="4"/>
    </row>
    <row r="808" ht="9.75" customHeight="1">
      <c r="A808" s="4"/>
      <c r="B808" s="7"/>
      <c r="C808" s="7"/>
      <c r="D808" s="4"/>
      <c r="E808" s="4"/>
      <c r="F808" s="7"/>
      <c r="G808" s="7"/>
      <c r="H808" s="4"/>
      <c r="I808" s="4"/>
      <c r="J808" s="7"/>
      <c r="K808" s="4"/>
      <c r="L808" s="4"/>
      <c r="M808" s="4"/>
      <c r="N808" s="4"/>
      <c r="O808" s="4"/>
      <c r="P808" s="4"/>
      <c r="Q808" s="4"/>
      <c r="R808" s="4"/>
      <c r="S808" s="4"/>
      <c r="T808" s="4"/>
      <c r="U808" s="4"/>
      <c r="V808" s="4"/>
      <c r="W808" s="4"/>
      <c r="X808" s="4"/>
      <c r="Y808" s="4"/>
      <c r="Z808" s="4"/>
    </row>
    <row r="809" ht="9.75" customHeight="1">
      <c r="A809" s="4"/>
      <c r="B809" s="7"/>
      <c r="C809" s="7"/>
      <c r="D809" s="4"/>
      <c r="E809" s="4"/>
      <c r="F809" s="7"/>
      <c r="G809" s="7"/>
      <c r="H809" s="4"/>
      <c r="I809" s="4"/>
      <c r="J809" s="7"/>
      <c r="K809" s="4"/>
      <c r="L809" s="4"/>
      <c r="M809" s="4"/>
      <c r="N809" s="4"/>
      <c r="O809" s="4"/>
      <c r="P809" s="4"/>
      <c r="Q809" s="4"/>
      <c r="R809" s="4"/>
      <c r="S809" s="4"/>
      <c r="T809" s="4"/>
      <c r="U809" s="4"/>
      <c r="V809" s="4"/>
      <c r="W809" s="4"/>
      <c r="X809" s="4"/>
      <c r="Y809" s="4"/>
      <c r="Z809" s="4"/>
    </row>
    <row r="810" ht="9.75" customHeight="1">
      <c r="A810" s="4"/>
      <c r="B810" s="7"/>
      <c r="C810" s="7"/>
      <c r="D810" s="4"/>
      <c r="E810" s="4"/>
      <c r="F810" s="7"/>
      <c r="G810" s="7"/>
      <c r="H810" s="4"/>
      <c r="I810" s="4"/>
      <c r="J810" s="7"/>
      <c r="K810" s="4"/>
      <c r="L810" s="4"/>
      <c r="M810" s="4"/>
      <c r="N810" s="4"/>
      <c r="O810" s="4"/>
      <c r="P810" s="4"/>
      <c r="Q810" s="4"/>
      <c r="R810" s="4"/>
      <c r="S810" s="4"/>
      <c r="T810" s="4"/>
      <c r="U810" s="4"/>
      <c r="V810" s="4"/>
      <c r="W810" s="4"/>
      <c r="X810" s="4"/>
      <c r="Y810" s="4"/>
      <c r="Z810" s="4"/>
    </row>
    <row r="811" ht="9.75" customHeight="1">
      <c r="A811" s="4"/>
      <c r="B811" s="7"/>
      <c r="C811" s="7"/>
      <c r="D811" s="4"/>
      <c r="E811" s="4"/>
      <c r="F811" s="7"/>
      <c r="G811" s="7"/>
      <c r="H811" s="4"/>
      <c r="I811" s="4"/>
      <c r="J811" s="7"/>
      <c r="K811" s="4"/>
      <c r="L811" s="4"/>
      <c r="M811" s="4"/>
      <c r="N811" s="4"/>
      <c r="O811" s="4"/>
      <c r="P811" s="4"/>
      <c r="Q811" s="4"/>
      <c r="R811" s="4"/>
      <c r="S811" s="4"/>
      <c r="T811" s="4"/>
      <c r="U811" s="4"/>
      <c r="V811" s="4"/>
      <c r="W811" s="4"/>
      <c r="X811" s="4"/>
      <c r="Y811" s="4"/>
      <c r="Z811" s="4"/>
    </row>
    <row r="812" ht="9.75" customHeight="1">
      <c r="A812" s="4"/>
      <c r="B812" s="7"/>
      <c r="C812" s="7"/>
      <c r="D812" s="4"/>
      <c r="E812" s="4"/>
      <c r="F812" s="7"/>
      <c r="G812" s="7"/>
      <c r="H812" s="4"/>
      <c r="I812" s="4"/>
      <c r="J812" s="7"/>
      <c r="K812" s="4"/>
      <c r="L812" s="4"/>
      <c r="M812" s="4"/>
      <c r="N812" s="4"/>
      <c r="O812" s="4"/>
      <c r="P812" s="4"/>
      <c r="Q812" s="4"/>
      <c r="R812" s="4"/>
      <c r="S812" s="4"/>
      <c r="T812" s="4"/>
      <c r="U812" s="4"/>
      <c r="V812" s="4"/>
      <c r="W812" s="4"/>
      <c r="X812" s="4"/>
      <c r="Y812" s="4"/>
      <c r="Z812" s="4"/>
    </row>
    <row r="813" ht="9.75" customHeight="1">
      <c r="A813" s="4"/>
      <c r="B813" s="7"/>
      <c r="C813" s="7"/>
      <c r="D813" s="4"/>
      <c r="E813" s="4"/>
      <c r="F813" s="7"/>
      <c r="G813" s="7"/>
      <c r="H813" s="4"/>
      <c r="I813" s="4"/>
      <c r="J813" s="7"/>
      <c r="K813" s="4"/>
      <c r="L813" s="4"/>
      <c r="M813" s="4"/>
      <c r="N813" s="4"/>
      <c r="O813" s="4"/>
      <c r="P813" s="4"/>
      <c r="Q813" s="4"/>
      <c r="R813" s="4"/>
      <c r="S813" s="4"/>
      <c r="T813" s="4"/>
      <c r="U813" s="4"/>
      <c r="V813" s="4"/>
      <c r="W813" s="4"/>
      <c r="X813" s="4"/>
      <c r="Y813" s="4"/>
      <c r="Z813" s="4"/>
    </row>
    <row r="814" ht="9.75" customHeight="1">
      <c r="A814" s="4"/>
      <c r="B814" s="7"/>
      <c r="C814" s="7"/>
      <c r="D814" s="4"/>
      <c r="E814" s="4"/>
      <c r="F814" s="7"/>
      <c r="G814" s="7"/>
      <c r="H814" s="4"/>
      <c r="I814" s="4"/>
      <c r="J814" s="7"/>
      <c r="K814" s="4"/>
      <c r="L814" s="4"/>
      <c r="M814" s="4"/>
      <c r="N814" s="4"/>
      <c r="O814" s="4"/>
      <c r="P814" s="4"/>
      <c r="Q814" s="4"/>
      <c r="R814" s="4"/>
      <c r="S814" s="4"/>
      <c r="T814" s="4"/>
      <c r="U814" s="4"/>
      <c r="V814" s="4"/>
      <c r="W814" s="4"/>
      <c r="X814" s="4"/>
      <c r="Y814" s="4"/>
      <c r="Z814" s="4"/>
    </row>
    <row r="815" ht="9.75" customHeight="1">
      <c r="A815" s="4"/>
      <c r="B815" s="7"/>
      <c r="C815" s="7"/>
      <c r="D815" s="4"/>
      <c r="E815" s="4"/>
      <c r="F815" s="7"/>
      <c r="G815" s="7"/>
      <c r="H815" s="4"/>
      <c r="I815" s="4"/>
      <c r="J815" s="7"/>
      <c r="K815" s="4"/>
      <c r="L815" s="4"/>
      <c r="M815" s="4"/>
      <c r="N815" s="4"/>
      <c r="O815" s="4"/>
      <c r="P815" s="4"/>
      <c r="Q815" s="4"/>
      <c r="R815" s="4"/>
      <c r="S815" s="4"/>
      <c r="T815" s="4"/>
      <c r="U815" s="4"/>
      <c r="V815" s="4"/>
      <c r="W815" s="4"/>
      <c r="X815" s="4"/>
      <c r="Y815" s="4"/>
      <c r="Z815" s="4"/>
    </row>
    <row r="816" ht="9.75" customHeight="1">
      <c r="A816" s="4"/>
      <c r="B816" s="7"/>
      <c r="C816" s="7"/>
      <c r="D816" s="4"/>
      <c r="E816" s="4"/>
      <c r="F816" s="7"/>
      <c r="G816" s="7"/>
      <c r="H816" s="4"/>
      <c r="I816" s="4"/>
      <c r="J816" s="7"/>
      <c r="K816" s="4"/>
      <c r="L816" s="4"/>
      <c r="M816" s="4"/>
      <c r="N816" s="4"/>
      <c r="O816" s="4"/>
      <c r="P816" s="4"/>
      <c r="Q816" s="4"/>
      <c r="R816" s="4"/>
      <c r="S816" s="4"/>
      <c r="T816" s="4"/>
      <c r="U816" s="4"/>
      <c r="V816" s="4"/>
      <c r="W816" s="4"/>
      <c r="X816" s="4"/>
      <c r="Y816" s="4"/>
      <c r="Z816" s="4"/>
    </row>
    <row r="817" ht="9.75" customHeight="1">
      <c r="A817" s="4"/>
      <c r="B817" s="7"/>
      <c r="C817" s="7"/>
      <c r="D817" s="4"/>
      <c r="E817" s="4"/>
      <c r="F817" s="7"/>
      <c r="G817" s="7"/>
      <c r="H817" s="4"/>
      <c r="I817" s="4"/>
      <c r="J817" s="7"/>
      <c r="K817" s="4"/>
      <c r="L817" s="4"/>
      <c r="M817" s="4"/>
      <c r="N817" s="4"/>
      <c r="O817" s="4"/>
      <c r="P817" s="4"/>
      <c r="Q817" s="4"/>
      <c r="R817" s="4"/>
      <c r="S817" s="4"/>
      <c r="T817" s="4"/>
      <c r="U817" s="4"/>
      <c r="V817" s="4"/>
      <c r="W817" s="4"/>
      <c r="X817" s="4"/>
      <c r="Y817" s="4"/>
      <c r="Z817" s="4"/>
    </row>
    <row r="818" ht="9.75" customHeight="1">
      <c r="A818" s="4"/>
      <c r="B818" s="7"/>
      <c r="C818" s="7"/>
      <c r="D818" s="4"/>
      <c r="E818" s="4"/>
      <c r="F818" s="7"/>
      <c r="G818" s="7"/>
      <c r="H818" s="4"/>
      <c r="I818" s="4"/>
      <c r="J818" s="7"/>
      <c r="K818" s="4"/>
      <c r="L818" s="4"/>
      <c r="M818" s="4"/>
      <c r="N818" s="4"/>
      <c r="O818" s="4"/>
      <c r="P818" s="4"/>
      <c r="Q818" s="4"/>
      <c r="R818" s="4"/>
      <c r="S818" s="4"/>
      <c r="T818" s="4"/>
      <c r="U818" s="4"/>
      <c r="V818" s="4"/>
      <c r="W818" s="4"/>
      <c r="X818" s="4"/>
      <c r="Y818" s="4"/>
      <c r="Z818" s="4"/>
    </row>
    <row r="819" ht="9.75" customHeight="1">
      <c r="A819" s="4"/>
      <c r="B819" s="7"/>
      <c r="C819" s="7"/>
      <c r="D819" s="4"/>
      <c r="E819" s="4"/>
      <c r="F819" s="7"/>
      <c r="G819" s="7"/>
      <c r="H819" s="4"/>
      <c r="I819" s="4"/>
      <c r="J819" s="7"/>
      <c r="K819" s="4"/>
      <c r="L819" s="4"/>
      <c r="M819" s="4"/>
      <c r="N819" s="4"/>
      <c r="O819" s="4"/>
      <c r="P819" s="4"/>
      <c r="Q819" s="4"/>
      <c r="R819" s="4"/>
      <c r="S819" s="4"/>
      <c r="T819" s="4"/>
      <c r="U819" s="4"/>
      <c r="V819" s="4"/>
      <c r="W819" s="4"/>
      <c r="X819" s="4"/>
      <c r="Y819" s="4"/>
      <c r="Z819" s="4"/>
    </row>
    <row r="820" ht="9.75" customHeight="1">
      <c r="A820" s="4"/>
      <c r="B820" s="7"/>
      <c r="C820" s="7"/>
      <c r="D820" s="4"/>
      <c r="E820" s="4"/>
      <c r="F820" s="7"/>
      <c r="G820" s="7"/>
      <c r="H820" s="4"/>
      <c r="I820" s="4"/>
      <c r="J820" s="7"/>
      <c r="K820" s="4"/>
      <c r="L820" s="4"/>
      <c r="M820" s="4"/>
      <c r="N820" s="4"/>
      <c r="O820" s="4"/>
      <c r="P820" s="4"/>
      <c r="Q820" s="4"/>
      <c r="R820" s="4"/>
      <c r="S820" s="4"/>
      <c r="T820" s="4"/>
      <c r="U820" s="4"/>
      <c r="V820" s="4"/>
      <c r="W820" s="4"/>
      <c r="X820" s="4"/>
      <c r="Y820" s="4"/>
      <c r="Z820" s="4"/>
    </row>
    <row r="821" ht="9.75" customHeight="1">
      <c r="A821" s="4"/>
      <c r="B821" s="7"/>
      <c r="C821" s="7"/>
      <c r="D821" s="4"/>
      <c r="E821" s="4"/>
      <c r="F821" s="7"/>
      <c r="G821" s="7"/>
      <c r="H821" s="4"/>
      <c r="I821" s="4"/>
      <c r="J821" s="7"/>
      <c r="K821" s="4"/>
      <c r="L821" s="4"/>
      <c r="M821" s="4"/>
      <c r="N821" s="4"/>
      <c r="O821" s="4"/>
      <c r="P821" s="4"/>
      <c r="Q821" s="4"/>
      <c r="R821" s="4"/>
      <c r="S821" s="4"/>
      <c r="T821" s="4"/>
      <c r="U821" s="4"/>
      <c r="V821" s="4"/>
      <c r="W821" s="4"/>
      <c r="X821" s="4"/>
      <c r="Y821" s="4"/>
      <c r="Z821" s="4"/>
    </row>
    <row r="822" ht="9.75" customHeight="1">
      <c r="A822" s="4"/>
      <c r="B822" s="7"/>
      <c r="C822" s="7"/>
      <c r="D822" s="4"/>
      <c r="E822" s="4"/>
      <c r="F822" s="7"/>
      <c r="G822" s="7"/>
      <c r="H822" s="4"/>
      <c r="I822" s="4"/>
      <c r="J822" s="7"/>
      <c r="K822" s="4"/>
      <c r="L822" s="4"/>
      <c r="M822" s="4"/>
      <c r="N822" s="4"/>
      <c r="O822" s="4"/>
      <c r="P822" s="4"/>
      <c r="Q822" s="4"/>
      <c r="R822" s="4"/>
      <c r="S822" s="4"/>
      <c r="T822" s="4"/>
      <c r="U822" s="4"/>
      <c r="V822" s="4"/>
      <c r="W822" s="4"/>
      <c r="X822" s="4"/>
      <c r="Y822" s="4"/>
      <c r="Z822" s="4"/>
    </row>
    <row r="823" ht="9.75" customHeight="1">
      <c r="A823" s="4"/>
      <c r="B823" s="7"/>
      <c r="C823" s="7"/>
      <c r="D823" s="4"/>
      <c r="E823" s="4"/>
      <c r="F823" s="7"/>
      <c r="G823" s="7"/>
      <c r="H823" s="4"/>
      <c r="I823" s="4"/>
      <c r="J823" s="7"/>
      <c r="K823" s="4"/>
      <c r="L823" s="4"/>
      <c r="M823" s="4"/>
      <c r="N823" s="4"/>
      <c r="O823" s="4"/>
      <c r="P823" s="4"/>
      <c r="Q823" s="4"/>
      <c r="R823" s="4"/>
      <c r="S823" s="4"/>
      <c r="T823" s="4"/>
      <c r="U823" s="4"/>
      <c r="V823" s="4"/>
      <c r="W823" s="4"/>
      <c r="X823" s="4"/>
      <c r="Y823" s="4"/>
      <c r="Z823" s="4"/>
    </row>
    <row r="824" ht="9.75" customHeight="1">
      <c r="A824" s="4"/>
      <c r="B824" s="7"/>
      <c r="C824" s="7"/>
      <c r="D824" s="4"/>
      <c r="E824" s="4"/>
      <c r="F824" s="7"/>
      <c r="G824" s="7"/>
      <c r="H824" s="4"/>
      <c r="I824" s="4"/>
      <c r="J824" s="7"/>
      <c r="K824" s="4"/>
      <c r="L824" s="4"/>
      <c r="M824" s="4"/>
      <c r="N824" s="4"/>
      <c r="O824" s="4"/>
      <c r="P824" s="4"/>
      <c r="Q824" s="4"/>
      <c r="R824" s="4"/>
      <c r="S824" s="4"/>
      <c r="T824" s="4"/>
      <c r="U824" s="4"/>
      <c r="V824" s="4"/>
      <c r="W824" s="4"/>
      <c r="X824" s="4"/>
      <c r="Y824" s="4"/>
      <c r="Z824" s="4"/>
    </row>
    <row r="825" ht="9.75" customHeight="1">
      <c r="A825" s="4"/>
      <c r="B825" s="7"/>
      <c r="C825" s="7"/>
      <c r="D825" s="4"/>
      <c r="E825" s="4"/>
      <c r="F825" s="7"/>
      <c r="G825" s="7"/>
      <c r="H825" s="4"/>
      <c r="I825" s="4"/>
      <c r="J825" s="7"/>
      <c r="K825" s="4"/>
      <c r="L825" s="4"/>
      <c r="M825" s="4"/>
      <c r="N825" s="4"/>
      <c r="O825" s="4"/>
      <c r="P825" s="4"/>
      <c r="Q825" s="4"/>
      <c r="R825" s="4"/>
      <c r="S825" s="4"/>
      <c r="T825" s="4"/>
      <c r="U825" s="4"/>
      <c r="V825" s="4"/>
      <c r="W825" s="4"/>
      <c r="X825" s="4"/>
      <c r="Y825" s="4"/>
      <c r="Z825" s="4"/>
    </row>
    <row r="826" ht="9.75" customHeight="1">
      <c r="A826" s="4"/>
      <c r="B826" s="7"/>
      <c r="C826" s="7"/>
      <c r="D826" s="4"/>
      <c r="E826" s="4"/>
      <c r="F826" s="7"/>
      <c r="G826" s="7"/>
      <c r="H826" s="4"/>
      <c r="I826" s="4"/>
      <c r="J826" s="7"/>
      <c r="K826" s="4"/>
      <c r="L826" s="4"/>
      <c r="M826" s="4"/>
      <c r="N826" s="4"/>
      <c r="O826" s="4"/>
      <c r="P826" s="4"/>
      <c r="Q826" s="4"/>
      <c r="R826" s="4"/>
      <c r="S826" s="4"/>
      <c r="T826" s="4"/>
      <c r="U826" s="4"/>
      <c r="V826" s="4"/>
      <c r="W826" s="4"/>
      <c r="X826" s="4"/>
      <c r="Y826" s="4"/>
      <c r="Z826" s="4"/>
    </row>
    <row r="827" ht="9.75" customHeight="1">
      <c r="A827" s="4"/>
      <c r="B827" s="7"/>
      <c r="C827" s="7"/>
      <c r="D827" s="4"/>
      <c r="E827" s="4"/>
      <c r="F827" s="7"/>
      <c r="G827" s="7"/>
      <c r="H827" s="4"/>
      <c r="I827" s="4"/>
      <c r="J827" s="7"/>
      <c r="K827" s="4"/>
      <c r="L827" s="4"/>
      <c r="M827" s="4"/>
      <c r="N827" s="4"/>
      <c r="O827" s="4"/>
      <c r="P827" s="4"/>
      <c r="Q827" s="4"/>
      <c r="R827" s="4"/>
      <c r="S827" s="4"/>
      <c r="T827" s="4"/>
      <c r="U827" s="4"/>
      <c r="V827" s="4"/>
      <c r="W827" s="4"/>
      <c r="X827" s="4"/>
      <c r="Y827" s="4"/>
      <c r="Z827" s="4"/>
    </row>
    <row r="828" ht="9.75" customHeight="1">
      <c r="A828" s="4"/>
      <c r="B828" s="7"/>
      <c r="C828" s="7"/>
      <c r="D828" s="4"/>
      <c r="E828" s="4"/>
      <c r="F828" s="7"/>
      <c r="G828" s="7"/>
      <c r="H828" s="4"/>
      <c r="I828" s="4"/>
      <c r="J828" s="7"/>
      <c r="K828" s="4"/>
      <c r="L828" s="4"/>
      <c r="M828" s="4"/>
      <c r="N828" s="4"/>
      <c r="O828" s="4"/>
      <c r="P828" s="4"/>
      <c r="Q828" s="4"/>
      <c r="R828" s="4"/>
      <c r="S828" s="4"/>
      <c r="T828" s="4"/>
      <c r="U828" s="4"/>
      <c r="V828" s="4"/>
      <c r="W828" s="4"/>
      <c r="X828" s="4"/>
      <c r="Y828" s="4"/>
      <c r="Z828" s="4"/>
    </row>
    <row r="829" ht="9.75" customHeight="1">
      <c r="A829" s="4"/>
      <c r="B829" s="7"/>
      <c r="C829" s="7"/>
      <c r="D829" s="4"/>
      <c r="E829" s="4"/>
      <c r="F829" s="7"/>
      <c r="G829" s="7"/>
      <c r="H829" s="4"/>
      <c r="I829" s="4"/>
      <c r="J829" s="7"/>
      <c r="K829" s="4"/>
      <c r="L829" s="4"/>
      <c r="M829" s="4"/>
      <c r="N829" s="4"/>
      <c r="O829" s="4"/>
      <c r="P829" s="4"/>
      <c r="Q829" s="4"/>
      <c r="R829" s="4"/>
      <c r="S829" s="4"/>
      <c r="T829" s="4"/>
      <c r="U829" s="4"/>
      <c r="V829" s="4"/>
      <c r="W829" s="4"/>
      <c r="X829" s="4"/>
      <c r="Y829" s="4"/>
      <c r="Z829" s="4"/>
    </row>
    <row r="830" ht="9.75" customHeight="1">
      <c r="A830" s="4"/>
      <c r="B830" s="7"/>
      <c r="C830" s="7"/>
      <c r="D830" s="4"/>
      <c r="E830" s="4"/>
      <c r="F830" s="7"/>
      <c r="G830" s="7"/>
      <c r="H830" s="4"/>
      <c r="I830" s="4"/>
      <c r="J830" s="7"/>
      <c r="K830" s="4"/>
      <c r="L830" s="4"/>
      <c r="M830" s="4"/>
      <c r="N830" s="4"/>
      <c r="O830" s="4"/>
      <c r="P830" s="4"/>
      <c r="Q830" s="4"/>
      <c r="R830" s="4"/>
      <c r="S830" s="4"/>
      <c r="T830" s="4"/>
      <c r="U830" s="4"/>
      <c r="V830" s="4"/>
      <c r="W830" s="4"/>
      <c r="X830" s="4"/>
      <c r="Y830" s="4"/>
      <c r="Z830" s="4"/>
    </row>
    <row r="831" ht="9.75" customHeight="1">
      <c r="A831" s="4"/>
      <c r="B831" s="7"/>
      <c r="C831" s="7"/>
      <c r="D831" s="4"/>
      <c r="E831" s="4"/>
      <c r="F831" s="7"/>
      <c r="G831" s="7"/>
      <c r="H831" s="4"/>
      <c r="I831" s="4"/>
      <c r="J831" s="7"/>
      <c r="K831" s="4"/>
      <c r="L831" s="4"/>
      <c r="M831" s="4"/>
      <c r="N831" s="4"/>
      <c r="O831" s="4"/>
      <c r="P831" s="4"/>
      <c r="Q831" s="4"/>
      <c r="R831" s="4"/>
      <c r="S831" s="4"/>
      <c r="T831" s="4"/>
      <c r="U831" s="4"/>
      <c r="V831" s="4"/>
      <c r="W831" s="4"/>
      <c r="X831" s="4"/>
      <c r="Y831" s="4"/>
      <c r="Z831" s="4"/>
    </row>
    <row r="832" ht="9.75" customHeight="1">
      <c r="A832" s="4"/>
      <c r="B832" s="7"/>
      <c r="C832" s="7"/>
      <c r="D832" s="4"/>
      <c r="E832" s="4"/>
      <c r="F832" s="7"/>
      <c r="G832" s="7"/>
      <c r="H832" s="4"/>
      <c r="I832" s="4"/>
      <c r="J832" s="7"/>
      <c r="K832" s="4"/>
      <c r="L832" s="4"/>
      <c r="M832" s="4"/>
      <c r="N832" s="4"/>
      <c r="O832" s="4"/>
      <c r="P832" s="4"/>
      <c r="Q832" s="4"/>
      <c r="R832" s="4"/>
      <c r="S832" s="4"/>
      <c r="T832" s="4"/>
      <c r="U832" s="4"/>
      <c r="V832" s="4"/>
      <c r="W832" s="4"/>
      <c r="X832" s="4"/>
      <c r="Y832" s="4"/>
      <c r="Z832" s="4"/>
    </row>
    <row r="833" ht="9.75" customHeight="1">
      <c r="A833" s="4"/>
      <c r="B833" s="7"/>
      <c r="C833" s="7"/>
      <c r="D833" s="4"/>
      <c r="E833" s="4"/>
      <c r="F833" s="7"/>
      <c r="G833" s="7"/>
      <c r="H833" s="4"/>
      <c r="I833" s="4"/>
      <c r="J833" s="7"/>
      <c r="K833" s="4"/>
      <c r="L833" s="4"/>
      <c r="M833" s="4"/>
      <c r="N833" s="4"/>
      <c r="O833" s="4"/>
      <c r="P833" s="4"/>
      <c r="Q833" s="4"/>
      <c r="R833" s="4"/>
      <c r="S833" s="4"/>
      <c r="T833" s="4"/>
      <c r="U833" s="4"/>
      <c r="V833" s="4"/>
      <c r="W833" s="4"/>
      <c r="X833" s="4"/>
      <c r="Y833" s="4"/>
      <c r="Z833" s="4"/>
    </row>
    <row r="834" ht="9.75" customHeight="1">
      <c r="A834" s="4"/>
      <c r="B834" s="7"/>
      <c r="C834" s="7"/>
      <c r="D834" s="4"/>
      <c r="E834" s="4"/>
      <c r="F834" s="7"/>
      <c r="G834" s="7"/>
      <c r="H834" s="4"/>
      <c r="I834" s="4"/>
      <c r="J834" s="7"/>
      <c r="K834" s="4"/>
      <c r="L834" s="4"/>
      <c r="M834" s="4"/>
      <c r="N834" s="4"/>
      <c r="O834" s="4"/>
      <c r="P834" s="4"/>
      <c r="Q834" s="4"/>
      <c r="R834" s="4"/>
      <c r="S834" s="4"/>
      <c r="T834" s="4"/>
      <c r="U834" s="4"/>
      <c r="V834" s="4"/>
      <c r="W834" s="4"/>
      <c r="X834" s="4"/>
      <c r="Y834" s="4"/>
      <c r="Z834" s="4"/>
    </row>
    <row r="835" ht="9.75" customHeight="1">
      <c r="A835" s="4"/>
      <c r="B835" s="7"/>
      <c r="C835" s="7"/>
      <c r="D835" s="4"/>
      <c r="E835" s="4"/>
      <c r="F835" s="7"/>
      <c r="G835" s="7"/>
      <c r="H835" s="4"/>
      <c r="I835" s="4"/>
      <c r="J835" s="7"/>
      <c r="K835" s="4"/>
      <c r="L835" s="4"/>
      <c r="M835" s="4"/>
      <c r="N835" s="4"/>
      <c r="O835" s="4"/>
      <c r="P835" s="4"/>
      <c r="Q835" s="4"/>
      <c r="R835" s="4"/>
      <c r="S835" s="4"/>
      <c r="T835" s="4"/>
      <c r="U835" s="4"/>
      <c r="V835" s="4"/>
      <c r="W835" s="4"/>
      <c r="X835" s="4"/>
      <c r="Y835" s="4"/>
      <c r="Z835" s="4"/>
    </row>
    <row r="836" ht="9.75" customHeight="1">
      <c r="A836" s="4"/>
      <c r="B836" s="7"/>
      <c r="C836" s="7"/>
      <c r="D836" s="4"/>
      <c r="E836" s="4"/>
      <c r="F836" s="7"/>
      <c r="G836" s="7"/>
      <c r="H836" s="4"/>
      <c r="I836" s="4"/>
      <c r="J836" s="7"/>
      <c r="K836" s="4"/>
      <c r="L836" s="4"/>
      <c r="M836" s="4"/>
      <c r="N836" s="4"/>
      <c r="O836" s="4"/>
      <c r="P836" s="4"/>
      <c r="Q836" s="4"/>
      <c r="R836" s="4"/>
      <c r="S836" s="4"/>
      <c r="T836" s="4"/>
      <c r="U836" s="4"/>
      <c r="V836" s="4"/>
      <c r="W836" s="4"/>
      <c r="X836" s="4"/>
      <c r="Y836" s="4"/>
      <c r="Z836" s="4"/>
    </row>
    <row r="837" ht="9.75" customHeight="1">
      <c r="A837" s="4"/>
      <c r="B837" s="7"/>
      <c r="C837" s="7"/>
      <c r="D837" s="4"/>
      <c r="E837" s="4"/>
      <c r="F837" s="7"/>
      <c r="G837" s="7"/>
      <c r="H837" s="4"/>
      <c r="I837" s="4"/>
      <c r="J837" s="7"/>
      <c r="K837" s="4"/>
      <c r="L837" s="4"/>
      <c r="M837" s="4"/>
      <c r="N837" s="4"/>
      <c r="O837" s="4"/>
      <c r="P837" s="4"/>
      <c r="Q837" s="4"/>
      <c r="R837" s="4"/>
      <c r="S837" s="4"/>
      <c r="T837" s="4"/>
      <c r="U837" s="4"/>
      <c r="V837" s="4"/>
      <c r="W837" s="4"/>
      <c r="X837" s="4"/>
      <c r="Y837" s="4"/>
      <c r="Z837" s="4"/>
    </row>
    <row r="838" ht="9.75" customHeight="1">
      <c r="A838" s="4"/>
      <c r="B838" s="7"/>
      <c r="C838" s="7"/>
      <c r="D838" s="4"/>
      <c r="E838" s="4"/>
      <c r="F838" s="7"/>
      <c r="G838" s="7"/>
      <c r="H838" s="4"/>
      <c r="I838" s="4"/>
      <c r="J838" s="7"/>
      <c r="K838" s="4"/>
      <c r="L838" s="4"/>
      <c r="M838" s="4"/>
      <c r="N838" s="4"/>
      <c r="O838" s="4"/>
      <c r="P838" s="4"/>
      <c r="Q838" s="4"/>
      <c r="R838" s="4"/>
      <c r="S838" s="4"/>
      <c r="T838" s="4"/>
      <c r="U838" s="4"/>
      <c r="V838" s="4"/>
      <c r="W838" s="4"/>
      <c r="X838" s="4"/>
      <c r="Y838" s="4"/>
      <c r="Z838" s="4"/>
    </row>
    <row r="839" ht="9.75" customHeight="1">
      <c r="A839" s="4"/>
      <c r="B839" s="7"/>
      <c r="C839" s="7"/>
      <c r="D839" s="4"/>
      <c r="E839" s="4"/>
      <c r="F839" s="7"/>
      <c r="G839" s="7"/>
      <c r="H839" s="4"/>
      <c r="I839" s="4"/>
      <c r="J839" s="7"/>
      <c r="K839" s="4"/>
      <c r="L839" s="4"/>
      <c r="M839" s="4"/>
      <c r="N839" s="4"/>
      <c r="O839" s="4"/>
      <c r="P839" s="4"/>
      <c r="Q839" s="4"/>
      <c r="R839" s="4"/>
      <c r="S839" s="4"/>
      <c r="T839" s="4"/>
      <c r="U839" s="4"/>
      <c r="V839" s="4"/>
      <c r="W839" s="4"/>
      <c r="X839" s="4"/>
      <c r="Y839" s="4"/>
      <c r="Z839" s="4"/>
    </row>
    <row r="840" ht="9.75" customHeight="1">
      <c r="A840" s="4"/>
      <c r="B840" s="7"/>
      <c r="C840" s="7"/>
      <c r="D840" s="4"/>
      <c r="E840" s="4"/>
      <c r="F840" s="7"/>
      <c r="G840" s="7"/>
      <c r="H840" s="4"/>
      <c r="I840" s="4"/>
      <c r="J840" s="7"/>
      <c r="K840" s="4"/>
      <c r="L840" s="4"/>
      <c r="M840" s="4"/>
      <c r="N840" s="4"/>
      <c r="O840" s="4"/>
      <c r="P840" s="4"/>
      <c r="Q840" s="4"/>
      <c r="R840" s="4"/>
      <c r="S840" s="4"/>
      <c r="T840" s="4"/>
      <c r="U840" s="4"/>
      <c r="V840" s="4"/>
      <c r="W840" s="4"/>
      <c r="X840" s="4"/>
      <c r="Y840" s="4"/>
      <c r="Z840" s="4"/>
    </row>
    <row r="841" ht="9.75" customHeight="1">
      <c r="A841" s="4"/>
      <c r="B841" s="7"/>
      <c r="C841" s="7"/>
      <c r="D841" s="4"/>
      <c r="E841" s="4"/>
      <c r="F841" s="7"/>
      <c r="G841" s="7"/>
      <c r="H841" s="4"/>
      <c r="I841" s="4"/>
      <c r="J841" s="7"/>
      <c r="K841" s="4"/>
      <c r="L841" s="4"/>
      <c r="M841" s="4"/>
      <c r="N841" s="4"/>
      <c r="O841" s="4"/>
      <c r="P841" s="4"/>
      <c r="Q841" s="4"/>
      <c r="R841" s="4"/>
      <c r="S841" s="4"/>
      <c r="T841" s="4"/>
      <c r="U841" s="4"/>
      <c r="V841" s="4"/>
      <c r="W841" s="4"/>
      <c r="X841" s="4"/>
      <c r="Y841" s="4"/>
      <c r="Z841" s="4"/>
    </row>
    <row r="842" ht="9.75" customHeight="1">
      <c r="A842" s="4"/>
      <c r="B842" s="7"/>
      <c r="C842" s="7"/>
      <c r="D842" s="4"/>
      <c r="E842" s="4"/>
      <c r="F842" s="7"/>
      <c r="G842" s="7"/>
      <c r="H842" s="4"/>
      <c r="I842" s="4"/>
      <c r="J842" s="7"/>
      <c r="K842" s="4"/>
      <c r="L842" s="4"/>
      <c r="M842" s="4"/>
      <c r="N842" s="4"/>
      <c r="O842" s="4"/>
      <c r="P842" s="4"/>
      <c r="Q842" s="4"/>
      <c r="R842" s="4"/>
      <c r="S842" s="4"/>
      <c r="T842" s="4"/>
      <c r="U842" s="4"/>
      <c r="V842" s="4"/>
      <c r="W842" s="4"/>
      <c r="X842" s="4"/>
      <c r="Y842" s="4"/>
      <c r="Z842" s="4"/>
    </row>
    <row r="843" ht="9.75" customHeight="1">
      <c r="A843" s="4"/>
      <c r="B843" s="7"/>
      <c r="C843" s="7"/>
      <c r="D843" s="4"/>
      <c r="E843" s="4"/>
      <c r="F843" s="7"/>
      <c r="G843" s="7"/>
      <c r="H843" s="4"/>
      <c r="I843" s="4"/>
      <c r="J843" s="7"/>
      <c r="K843" s="4"/>
      <c r="L843" s="4"/>
      <c r="M843" s="4"/>
      <c r="N843" s="4"/>
      <c r="O843" s="4"/>
      <c r="P843" s="4"/>
      <c r="Q843" s="4"/>
      <c r="R843" s="4"/>
      <c r="S843" s="4"/>
      <c r="T843" s="4"/>
      <c r="U843" s="4"/>
      <c r="V843" s="4"/>
      <c r="W843" s="4"/>
      <c r="X843" s="4"/>
      <c r="Y843" s="4"/>
      <c r="Z843" s="4"/>
    </row>
    <row r="844" ht="9.75" customHeight="1">
      <c r="A844" s="4"/>
      <c r="B844" s="7"/>
      <c r="C844" s="7"/>
      <c r="D844" s="4"/>
      <c r="E844" s="4"/>
      <c r="F844" s="7"/>
      <c r="G844" s="7"/>
      <c r="H844" s="4"/>
      <c r="I844" s="4"/>
      <c r="J844" s="7"/>
      <c r="K844" s="4"/>
      <c r="L844" s="4"/>
      <c r="M844" s="4"/>
      <c r="N844" s="4"/>
      <c r="O844" s="4"/>
      <c r="P844" s="4"/>
      <c r="Q844" s="4"/>
      <c r="R844" s="4"/>
      <c r="S844" s="4"/>
      <c r="T844" s="4"/>
      <c r="U844" s="4"/>
      <c r="V844" s="4"/>
      <c r="W844" s="4"/>
      <c r="X844" s="4"/>
      <c r="Y844" s="4"/>
      <c r="Z844" s="4"/>
    </row>
    <row r="845" ht="9.75" customHeight="1">
      <c r="A845" s="4"/>
      <c r="B845" s="7"/>
      <c r="C845" s="7"/>
      <c r="D845" s="4"/>
      <c r="E845" s="4"/>
      <c r="F845" s="7"/>
      <c r="G845" s="7"/>
      <c r="H845" s="4"/>
      <c r="I845" s="4"/>
      <c r="J845" s="7"/>
      <c r="K845" s="4"/>
      <c r="L845" s="4"/>
      <c r="M845" s="4"/>
      <c r="N845" s="4"/>
      <c r="O845" s="4"/>
      <c r="P845" s="4"/>
      <c r="Q845" s="4"/>
      <c r="R845" s="4"/>
      <c r="S845" s="4"/>
      <c r="T845" s="4"/>
      <c r="U845" s="4"/>
      <c r="V845" s="4"/>
      <c r="W845" s="4"/>
      <c r="X845" s="4"/>
      <c r="Y845" s="4"/>
      <c r="Z845" s="4"/>
    </row>
    <row r="846" ht="9.75" customHeight="1">
      <c r="A846" s="4"/>
      <c r="B846" s="7"/>
      <c r="C846" s="7"/>
      <c r="D846" s="4"/>
      <c r="E846" s="4"/>
      <c r="F846" s="7"/>
      <c r="G846" s="7"/>
      <c r="H846" s="4"/>
      <c r="I846" s="4"/>
      <c r="J846" s="7"/>
      <c r="K846" s="4"/>
      <c r="L846" s="4"/>
      <c r="M846" s="4"/>
      <c r="N846" s="4"/>
      <c r="O846" s="4"/>
      <c r="P846" s="4"/>
      <c r="Q846" s="4"/>
      <c r="R846" s="4"/>
      <c r="S846" s="4"/>
      <c r="T846" s="4"/>
      <c r="U846" s="4"/>
      <c r="V846" s="4"/>
      <c r="W846" s="4"/>
      <c r="X846" s="4"/>
      <c r="Y846" s="4"/>
      <c r="Z846" s="4"/>
    </row>
    <row r="847" ht="9.75" customHeight="1">
      <c r="A847" s="4"/>
      <c r="B847" s="7"/>
      <c r="C847" s="7"/>
      <c r="D847" s="4"/>
      <c r="E847" s="4"/>
      <c r="F847" s="7"/>
      <c r="G847" s="7"/>
      <c r="H847" s="4"/>
      <c r="I847" s="4"/>
      <c r="J847" s="7"/>
      <c r="K847" s="4"/>
      <c r="L847" s="4"/>
      <c r="M847" s="4"/>
      <c r="N847" s="4"/>
      <c r="O847" s="4"/>
      <c r="P847" s="4"/>
      <c r="Q847" s="4"/>
      <c r="R847" s="4"/>
      <c r="S847" s="4"/>
      <c r="T847" s="4"/>
      <c r="U847" s="4"/>
      <c r="V847" s="4"/>
      <c r="W847" s="4"/>
      <c r="X847" s="4"/>
      <c r="Y847" s="4"/>
      <c r="Z847" s="4"/>
    </row>
    <row r="848" ht="9.75" customHeight="1">
      <c r="A848" s="4"/>
      <c r="B848" s="7"/>
      <c r="C848" s="7"/>
      <c r="D848" s="4"/>
      <c r="E848" s="4"/>
      <c r="F848" s="7"/>
      <c r="G848" s="7"/>
      <c r="H848" s="4"/>
      <c r="I848" s="4"/>
      <c r="J848" s="7"/>
      <c r="K848" s="4"/>
      <c r="L848" s="4"/>
      <c r="M848" s="4"/>
      <c r="N848" s="4"/>
      <c r="O848" s="4"/>
      <c r="P848" s="4"/>
      <c r="Q848" s="4"/>
      <c r="R848" s="4"/>
      <c r="S848" s="4"/>
      <c r="T848" s="4"/>
      <c r="U848" s="4"/>
      <c r="V848" s="4"/>
      <c r="W848" s="4"/>
      <c r="X848" s="4"/>
      <c r="Y848" s="4"/>
      <c r="Z848" s="4"/>
    </row>
    <row r="849" ht="9.75" customHeight="1">
      <c r="A849" s="4"/>
      <c r="B849" s="7"/>
      <c r="C849" s="7"/>
      <c r="D849" s="4"/>
      <c r="E849" s="4"/>
      <c r="F849" s="7"/>
      <c r="G849" s="7"/>
      <c r="H849" s="4"/>
      <c r="I849" s="4"/>
      <c r="J849" s="7"/>
      <c r="K849" s="4"/>
      <c r="L849" s="4"/>
      <c r="M849" s="4"/>
      <c r="N849" s="4"/>
      <c r="O849" s="4"/>
      <c r="P849" s="4"/>
      <c r="Q849" s="4"/>
      <c r="R849" s="4"/>
      <c r="S849" s="4"/>
      <c r="T849" s="4"/>
      <c r="U849" s="4"/>
      <c r="V849" s="4"/>
      <c r="W849" s="4"/>
      <c r="X849" s="4"/>
      <c r="Y849" s="4"/>
      <c r="Z849" s="4"/>
    </row>
    <row r="850" ht="9.75" customHeight="1">
      <c r="A850" s="4"/>
      <c r="B850" s="7"/>
      <c r="C850" s="7"/>
      <c r="D850" s="4"/>
      <c r="E850" s="4"/>
      <c r="F850" s="7"/>
      <c r="G850" s="7"/>
      <c r="H850" s="4"/>
      <c r="I850" s="4"/>
      <c r="J850" s="7"/>
      <c r="K850" s="4"/>
      <c r="L850" s="4"/>
      <c r="M850" s="4"/>
      <c r="N850" s="4"/>
      <c r="O850" s="4"/>
      <c r="P850" s="4"/>
      <c r="Q850" s="4"/>
      <c r="R850" s="4"/>
      <c r="S850" s="4"/>
      <c r="T850" s="4"/>
      <c r="U850" s="4"/>
      <c r="V850" s="4"/>
      <c r="W850" s="4"/>
      <c r="X850" s="4"/>
      <c r="Y850" s="4"/>
      <c r="Z850" s="4"/>
    </row>
    <row r="851" ht="9.75" customHeight="1">
      <c r="A851" s="4"/>
      <c r="B851" s="7"/>
      <c r="C851" s="7"/>
      <c r="D851" s="4"/>
      <c r="E851" s="4"/>
      <c r="F851" s="7"/>
      <c r="G851" s="7"/>
      <c r="H851" s="4"/>
      <c r="I851" s="4"/>
      <c r="J851" s="7"/>
      <c r="K851" s="4"/>
      <c r="L851" s="4"/>
      <c r="M851" s="4"/>
      <c r="N851" s="4"/>
      <c r="O851" s="4"/>
      <c r="P851" s="4"/>
      <c r="Q851" s="4"/>
      <c r="R851" s="4"/>
      <c r="S851" s="4"/>
      <c r="T851" s="4"/>
      <c r="U851" s="4"/>
      <c r="V851" s="4"/>
      <c r="W851" s="4"/>
      <c r="X851" s="4"/>
      <c r="Y851" s="4"/>
      <c r="Z851" s="4"/>
    </row>
    <row r="852" ht="9.75" customHeight="1">
      <c r="A852" s="4"/>
      <c r="B852" s="7"/>
      <c r="C852" s="7"/>
      <c r="D852" s="4"/>
      <c r="E852" s="4"/>
      <c r="F852" s="7"/>
      <c r="G852" s="7"/>
      <c r="H852" s="4"/>
      <c r="I852" s="4"/>
      <c r="J852" s="7"/>
      <c r="K852" s="4"/>
      <c r="L852" s="4"/>
      <c r="M852" s="4"/>
      <c r="N852" s="4"/>
      <c r="O852" s="4"/>
      <c r="P852" s="4"/>
      <c r="Q852" s="4"/>
      <c r="R852" s="4"/>
      <c r="S852" s="4"/>
      <c r="T852" s="4"/>
      <c r="U852" s="4"/>
      <c r="V852" s="4"/>
      <c r="W852" s="4"/>
      <c r="X852" s="4"/>
      <c r="Y852" s="4"/>
      <c r="Z852" s="4"/>
    </row>
    <row r="853" ht="9.75" customHeight="1">
      <c r="A853" s="4"/>
      <c r="B853" s="7"/>
      <c r="C853" s="7"/>
      <c r="D853" s="4"/>
      <c r="E853" s="4"/>
      <c r="F853" s="7"/>
      <c r="G853" s="7"/>
      <c r="H853" s="4"/>
      <c r="I853" s="4"/>
      <c r="J853" s="7"/>
      <c r="K853" s="4"/>
      <c r="L853" s="4"/>
      <c r="M853" s="4"/>
      <c r="N853" s="4"/>
      <c r="O853" s="4"/>
      <c r="P853" s="4"/>
      <c r="Q853" s="4"/>
      <c r="R853" s="4"/>
      <c r="S853" s="4"/>
      <c r="T853" s="4"/>
      <c r="U853" s="4"/>
      <c r="V853" s="4"/>
      <c r="W853" s="4"/>
      <c r="X853" s="4"/>
      <c r="Y853" s="4"/>
      <c r="Z853" s="4"/>
    </row>
    <row r="854" ht="9.75" customHeight="1">
      <c r="A854" s="4"/>
      <c r="B854" s="7"/>
      <c r="C854" s="7"/>
      <c r="D854" s="4"/>
      <c r="E854" s="4"/>
      <c r="F854" s="7"/>
      <c r="G854" s="7"/>
      <c r="H854" s="4"/>
      <c r="I854" s="4"/>
      <c r="J854" s="7"/>
      <c r="K854" s="4"/>
      <c r="L854" s="4"/>
      <c r="M854" s="4"/>
      <c r="N854" s="4"/>
      <c r="O854" s="4"/>
      <c r="P854" s="4"/>
      <c r="Q854" s="4"/>
      <c r="R854" s="4"/>
      <c r="S854" s="4"/>
      <c r="T854" s="4"/>
      <c r="U854" s="4"/>
      <c r="V854" s="4"/>
      <c r="W854" s="4"/>
      <c r="X854" s="4"/>
      <c r="Y854" s="4"/>
      <c r="Z854" s="4"/>
    </row>
    <row r="855" ht="9.75" customHeight="1">
      <c r="A855" s="4"/>
      <c r="B855" s="7"/>
      <c r="C855" s="7"/>
      <c r="D855" s="4"/>
      <c r="E855" s="4"/>
      <c r="F855" s="7"/>
      <c r="G855" s="7"/>
      <c r="H855" s="4"/>
      <c r="I855" s="4"/>
      <c r="J855" s="7"/>
      <c r="K855" s="4"/>
      <c r="L855" s="4"/>
      <c r="M855" s="4"/>
      <c r="N855" s="4"/>
      <c r="O855" s="4"/>
      <c r="P855" s="4"/>
      <c r="Q855" s="4"/>
      <c r="R855" s="4"/>
      <c r="S855" s="4"/>
      <c r="T855" s="4"/>
      <c r="U855" s="4"/>
      <c r="V855" s="4"/>
      <c r="W855" s="4"/>
      <c r="X855" s="4"/>
      <c r="Y855" s="4"/>
      <c r="Z855" s="4"/>
    </row>
    <row r="856" ht="9.75" customHeight="1">
      <c r="A856" s="4"/>
      <c r="B856" s="7"/>
      <c r="C856" s="7"/>
      <c r="D856" s="4"/>
      <c r="E856" s="4"/>
      <c r="F856" s="7"/>
      <c r="G856" s="7"/>
      <c r="H856" s="4"/>
      <c r="I856" s="4"/>
      <c r="J856" s="7"/>
      <c r="K856" s="4"/>
      <c r="L856" s="4"/>
      <c r="M856" s="4"/>
      <c r="N856" s="4"/>
      <c r="O856" s="4"/>
      <c r="P856" s="4"/>
      <c r="Q856" s="4"/>
      <c r="R856" s="4"/>
      <c r="S856" s="4"/>
      <c r="T856" s="4"/>
      <c r="U856" s="4"/>
      <c r="V856" s="4"/>
      <c r="W856" s="4"/>
      <c r="X856" s="4"/>
      <c r="Y856" s="4"/>
      <c r="Z856" s="4"/>
    </row>
    <row r="857" ht="9.75" customHeight="1">
      <c r="A857" s="4"/>
      <c r="B857" s="7"/>
      <c r="C857" s="7"/>
      <c r="D857" s="4"/>
      <c r="E857" s="4"/>
      <c r="F857" s="7"/>
      <c r="G857" s="7"/>
      <c r="H857" s="4"/>
      <c r="I857" s="4"/>
      <c r="J857" s="7"/>
      <c r="K857" s="4"/>
      <c r="L857" s="4"/>
      <c r="M857" s="4"/>
      <c r="N857" s="4"/>
      <c r="O857" s="4"/>
      <c r="P857" s="4"/>
      <c r="Q857" s="4"/>
      <c r="R857" s="4"/>
      <c r="S857" s="4"/>
      <c r="T857" s="4"/>
      <c r="U857" s="4"/>
      <c r="V857" s="4"/>
      <c r="W857" s="4"/>
      <c r="X857" s="4"/>
      <c r="Y857" s="4"/>
      <c r="Z857" s="4"/>
    </row>
    <row r="858" ht="9.75" customHeight="1">
      <c r="A858" s="4"/>
      <c r="B858" s="7"/>
      <c r="C858" s="7"/>
      <c r="D858" s="4"/>
      <c r="E858" s="4"/>
      <c r="F858" s="7"/>
      <c r="G858" s="7"/>
      <c r="H858" s="4"/>
      <c r="I858" s="4"/>
      <c r="J858" s="7"/>
      <c r="K858" s="4"/>
      <c r="L858" s="4"/>
      <c r="M858" s="4"/>
      <c r="N858" s="4"/>
      <c r="O858" s="4"/>
      <c r="P858" s="4"/>
      <c r="Q858" s="4"/>
      <c r="R858" s="4"/>
      <c r="S858" s="4"/>
      <c r="T858" s="4"/>
      <c r="U858" s="4"/>
      <c r="V858" s="4"/>
      <c r="W858" s="4"/>
      <c r="X858" s="4"/>
      <c r="Y858" s="4"/>
      <c r="Z858" s="4"/>
    </row>
    <row r="859" ht="9.75" customHeight="1">
      <c r="A859" s="4"/>
      <c r="B859" s="7"/>
      <c r="C859" s="7"/>
      <c r="D859" s="4"/>
      <c r="E859" s="4"/>
      <c r="F859" s="7"/>
      <c r="G859" s="7"/>
      <c r="H859" s="4"/>
      <c r="I859" s="4"/>
      <c r="J859" s="7"/>
      <c r="K859" s="4"/>
      <c r="L859" s="4"/>
      <c r="M859" s="4"/>
      <c r="N859" s="4"/>
      <c r="O859" s="4"/>
      <c r="P859" s="4"/>
      <c r="Q859" s="4"/>
      <c r="R859" s="4"/>
      <c r="S859" s="4"/>
      <c r="T859" s="4"/>
      <c r="U859" s="4"/>
      <c r="V859" s="4"/>
      <c r="W859" s="4"/>
      <c r="X859" s="4"/>
      <c r="Y859" s="4"/>
      <c r="Z859" s="4"/>
    </row>
    <row r="860" ht="9.75" customHeight="1">
      <c r="A860" s="4"/>
      <c r="B860" s="7"/>
      <c r="C860" s="7"/>
      <c r="D860" s="4"/>
      <c r="E860" s="4"/>
      <c r="F860" s="7"/>
      <c r="G860" s="7"/>
      <c r="H860" s="4"/>
      <c r="I860" s="4"/>
      <c r="J860" s="7"/>
      <c r="K860" s="4"/>
      <c r="L860" s="4"/>
      <c r="M860" s="4"/>
      <c r="N860" s="4"/>
      <c r="O860" s="4"/>
      <c r="P860" s="4"/>
      <c r="Q860" s="4"/>
      <c r="R860" s="4"/>
      <c r="S860" s="4"/>
      <c r="T860" s="4"/>
      <c r="U860" s="4"/>
      <c r="V860" s="4"/>
      <c r="W860" s="4"/>
      <c r="X860" s="4"/>
      <c r="Y860" s="4"/>
      <c r="Z860" s="4"/>
    </row>
    <row r="861" ht="9.75" customHeight="1">
      <c r="A861" s="4"/>
      <c r="B861" s="7"/>
      <c r="C861" s="7"/>
      <c r="D861" s="4"/>
      <c r="E861" s="4"/>
      <c r="F861" s="7"/>
      <c r="G861" s="7"/>
      <c r="H861" s="4"/>
      <c r="I861" s="4"/>
      <c r="J861" s="7"/>
      <c r="K861" s="4"/>
      <c r="L861" s="4"/>
      <c r="M861" s="4"/>
      <c r="N861" s="4"/>
      <c r="O861" s="4"/>
      <c r="P861" s="4"/>
      <c r="Q861" s="4"/>
      <c r="R861" s="4"/>
      <c r="S861" s="4"/>
      <c r="T861" s="4"/>
      <c r="U861" s="4"/>
      <c r="V861" s="4"/>
      <c r="W861" s="4"/>
      <c r="X861" s="4"/>
      <c r="Y861" s="4"/>
      <c r="Z861" s="4"/>
    </row>
    <row r="862" ht="9.75" customHeight="1">
      <c r="A862" s="4"/>
      <c r="B862" s="7"/>
      <c r="C862" s="7"/>
      <c r="D862" s="4"/>
      <c r="E862" s="4"/>
      <c r="F862" s="7"/>
      <c r="G862" s="7"/>
      <c r="H862" s="4"/>
      <c r="I862" s="4"/>
      <c r="J862" s="7"/>
      <c r="K862" s="4"/>
      <c r="L862" s="4"/>
      <c r="M862" s="4"/>
      <c r="N862" s="4"/>
      <c r="O862" s="4"/>
      <c r="P862" s="4"/>
      <c r="Q862" s="4"/>
      <c r="R862" s="4"/>
      <c r="S862" s="4"/>
      <c r="T862" s="4"/>
      <c r="U862" s="4"/>
      <c r="V862" s="4"/>
      <c r="W862" s="4"/>
      <c r="X862" s="4"/>
      <c r="Y862" s="4"/>
      <c r="Z862" s="4"/>
    </row>
    <row r="863" ht="9.75" customHeight="1">
      <c r="A863" s="4"/>
      <c r="B863" s="7"/>
      <c r="C863" s="7"/>
      <c r="D863" s="4"/>
      <c r="E863" s="4"/>
      <c r="F863" s="7"/>
      <c r="G863" s="7"/>
      <c r="H863" s="4"/>
      <c r="I863" s="4"/>
      <c r="J863" s="7"/>
      <c r="K863" s="4"/>
      <c r="L863" s="4"/>
      <c r="M863" s="4"/>
      <c r="N863" s="4"/>
      <c r="O863" s="4"/>
      <c r="P863" s="4"/>
      <c r="Q863" s="4"/>
      <c r="R863" s="4"/>
      <c r="S863" s="4"/>
      <c r="T863" s="4"/>
      <c r="U863" s="4"/>
      <c r="V863" s="4"/>
      <c r="W863" s="4"/>
      <c r="X863" s="4"/>
      <c r="Y863" s="4"/>
      <c r="Z863" s="4"/>
    </row>
    <row r="864" ht="9.75" customHeight="1">
      <c r="A864" s="4"/>
      <c r="B864" s="7"/>
      <c r="C864" s="7"/>
      <c r="D864" s="4"/>
      <c r="E864" s="4"/>
      <c r="F864" s="7"/>
      <c r="G864" s="7"/>
      <c r="H864" s="4"/>
      <c r="I864" s="4"/>
      <c r="J864" s="7"/>
      <c r="K864" s="4"/>
      <c r="L864" s="4"/>
      <c r="M864" s="4"/>
      <c r="N864" s="4"/>
      <c r="O864" s="4"/>
      <c r="P864" s="4"/>
      <c r="Q864" s="4"/>
      <c r="R864" s="4"/>
      <c r="S864" s="4"/>
      <c r="T864" s="4"/>
      <c r="U864" s="4"/>
      <c r="V864" s="4"/>
      <c r="W864" s="4"/>
      <c r="X864" s="4"/>
      <c r="Y864" s="4"/>
      <c r="Z864" s="4"/>
    </row>
    <row r="865" ht="9.75" customHeight="1">
      <c r="A865" s="4"/>
      <c r="B865" s="7"/>
      <c r="C865" s="7"/>
      <c r="D865" s="4"/>
      <c r="E865" s="4"/>
      <c r="F865" s="7"/>
      <c r="G865" s="7"/>
      <c r="H865" s="4"/>
      <c r="I865" s="4"/>
      <c r="J865" s="7"/>
      <c r="K865" s="4"/>
      <c r="L865" s="4"/>
      <c r="M865" s="4"/>
      <c r="N865" s="4"/>
      <c r="O865" s="4"/>
      <c r="P865" s="4"/>
      <c r="Q865" s="4"/>
      <c r="R865" s="4"/>
      <c r="S865" s="4"/>
      <c r="T865" s="4"/>
      <c r="U865" s="4"/>
      <c r="V865" s="4"/>
      <c r="W865" s="4"/>
      <c r="X865" s="4"/>
      <c r="Y865" s="4"/>
      <c r="Z865" s="4"/>
    </row>
    <row r="866" ht="9.75" customHeight="1">
      <c r="A866" s="4"/>
      <c r="B866" s="7"/>
      <c r="C866" s="7"/>
      <c r="D866" s="4"/>
      <c r="E866" s="4"/>
      <c r="F866" s="7"/>
      <c r="G866" s="7"/>
      <c r="H866" s="4"/>
      <c r="I866" s="4"/>
      <c r="J866" s="7"/>
      <c r="K866" s="4"/>
      <c r="L866" s="4"/>
      <c r="M866" s="4"/>
      <c r="N866" s="4"/>
      <c r="O866" s="4"/>
      <c r="P866" s="4"/>
      <c r="Q866" s="4"/>
      <c r="R866" s="4"/>
      <c r="S866" s="4"/>
      <c r="T866" s="4"/>
      <c r="U866" s="4"/>
      <c r="V866" s="4"/>
      <c r="W866" s="4"/>
      <c r="X866" s="4"/>
      <c r="Y866" s="4"/>
      <c r="Z866" s="4"/>
    </row>
    <row r="867" ht="9.75" customHeight="1">
      <c r="A867" s="4"/>
      <c r="B867" s="7"/>
      <c r="C867" s="7"/>
      <c r="D867" s="4"/>
      <c r="E867" s="4"/>
      <c r="F867" s="7"/>
      <c r="G867" s="7"/>
      <c r="H867" s="4"/>
      <c r="I867" s="4"/>
      <c r="J867" s="7"/>
      <c r="K867" s="4"/>
      <c r="L867" s="4"/>
      <c r="M867" s="4"/>
      <c r="N867" s="4"/>
      <c r="O867" s="4"/>
      <c r="P867" s="4"/>
      <c r="Q867" s="4"/>
      <c r="R867" s="4"/>
      <c r="S867" s="4"/>
      <c r="T867" s="4"/>
      <c r="U867" s="4"/>
      <c r="V867" s="4"/>
      <c r="W867" s="4"/>
      <c r="X867" s="4"/>
      <c r="Y867" s="4"/>
      <c r="Z867" s="4"/>
    </row>
    <row r="868" ht="9.75" customHeight="1">
      <c r="A868" s="4"/>
      <c r="B868" s="7"/>
      <c r="C868" s="7"/>
      <c r="D868" s="4"/>
      <c r="E868" s="4"/>
      <c r="F868" s="7"/>
      <c r="G868" s="7"/>
      <c r="H868" s="4"/>
      <c r="I868" s="4"/>
      <c r="J868" s="7"/>
      <c r="K868" s="4"/>
      <c r="L868" s="4"/>
      <c r="M868" s="4"/>
      <c r="N868" s="4"/>
      <c r="O868" s="4"/>
      <c r="P868" s="4"/>
      <c r="Q868" s="4"/>
      <c r="R868" s="4"/>
      <c r="S868" s="4"/>
      <c r="T868" s="4"/>
      <c r="U868" s="4"/>
      <c r="V868" s="4"/>
      <c r="W868" s="4"/>
      <c r="X868" s="4"/>
      <c r="Y868" s="4"/>
      <c r="Z868" s="4"/>
    </row>
    <row r="869" ht="9.75" customHeight="1">
      <c r="A869" s="4"/>
      <c r="B869" s="7"/>
      <c r="C869" s="7"/>
      <c r="D869" s="4"/>
      <c r="E869" s="4"/>
      <c r="F869" s="7"/>
      <c r="G869" s="7"/>
      <c r="H869" s="4"/>
      <c r="I869" s="4"/>
      <c r="J869" s="7"/>
      <c r="K869" s="4"/>
      <c r="L869" s="4"/>
      <c r="M869" s="4"/>
      <c r="N869" s="4"/>
      <c r="O869" s="4"/>
      <c r="P869" s="4"/>
      <c r="Q869" s="4"/>
      <c r="R869" s="4"/>
      <c r="S869" s="4"/>
      <c r="T869" s="4"/>
      <c r="U869" s="4"/>
      <c r="V869" s="4"/>
      <c r="W869" s="4"/>
      <c r="X869" s="4"/>
      <c r="Y869" s="4"/>
      <c r="Z869" s="4"/>
    </row>
    <row r="870" ht="9.75" customHeight="1">
      <c r="A870" s="4"/>
      <c r="B870" s="7"/>
      <c r="C870" s="7"/>
      <c r="D870" s="4"/>
      <c r="E870" s="4"/>
      <c r="F870" s="7"/>
      <c r="G870" s="7"/>
      <c r="H870" s="4"/>
      <c r="I870" s="4"/>
      <c r="J870" s="7"/>
      <c r="K870" s="4"/>
      <c r="L870" s="4"/>
      <c r="M870" s="4"/>
      <c r="N870" s="4"/>
      <c r="O870" s="4"/>
      <c r="P870" s="4"/>
      <c r="Q870" s="4"/>
      <c r="R870" s="4"/>
      <c r="S870" s="4"/>
      <c r="T870" s="4"/>
      <c r="U870" s="4"/>
      <c r="V870" s="4"/>
      <c r="W870" s="4"/>
      <c r="X870" s="4"/>
      <c r="Y870" s="4"/>
      <c r="Z870" s="4"/>
    </row>
    <row r="871" ht="9.75" customHeight="1">
      <c r="A871" s="4"/>
      <c r="B871" s="7"/>
      <c r="C871" s="7"/>
      <c r="D871" s="4"/>
      <c r="E871" s="4"/>
      <c r="F871" s="7"/>
      <c r="G871" s="7"/>
      <c r="H871" s="4"/>
      <c r="I871" s="4"/>
      <c r="J871" s="7"/>
      <c r="K871" s="4"/>
      <c r="L871" s="4"/>
      <c r="M871" s="4"/>
      <c r="N871" s="4"/>
      <c r="O871" s="4"/>
      <c r="P871" s="4"/>
      <c r="Q871" s="4"/>
      <c r="R871" s="4"/>
      <c r="S871" s="4"/>
      <c r="T871" s="4"/>
      <c r="U871" s="4"/>
      <c r="V871" s="4"/>
      <c r="W871" s="4"/>
      <c r="X871" s="4"/>
      <c r="Y871" s="4"/>
      <c r="Z871" s="4"/>
    </row>
    <row r="872" ht="9.75" customHeight="1">
      <c r="A872" s="4"/>
      <c r="B872" s="7"/>
      <c r="C872" s="7"/>
      <c r="D872" s="4"/>
      <c r="E872" s="4"/>
      <c r="F872" s="7"/>
      <c r="G872" s="7"/>
      <c r="H872" s="4"/>
      <c r="I872" s="4"/>
      <c r="J872" s="7"/>
      <c r="K872" s="4"/>
      <c r="L872" s="4"/>
      <c r="M872" s="4"/>
      <c r="N872" s="4"/>
      <c r="O872" s="4"/>
      <c r="P872" s="4"/>
      <c r="Q872" s="4"/>
      <c r="R872" s="4"/>
      <c r="S872" s="4"/>
      <c r="T872" s="4"/>
      <c r="U872" s="4"/>
      <c r="V872" s="4"/>
      <c r="W872" s="4"/>
      <c r="X872" s="4"/>
      <c r="Y872" s="4"/>
      <c r="Z872" s="4"/>
    </row>
    <row r="873" ht="9.75" customHeight="1">
      <c r="A873" s="4"/>
      <c r="B873" s="7"/>
      <c r="C873" s="7"/>
      <c r="D873" s="4"/>
      <c r="E873" s="4"/>
      <c r="F873" s="7"/>
      <c r="G873" s="7"/>
      <c r="H873" s="4"/>
      <c r="I873" s="4"/>
      <c r="J873" s="7"/>
      <c r="K873" s="4"/>
      <c r="L873" s="4"/>
      <c r="M873" s="4"/>
      <c r="N873" s="4"/>
      <c r="O873" s="4"/>
      <c r="P873" s="4"/>
      <c r="Q873" s="4"/>
      <c r="R873" s="4"/>
      <c r="S873" s="4"/>
      <c r="T873" s="4"/>
      <c r="U873" s="4"/>
      <c r="V873" s="4"/>
      <c r="W873" s="4"/>
      <c r="X873" s="4"/>
      <c r="Y873" s="4"/>
      <c r="Z873" s="4"/>
    </row>
    <row r="874" ht="9.75" customHeight="1">
      <c r="A874" s="4"/>
      <c r="B874" s="7"/>
      <c r="C874" s="7"/>
      <c r="D874" s="4"/>
      <c r="E874" s="4"/>
      <c r="F874" s="7"/>
      <c r="G874" s="7"/>
      <c r="H874" s="4"/>
      <c r="I874" s="4"/>
      <c r="J874" s="7"/>
      <c r="K874" s="4"/>
      <c r="L874" s="4"/>
      <c r="M874" s="4"/>
      <c r="N874" s="4"/>
      <c r="O874" s="4"/>
      <c r="P874" s="4"/>
      <c r="Q874" s="4"/>
      <c r="R874" s="4"/>
      <c r="S874" s="4"/>
      <c r="T874" s="4"/>
      <c r="U874" s="4"/>
      <c r="V874" s="4"/>
      <c r="W874" s="4"/>
      <c r="X874" s="4"/>
      <c r="Y874" s="4"/>
      <c r="Z874" s="4"/>
    </row>
    <row r="875" ht="9.75" customHeight="1">
      <c r="A875" s="4"/>
      <c r="B875" s="7"/>
      <c r="C875" s="7"/>
      <c r="D875" s="4"/>
      <c r="E875" s="4"/>
      <c r="F875" s="7"/>
      <c r="G875" s="7"/>
      <c r="H875" s="4"/>
      <c r="I875" s="4"/>
      <c r="J875" s="7"/>
      <c r="K875" s="4"/>
      <c r="L875" s="4"/>
      <c r="M875" s="4"/>
      <c r="N875" s="4"/>
      <c r="O875" s="4"/>
      <c r="P875" s="4"/>
      <c r="Q875" s="4"/>
      <c r="R875" s="4"/>
      <c r="S875" s="4"/>
      <c r="T875" s="4"/>
      <c r="U875" s="4"/>
      <c r="V875" s="4"/>
      <c r="W875" s="4"/>
      <c r="X875" s="4"/>
      <c r="Y875" s="4"/>
      <c r="Z875" s="4"/>
    </row>
    <row r="876" ht="9.75" customHeight="1">
      <c r="A876" s="4"/>
      <c r="B876" s="7"/>
      <c r="C876" s="7"/>
      <c r="D876" s="4"/>
      <c r="E876" s="4"/>
      <c r="F876" s="7"/>
      <c r="G876" s="7"/>
      <c r="H876" s="4"/>
      <c r="I876" s="4"/>
      <c r="J876" s="7"/>
      <c r="K876" s="4"/>
      <c r="L876" s="4"/>
      <c r="M876" s="4"/>
      <c r="N876" s="4"/>
      <c r="O876" s="4"/>
      <c r="P876" s="4"/>
      <c r="Q876" s="4"/>
      <c r="R876" s="4"/>
      <c r="S876" s="4"/>
      <c r="T876" s="4"/>
      <c r="U876" s="4"/>
      <c r="V876" s="4"/>
      <c r="W876" s="4"/>
      <c r="X876" s="4"/>
      <c r="Y876" s="4"/>
      <c r="Z876" s="4"/>
    </row>
    <row r="877" ht="9.75" customHeight="1">
      <c r="A877" s="4"/>
      <c r="B877" s="7"/>
      <c r="C877" s="7"/>
      <c r="D877" s="4"/>
      <c r="E877" s="4"/>
      <c r="F877" s="7"/>
      <c r="G877" s="7"/>
      <c r="H877" s="4"/>
      <c r="I877" s="4"/>
      <c r="J877" s="7"/>
      <c r="K877" s="4"/>
      <c r="L877" s="4"/>
      <c r="M877" s="4"/>
      <c r="N877" s="4"/>
      <c r="O877" s="4"/>
      <c r="P877" s="4"/>
      <c r="Q877" s="4"/>
      <c r="R877" s="4"/>
      <c r="S877" s="4"/>
      <c r="T877" s="4"/>
      <c r="U877" s="4"/>
      <c r="V877" s="4"/>
      <c r="W877" s="4"/>
      <c r="X877" s="4"/>
      <c r="Y877" s="4"/>
      <c r="Z877" s="4"/>
    </row>
    <row r="878" ht="9.75" customHeight="1">
      <c r="A878" s="4"/>
      <c r="B878" s="7"/>
      <c r="C878" s="7"/>
      <c r="D878" s="4"/>
      <c r="E878" s="4"/>
      <c r="F878" s="7"/>
      <c r="G878" s="7"/>
      <c r="H878" s="4"/>
      <c r="I878" s="4"/>
      <c r="J878" s="7"/>
      <c r="K878" s="4"/>
      <c r="L878" s="4"/>
      <c r="M878" s="4"/>
      <c r="N878" s="4"/>
      <c r="O878" s="4"/>
      <c r="P878" s="4"/>
      <c r="Q878" s="4"/>
      <c r="R878" s="4"/>
      <c r="S878" s="4"/>
      <c r="T878" s="4"/>
      <c r="U878" s="4"/>
      <c r="V878" s="4"/>
      <c r="W878" s="4"/>
      <c r="X878" s="4"/>
      <c r="Y878" s="4"/>
      <c r="Z878" s="4"/>
    </row>
    <row r="879" ht="9.75" customHeight="1">
      <c r="A879" s="4"/>
      <c r="B879" s="7"/>
      <c r="C879" s="7"/>
      <c r="D879" s="4"/>
      <c r="E879" s="4"/>
      <c r="F879" s="7"/>
      <c r="G879" s="7"/>
      <c r="H879" s="4"/>
      <c r="I879" s="4"/>
      <c r="J879" s="7"/>
      <c r="K879" s="4"/>
      <c r="L879" s="4"/>
      <c r="M879" s="4"/>
      <c r="N879" s="4"/>
      <c r="O879" s="4"/>
      <c r="P879" s="4"/>
      <c r="Q879" s="4"/>
      <c r="R879" s="4"/>
      <c r="S879" s="4"/>
      <c r="T879" s="4"/>
      <c r="U879" s="4"/>
      <c r="V879" s="4"/>
      <c r="W879" s="4"/>
      <c r="X879" s="4"/>
      <c r="Y879" s="4"/>
      <c r="Z879" s="4"/>
    </row>
    <row r="880" ht="9.75" customHeight="1">
      <c r="A880" s="4"/>
      <c r="B880" s="7"/>
      <c r="C880" s="7"/>
      <c r="D880" s="4"/>
      <c r="E880" s="4"/>
      <c r="F880" s="7"/>
      <c r="G880" s="7"/>
      <c r="H880" s="4"/>
      <c r="I880" s="4"/>
      <c r="J880" s="7"/>
      <c r="K880" s="4"/>
      <c r="L880" s="4"/>
      <c r="M880" s="4"/>
      <c r="N880" s="4"/>
      <c r="O880" s="4"/>
      <c r="P880" s="4"/>
      <c r="Q880" s="4"/>
      <c r="R880" s="4"/>
      <c r="S880" s="4"/>
      <c r="T880" s="4"/>
      <c r="U880" s="4"/>
      <c r="V880" s="4"/>
      <c r="W880" s="4"/>
      <c r="X880" s="4"/>
      <c r="Y880" s="4"/>
      <c r="Z880" s="4"/>
    </row>
    <row r="881" ht="9.75" customHeight="1">
      <c r="A881" s="4"/>
      <c r="B881" s="7"/>
      <c r="C881" s="7"/>
      <c r="D881" s="4"/>
      <c r="E881" s="4"/>
      <c r="F881" s="7"/>
      <c r="G881" s="7"/>
      <c r="H881" s="4"/>
      <c r="I881" s="4"/>
      <c r="J881" s="7"/>
      <c r="K881" s="4"/>
      <c r="L881" s="4"/>
      <c r="M881" s="4"/>
      <c r="N881" s="4"/>
      <c r="O881" s="4"/>
      <c r="P881" s="4"/>
      <c r="Q881" s="4"/>
      <c r="R881" s="4"/>
      <c r="S881" s="4"/>
      <c r="T881" s="4"/>
      <c r="U881" s="4"/>
      <c r="V881" s="4"/>
      <c r="W881" s="4"/>
      <c r="X881" s="4"/>
      <c r="Y881" s="4"/>
      <c r="Z881" s="4"/>
    </row>
    <row r="882" ht="9.75" customHeight="1">
      <c r="A882" s="4"/>
      <c r="B882" s="7"/>
      <c r="C882" s="7"/>
      <c r="D882" s="4"/>
      <c r="E882" s="4"/>
      <c r="F882" s="7"/>
      <c r="G882" s="7"/>
      <c r="H882" s="4"/>
      <c r="I882" s="4"/>
      <c r="J882" s="7"/>
      <c r="K882" s="4"/>
      <c r="L882" s="4"/>
      <c r="M882" s="4"/>
      <c r="N882" s="4"/>
      <c r="O882" s="4"/>
      <c r="P882" s="4"/>
      <c r="Q882" s="4"/>
      <c r="R882" s="4"/>
      <c r="S882" s="4"/>
      <c r="T882" s="4"/>
      <c r="U882" s="4"/>
      <c r="V882" s="4"/>
      <c r="W882" s="4"/>
      <c r="X882" s="4"/>
      <c r="Y882" s="4"/>
      <c r="Z882" s="4"/>
    </row>
    <row r="883" ht="9.75" customHeight="1">
      <c r="A883" s="4"/>
      <c r="B883" s="7"/>
      <c r="C883" s="7"/>
      <c r="D883" s="4"/>
      <c r="E883" s="4"/>
      <c r="F883" s="7"/>
      <c r="G883" s="7"/>
      <c r="H883" s="4"/>
      <c r="I883" s="4"/>
      <c r="J883" s="7"/>
      <c r="K883" s="4"/>
      <c r="L883" s="4"/>
      <c r="M883" s="4"/>
      <c r="N883" s="4"/>
      <c r="O883" s="4"/>
      <c r="P883" s="4"/>
      <c r="Q883" s="4"/>
      <c r="R883" s="4"/>
      <c r="S883" s="4"/>
      <c r="T883" s="4"/>
      <c r="U883" s="4"/>
      <c r="V883" s="4"/>
      <c r="W883" s="4"/>
      <c r="X883" s="4"/>
      <c r="Y883" s="4"/>
      <c r="Z883" s="4"/>
    </row>
    <row r="884" ht="9.75" customHeight="1">
      <c r="A884" s="4"/>
      <c r="B884" s="7"/>
      <c r="C884" s="7"/>
      <c r="D884" s="4"/>
      <c r="E884" s="4"/>
      <c r="F884" s="7"/>
      <c r="G884" s="7"/>
      <c r="H884" s="4"/>
      <c r="I884" s="4"/>
      <c r="J884" s="7"/>
      <c r="K884" s="4"/>
      <c r="L884" s="4"/>
      <c r="M884" s="4"/>
      <c r="N884" s="4"/>
      <c r="O884" s="4"/>
      <c r="P884" s="4"/>
      <c r="Q884" s="4"/>
      <c r="R884" s="4"/>
      <c r="S884" s="4"/>
      <c r="T884" s="4"/>
      <c r="U884" s="4"/>
      <c r="V884" s="4"/>
      <c r="W884" s="4"/>
      <c r="X884" s="4"/>
      <c r="Y884" s="4"/>
      <c r="Z884" s="4"/>
    </row>
    <row r="885" ht="9.75" customHeight="1">
      <c r="A885" s="4"/>
      <c r="B885" s="7"/>
      <c r="C885" s="7"/>
      <c r="D885" s="4"/>
      <c r="E885" s="4"/>
      <c r="F885" s="7"/>
      <c r="G885" s="7"/>
      <c r="H885" s="4"/>
      <c r="I885" s="4"/>
      <c r="J885" s="7"/>
      <c r="K885" s="4"/>
      <c r="L885" s="4"/>
      <c r="M885" s="4"/>
      <c r="N885" s="4"/>
      <c r="O885" s="4"/>
      <c r="P885" s="4"/>
      <c r="Q885" s="4"/>
      <c r="R885" s="4"/>
      <c r="S885" s="4"/>
      <c r="T885" s="4"/>
      <c r="U885" s="4"/>
      <c r="V885" s="4"/>
      <c r="W885" s="4"/>
      <c r="X885" s="4"/>
      <c r="Y885" s="4"/>
      <c r="Z885" s="4"/>
    </row>
    <row r="886" ht="9.75" customHeight="1">
      <c r="A886" s="4"/>
      <c r="B886" s="7"/>
      <c r="C886" s="7"/>
      <c r="D886" s="4"/>
      <c r="E886" s="4"/>
      <c r="F886" s="7"/>
      <c r="G886" s="7"/>
      <c r="H886" s="4"/>
      <c r="I886" s="4"/>
      <c r="J886" s="7"/>
      <c r="K886" s="4"/>
      <c r="L886" s="4"/>
      <c r="M886" s="4"/>
      <c r="N886" s="4"/>
      <c r="O886" s="4"/>
      <c r="P886" s="4"/>
      <c r="Q886" s="4"/>
      <c r="R886" s="4"/>
      <c r="S886" s="4"/>
      <c r="T886" s="4"/>
      <c r="U886" s="4"/>
      <c r="V886" s="4"/>
      <c r="W886" s="4"/>
      <c r="X886" s="4"/>
      <c r="Y886" s="4"/>
      <c r="Z886" s="4"/>
    </row>
    <row r="887" ht="9.75" customHeight="1">
      <c r="A887" s="4"/>
      <c r="B887" s="7"/>
      <c r="C887" s="7"/>
      <c r="D887" s="4"/>
      <c r="E887" s="4"/>
      <c r="F887" s="7"/>
      <c r="G887" s="7"/>
      <c r="H887" s="4"/>
      <c r="I887" s="4"/>
      <c r="J887" s="7"/>
      <c r="K887" s="4"/>
      <c r="L887" s="4"/>
      <c r="M887" s="4"/>
      <c r="N887" s="4"/>
      <c r="O887" s="4"/>
      <c r="P887" s="4"/>
      <c r="Q887" s="4"/>
      <c r="R887" s="4"/>
      <c r="S887" s="4"/>
      <c r="T887" s="4"/>
      <c r="U887" s="4"/>
      <c r="V887" s="4"/>
      <c r="W887" s="4"/>
      <c r="X887" s="4"/>
      <c r="Y887" s="4"/>
      <c r="Z887" s="4"/>
    </row>
    <row r="888" ht="9.75" customHeight="1">
      <c r="A888" s="4"/>
      <c r="B888" s="7"/>
      <c r="C888" s="7"/>
      <c r="D888" s="4"/>
      <c r="E888" s="4"/>
      <c r="F888" s="7"/>
      <c r="G888" s="7"/>
      <c r="H888" s="4"/>
      <c r="I888" s="4"/>
      <c r="J888" s="7"/>
      <c r="K888" s="4"/>
      <c r="L888" s="4"/>
      <c r="M888" s="4"/>
      <c r="N888" s="4"/>
      <c r="O888" s="4"/>
      <c r="P888" s="4"/>
      <c r="Q888" s="4"/>
      <c r="R888" s="4"/>
      <c r="S888" s="4"/>
      <c r="T888" s="4"/>
      <c r="U888" s="4"/>
      <c r="V888" s="4"/>
      <c r="W888" s="4"/>
      <c r="X888" s="4"/>
      <c r="Y888" s="4"/>
      <c r="Z888" s="4"/>
    </row>
    <row r="889" ht="9.75" customHeight="1">
      <c r="A889" s="4"/>
      <c r="B889" s="7"/>
      <c r="C889" s="7"/>
      <c r="D889" s="4"/>
      <c r="E889" s="4"/>
      <c r="F889" s="7"/>
      <c r="G889" s="7"/>
      <c r="H889" s="4"/>
      <c r="I889" s="4"/>
      <c r="J889" s="7"/>
      <c r="K889" s="4"/>
      <c r="L889" s="4"/>
      <c r="M889" s="4"/>
      <c r="N889" s="4"/>
      <c r="O889" s="4"/>
      <c r="P889" s="4"/>
      <c r="Q889" s="4"/>
      <c r="R889" s="4"/>
      <c r="S889" s="4"/>
      <c r="T889" s="4"/>
      <c r="U889" s="4"/>
      <c r="V889" s="4"/>
      <c r="W889" s="4"/>
      <c r="X889" s="4"/>
      <c r="Y889" s="4"/>
      <c r="Z889" s="4"/>
    </row>
    <row r="890" ht="9.75" customHeight="1">
      <c r="A890" s="4"/>
      <c r="B890" s="7"/>
      <c r="C890" s="7"/>
      <c r="D890" s="4"/>
      <c r="E890" s="4"/>
      <c r="F890" s="7"/>
      <c r="G890" s="7"/>
      <c r="H890" s="4"/>
      <c r="I890" s="4"/>
      <c r="J890" s="7"/>
      <c r="K890" s="4"/>
      <c r="L890" s="4"/>
      <c r="M890" s="4"/>
      <c r="N890" s="4"/>
      <c r="O890" s="4"/>
      <c r="P890" s="4"/>
      <c r="Q890" s="4"/>
      <c r="R890" s="4"/>
      <c r="S890" s="4"/>
      <c r="T890" s="4"/>
      <c r="U890" s="4"/>
      <c r="V890" s="4"/>
      <c r="W890" s="4"/>
      <c r="X890" s="4"/>
      <c r="Y890" s="4"/>
      <c r="Z890" s="4"/>
    </row>
    <row r="891" ht="9.75" customHeight="1">
      <c r="A891" s="4"/>
      <c r="B891" s="7"/>
      <c r="C891" s="7"/>
      <c r="D891" s="4"/>
      <c r="E891" s="4"/>
      <c r="F891" s="7"/>
      <c r="G891" s="7"/>
      <c r="H891" s="4"/>
      <c r="I891" s="4"/>
      <c r="J891" s="7"/>
      <c r="K891" s="4"/>
      <c r="L891" s="4"/>
      <c r="M891" s="4"/>
      <c r="N891" s="4"/>
      <c r="O891" s="4"/>
      <c r="P891" s="4"/>
      <c r="Q891" s="4"/>
      <c r="R891" s="4"/>
      <c r="S891" s="4"/>
      <c r="T891" s="4"/>
      <c r="U891" s="4"/>
      <c r="V891" s="4"/>
      <c r="W891" s="4"/>
      <c r="X891" s="4"/>
      <c r="Y891" s="4"/>
      <c r="Z891" s="4"/>
    </row>
    <row r="892" ht="9.75" customHeight="1">
      <c r="A892" s="4"/>
      <c r="B892" s="7"/>
      <c r="C892" s="7"/>
      <c r="D892" s="4"/>
      <c r="E892" s="4"/>
      <c r="F892" s="7"/>
      <c r="G892" s="7"/>
      <c r="H892" s="4"/>
      <c r="I892" s="4"/>
      <c r="J892" s="7"/>
      <c r="K892" s="4"/>
      <c r="L892" s="4"/>
      <c r="M892" s="4"/>
      <c r="N892" s="4"/>
      <c r="O892" s="4"/>
      <c r="P892" s="4"/>
      <c r="Q892" s="4"/>
      <c r="R892" s="4"/>
      <c r="S892" s="4"/>
      <c r="T892" s="4"/>
      <c r="U892" s="4"/>
      <c r="V892" s="4"/>
      <c r="W892" s="4"/>
      <c r="X892" s="4"/>
      <c r="Y892" s="4"/>
      <c r="Z892" s="4"/>
    </row>
    <row r="893" ht="9.75" customHeight="1">
      <c r="A893" s="4"/>
      <c r="B893" s="7"/>
      <c r="C893" s="7"/>
      <c r="D893" s="4"/>
      <c r="E893" s="4"/>
      <c r="F893" s="7"/>
      <c r="G893" s="7"/>
      <c r="H893" s="4"/>
      <c r="I893" s="4"/>
      <c r="J893" s="7"/>
      <c r="K893" s="4"/>
      <c r="L893" s="4"/>
      <c r="M893" s="4"/>
      <c r="N893" s="4"/>
      <c r="O893" s="4"/>
      <c r="P893" s="4"/>
      <c r="Q893" s="4"/>
      <c r="R893" s="4"/>
      <c r="S893" s="4"/>
      <c r="T893" s="4"/>
      <c r="U893" s="4"/>
      <c r="V893" s="4"/>
      <c r="W893" s="4"/>
      <c r="X893" s="4"/>
      <c r="Y893" s="4"/>
      <c r="Z893" s="4"/>
    </row>
    <row r="894" ht="9.75" customHeight="1">
      <c r="A894" s="4"/>
      <c r="B894" s="7"/>
      <c r="C894" s="7"/>
      <c r="D894" s="4"/>
      <c r="E894" s="4"/>
      <c r="F894" s="7"/>
      <c r="G894" s="7"/>
      <c r="H894" s="4"/>
      <c r="I894" s="4"/>
      <c r="J894" s="7"/>
      <c r="K894" s="4"/>
      <c r="L894" s="4"/>
      <c r="M894" s="4"/>
      <c r="N894" s="4"/>
      <c r="O894" s="4"/>
      <c r="P894" s="4"/>
      <c r="Q894" s="4"/>
      <c r="R894" s="4"/>
      <c r="S894" s="4"/>
      <c r="T894" s="4"/>
      <c r="U894" s="4"/>
      <c r="V894" s="4"/>
      <c r="W894" s="4"/>
      <c r="X894" s="4"/>
      <c r="Y894" s="4"/>
      <c r="Z894" s="4"/>
    </row>
    <row r="895" ht="9.75" customHeight="1">
      <c r="A895" s="4"/>
      <c r="B895" s="7"/>
      <c r="C895" s="7"/>
      <c r="D895" s="4"/>
      <c r="E895" s="4"/>
      <c r="F895" s="7"/>
      <c r="G895" s="7"/>
      <c r="H895" s="4"/>
      <c r="I895" s="4"/>
      <c r="J895" s="7"/>
      <c r="K895" s="4"/>
      <c r="L895" s="4"/>
      <c r="M895" s="4"/>
      <c r="N895" s="4"/>
      <c r="O895" s="4"/>
      <c r="P895" s="4"/>
      <c r="Q895" s="4"/>
      <c r="R895" s="4"/>
      <c r="S895" s="4"/>
      <c r="T895" s="4"/>
      <c r="U895" s="4"/>
      <c r="V895" s="4"/>
      <c r="W895" s="4"/>
      <c r="X895" s="4"/>
      <c r="Y895" s="4"/>
      <c r="Z895" s="4"/>
    </row>
    <row r="896" ht="9.75" customHeight="1">
      <c r="A896" s="4"/>
      <c r="B896" s="7"/>
      <c r="C896" s="7"/>
      <c r="D896" s="4"/>
      <c r="E896" s="4"/>
      <c r="F896" s="7"/>
      <c r="G896" s="7"/>
      <c r="H896" s="4"/>
      <c r="I896" s="4"/>
      <c r="J896" s="7"/>
      <c r="K896" s="4"/>
      <c r="L896" s="4"/>
      <c r="M896" s="4"/>
      <c r="N896" s="4"/>
      <c r="O896" s="4"/>
      <c r="P896" s="4"/>
      <c r="Q896" s="4"/>
      <c r="R896" s="4"/>
      <c r="S896" s="4"/>
      <c r="T896" s="4"/>
      <c r="U896" s="4"/>
      <c r="V896" s="4"/>
      <c r="W896" s="4"/>
      <c r="X896" s="4"/>
      <c r="Y896" s="4"/>
      <c r="Z896" s="4"/>
    </row>
    <row r="897" ht="9.75" customHeight="1">
      <c r="A897" s="4"/>
      <c r="B897" s="7"/>
      <c r="C897" s="7"/>
      <c r="D897" s="4"/>
      <c r="E897" s="4"/>
      <c r="F897" s="7"/>
      <c r="G897" s="7"/>
      <c r="H897" s="4"/>
      <c r="I897" s="4"/>
      <c r="J897" s="7"/>
      <c r="K897" s="4"/>
      <c r="L897" s="4"/>
      <c r="M897" s="4"/>
      <c r="N897" s="4"/>
      <c r="O897" s="4"/>
      <c r="P897" s="4"/>
      <c r="Q897" s="4"/>
      <c r="R897" s="4"/>
      <c r="S897" s="4"/>
      <c r="T897" s="4"/>
      <c r="U897" s="4"/>
      <c r="V897" s="4"/>
      <c r="W897" s="4"/>
      <c r="X897" s="4"/>
      <c r="Y897" s="4"/>
      <c r="Z897" s="4"/>
    </row>
    <row r="898" ht="9.75" customHeight="1">
      <c r="A898" s="4"/>
      <c r="B898" s="7"/>
      <c r="C898" s="7"/>
      <c r="D898" s="4"/>
      <c r="E898" s="4"/>
      <c r="F898" s="7"/>
      <c r="G898" s="7"/>
      <c r="H898" s="4"/>
      <c r="I898" s="4"/>
      <c r="J898" s="7"/>
      <c r="K898" s="4"/>
      <c r="L898" s="4"/>
      <c r="M898" s="4"/>
      <c r="N898" s="4"/>
      <c r="O898" s="4"/>
      <c r="P898" s="4"/>
      <c r="Q898" s="4"/>
      <c r="R898" s="4"/>
      <c r="S898" s="4"/>
      <c r="T898" s="4"/>
      <c r="U898" s="4"/>
      <c r="V898" s="4"/>
      <c r="W898" s="4"/>
      <c r="X898" s="4"/>
      <c r="Y898" s="4"/>
      <c r="Z898" s="4"/>
    </row>
    <row r="899" ht="9.75" customHeight="1">
      <c r="A899" s="4"/>
      <c r="B899" s="7"/>
      <c r="C899" s="7"/>
      <c r="D899" s="4"/>
      <c r="E899" s="4"/>
      <c r="F899" s="7"/>
      <c r="G899" s="7"/>
      <c r="H899" s="4"/>
      <c r="I899" s="4"/>
      <c r="J899" s="7"/>
      <c r="K899" s="4"/>
      <c r="L899" s="4"/>
      <c r="M899" s="4"/>
      <c r="N899" s="4"/>
      <c r="O899" s="4"/>
      <c r="P899" s="4"/>
      <c r="Q899" s="4"/>
      <c r="R899" s="4"/>
      <c r="S899" s="4"/>
      <c r="T899" s="4"/>
      <c r="U899" s="4"/>
      <c r="V899" s="4"/>
      <c r="W899" s="4"/>
      <c r="X899" s="4"/>
      <c r="Y899" s="4"/>
      <c r="Z899" s="4"/>
    </row>
    <row r="900" ht="9.75" customHeight="1">
      <c r="A900" s="4"/>
      <c r="B900" s="7"/>
      <c r="C900" s="7"/>
      <c r="D900" s="4"/>
      <c r="E900" s="4"/>
      <c r="F900" s="7"/>
      <c r="G900" s="7"/>
      <c r="H900" s="4"/>
      <c r="I900" s="4"/>
      <c r="J900" s="7"/>
      <c r="K900" s="4"/>
      <c r="L900" s="4"/>
      <c r="M900" s="4"/>
      <c r="N900" s="4"/>
      <c r="O900" s="4"/>
      <c r="P900" s="4"/>
      <c r="Q900" s="4"/>
      <c r="R900" s="4"/>
      <c r="S900" s="4"/>
      <c r="T900" s="4"/>
      <c r="U900" s="4"/>
      <c r="V900" s="4"/>
      <c r="W900" s="4"/>
      <c r="X900" s="4"/>
      <c r="Y900" s="4"/>
      <c r="Z900" s="4"/>
    </row>
    <row r="901" ht="9.75" customHeight="1">
      <c r="A901" s="4"/>
      <c r="B901" s="7"/>
      <c r="C901" s="7"/>
      <c r="D901" s="4"/>
      <c r="E901" s="4"/>
      <c r="F901" s="7"/>
      <c r="G901" s="7"/>
      <c r="H901" s="4"/>
      <c r="I901" s="4"/>
      <c r="J901" s="7"/>
      <c r="K901" s="4"/>
      <c r="L901" s="4"/>
      <c r="M901" s="4"/>
      <c r="N901" s="4"/>
      <c r="O901" s="4"/>
      <c r="P901" s="4"/>
      <c r="Q901" s="4"/>
      <c r="R901" s="4"/>
      <c r="S901" s="4"/>
      <c r="T901" s="4"/>
      <c r="U901" s="4"/>
      <c r="V901" s="4"/>
      <c r="W901" s="4"/>
      <c r="X901" s="4"/>
      <c r="Y901" s="4"/>
      <c r="Z901" s="4"/>
    </row>
    <row r="902" ht="9.75" customHeight="1">
      <c r="A902" s="4"/>
      <c r="B902" s="7"/>
      <c r="C902" s="7"/>
      <c r="D902" s="4"/>
      <c r="E902" s="4"/>
      <c r="F902" s="7"/>
      <c r="G902" s="7"/>
      <c r="H902" s="4"/>
      <c r="I902" s="4"/>
      <c r="J902" s="7"/>
      <c r="K902" s="4"/>
      <c r="L902" s="4"/>
      <c r="M902" s="4"/>
      <c r="N902" s="4"/>
      <c r="O902" s="4"/>
      <c r="P902" s="4"/>
      <c r="Q902" s="4"/>
      <c r="R902" s="4"/>
      <c r="S902" s="4"/>
      <c r="T902" s="4"/>
      <c r="U902" s="4"/>
      <c r="V902" s="4"/>
      <c r="W902" s="4"/>
      <c r="X902" s="4"/>
      <c r="Y902" s="4"/>
      <c r="Z902" s="4"/>
    </row>
    <row r="903" ht="9.75" customHeight="1">
      <c r="A903" s="4"/>
      <c r="B903" s="7"/>
      <c r="C903" s="7"/>
      <c r="D903" s="4"/>
      <c r="E903" s="4"/>
      <c r="F903" s="7"/>
      <c r="G903" s="7"/>
      <c r="H903" s="4"/>
      <c r="I903" s="4"/>
      <c r="J903" s="7"/>
      <c r="K903" s="4"/>
      <c r="L903" s="4"/>
      <c r="M903" s="4"/>
      <c r="N903" s="4"/>
      <c r="O903" s="4"/>
      <c r="P903" s="4"/>
      <c r="Q903" s="4"/>
      <c r="R903" s="4"/>
      <c r="S903" s="4"/>
      <c r="T903" s="4"/>
      <c r="U903" s="4"/>
      <c r="V903" s="4"/>
      <c r="W903" s="4"/>
      <c r="X903" s="4"/>
      <c r="Y903" s="4"/>
      <c r="Z903" s="4"/>
    </row>
    <row r="904" ht="9.75" customHeight="1">
      <c r="A904" s="4"/>
      <c r="B904" s="7"/>
      <c r="C904" s="7"/>
      <c r="D904" s="4"/>
      <c r="E904" s="4"/>
      <c r="F904" s="7"/>
      <c r="G904" s="7"/>
      <c r="H904" s="4"/>
      <c r="I904" s="4"/>
      <c r="J904" s="7"/>
      <c r="K904" s="4"/>
      <c r="L904" s="4"/>
      <c r="M904" s="4"/>
      <c r="N904" s="4"/>
      <c r="O904" s="4"/>
      <c r="P904" s="4"/>
      <c r="Q904" s="4"/>
      <c r="R904" s="4"/>
      <c r="S904" s="4"/>
      <c r="T904" s="4"/>
      <c r="U904" s="4"/>
      <c r="V904" s="4"/>
      <c r="W904" s="4"/>
      <c r="X904" s="4"/>
      <c r="Y904" s="4"/>
      <c r="Z904" s="4"/>
    </row>
    <row r="905" ht="9.75" customHeight="1">
      <c r="A905" s="4"/>
      <c r="B905" s="7"/>
      <c r="C905" s="7"/>
      <c r="D905" s="4"/>
      <c r="E905" s="4"/>
      <c r="F905" s="7"/>
      <c r="G905" s="7"/>
      <c r="H905" s="4"/>
      <c r="I905" s="4"/>
      <c r="J905" s="7"/>
      <c r="K905" s="4"/>
      <c r="L905" s="4"/>
      <c r="M905" s="4"/>
      <c r="N905" s="4"/>
      <c r="O905" s="4"/>
      <c r="P905" s="4"/>
      <c r="Q905" s="4"/>
      <c r="R905" s="4"/>
      <c r="S905" s="4"/>
      <c r="T905" s="4"/>
      <c r="U905" s="4"/>
      <c r="V905" s="4"/>
      <c r="W905" s="4"/>
      <c r="X905" s="4"/>
      <c r="Y905" s="4"/>
      <c r="Z905" s="4"/>
    </row>
    <row r="906" ht="9.75" customHeight="1">
      <c r="A906" s="4"/>
      <c r="B906" s="7"/>
      <c r="C906" s="7"/>
      <c r="D906" s="4"/>
      <c r="E906" s="4"/>
      <c r="F906" s="7"/>
      <c r="G906" s="7"/>
      <c r="H906" s="4"/>
      <c r="I906" s="4"/>
      <c r="J906" s="7"/>
      <c r="K906" s="4"/>
      <c r="L906" s="4"/>
      <c r="M906" s="4"/>
      <c r="N906" s="4"/>
      <c r="O906" s="4"/>
      <c r="P906" s="4"/>
      <c r="Q906" s="4"/>
      <c r="R906" s="4"/>
      <c r="S906" s="4"/>
      <c r="T906" s="4"/>
      <c r="U906" s="4"/>
      <c r="V906" s="4"/>
      <c r="W906" s="4"/>
      <c r="X906" s="4"/>
      <c r="Y906" s="4"/>
      <c r="Z906" s="4"/>
    </row>
    <row r="907" ht="9.75" customHeight="1">
      <c r="A907" s="4"/>
      <c r="B907" s="7"/>
      <c r="C907" s="7"/>
      <c r="D907" s="4"/>
      <c r="E907" s="4"/>
      <c r="F907" s="7"/>
      <c r="G907" s="7"/>
      <c r="H907" s="4"/>
      <c r="I907" s="4"/>
      <c r="J907" s="7"/>
      <c r="K907" s="4"/>
      <c r="L907" s="4"/>
      <c r="M907" s="4"/>
      <c r="N907" s="4"/>
      <c r="O907" s="4"/>
      <c r="P907" s="4"/>
      <c r="Q907" s="4"/>
      <c r="R907" s="4"/>
      <c r="S907" s="4"/>
      <c r="T907" s="4"/>
      <c r="U907" s="4"/>
      <c r="V907" s="4"/>
      <c r="W907" s="4"/>
      <c r="X907" s="4"/>
      <c r="Y907" s="4"/>
      <c r="Z907" s="4"/>
    </row>
    <row r="908" ht="9.75" customHeight="1">
      <c r="A908" s="4"/>
      <c r="B908" s="7"/>
      <c r="C908" s="7"/>
      <c r="D908" s="4"/>
      <c r="E908" s="4"/>
      <c r="F908" s="7"/>
      <c r="G908" s="7"/>
      <c r="H908" s="4"/>
      <c r="I908" s="4"/>
      <c r="J908" s="7"/>
      <c r="K908" s="4"/>
      <c r="L908" s="4"/>
      <c r="M908" s="4"/>
      <c r="N908" s="4"/>
      <c r="O908" s="4"/>
      <c r="P908" s="4"/>
      <c r="Q908" s="4"/>
      <c r="R908" s="4"/>
      <c r="S908" s="4"/>
      <c r="T908" s="4"/>
      <c r="U908" s="4"/>
      <c r="V908" s="4"/>
      <c r="W908" s="4"/>
      <c r="X908" s="4"/>
      <c r="Y908" s="4"/>
      <c r="Z908" s="4"/>
    </row>
    <row r="909" ht="9.75" customHeight="1">
      <c r="A909" s="4"/>
      <c r="B909" s="7"/>
      <c r="C909" s="7"/>
      <c r="D909" s="4"/>
      <c r="E909" s="4"/>
      <c r="F909" s="7"/>
      <c r="G909" s="7"/>
      <c r="H909" s="4"/>
      <c r="I909" s="4"/>
      <c r="J909" s="7"/>
      <c r="K909" s="4"/>
      <c r="L909" s="4"/>
      <c r="M909" s="4"/>
      <c r="N909" s="4"/>
      <c r="O909" s="4"/>
      <c r="P909" s="4"/>
      <c r="Q909" s="4"/>
      <c r="R909" s="4"/>
      <c r="S909" s="4"/>
      <c r="T909" s="4"/>
      <c r="U909" s="4"/>
      <c r="V909" s="4"/>
      <c r="W909" s="4"/>
      <c r="X909" s="4"/>
      <c r="Y909" s="4"/>
      <c r="Z909" s="4"/>
    </row>
    <row r="910" ht="9.75" customHeight="1">
      <c r="A910" s="4"/>
      <c r="B910" s="7"/>
      <c r="C910" s="7"/>
      <c r="D910" s="4"/>
      <c r="E910" s="4"/>
      <c r="F910" s="7"/>
      <c r="G910" s="7"/>
      <c r="H910" s="4"/>
      <c r="I910" s="4"/>
      <c r="J910" s="7"/>
      <c r="K910" s="4"/>
      <c r="L910" s="4"/>
      <c r="M910" s="4"/>
      <c r="N910" s="4"/>
      <c r="O910" s="4"/>
      <c r="P910" s="4"/>
      <c r="Q910" s="4"/>
      <c r="R910" s="4"/>
      <c r="S910" s="4"/>
      <c r="T910" s="4"/>
      <c r="U910" s="4"/>
      <c r="V910" s="4"/>
      <c r="W910" s="4"/>
      <c r="X910" s="4"/>
      <c r="Y910" s="4"/>
      <c r="Z910" s="4"/>
    </row>
    <row r="911" ht="9.75" customHeight="1">
      <c r="A911" s="4"/>
      <c r="B911" s="7"/>
      <c r="C911" s="7"/>
      <c r="D911" s="4"/>
      <c r="E911" s="4"/>
      <c r="F911" s="7"/>
      <c r="G911" s="7"/>
      <c r="H911" s="4"/>
      <c r="I911" s="4"/>
      <c r="J911" s="7"/>
      <c r="K911" s="4"/>
      <c r="L911" s="4"/>
      <c r="M911" s="4"/>
      <c r="N911" s="4"/>
      <c r="O911" s="4"/>
      <c r="P911" s="4"/>
      <c r="Q911" s="4"/>
      <c r="R911" s="4"/>
      <c r="S911" s="4"/>
      <c r="T911" s="4"/>
      <c r="U911" s="4"/>
      <c r="V911" s="4"/>
      <c r="W911" s="4"/>
      <c r="X911" s="4"/>
      <c r="Y911" s="4"/>
      <c r="Z911" s="4"/>
    </row>
    <row r="912" ht="9.75" customHeight="1">
      <c r="A912" s="4"/>
      <c r="B912" s="7"/>
      <c r="C912" s="7"/>
      <c r="D912" s="4"/>
      <c r="E912" s="4"/>
      <c r="F912" s="7"/>
      <c r="G912" s="7"/>
      <c r="H912" s="4"/>
      <c r="I912" s="4"/>
      <c r="J912" s="7"/>
      <c r="K912" s="4"/>
      <c r="L912" s="4"/>
      <c r="M912" s="4"/>
      <c r="N912" s="4"/>
      <c r="O912" s="4"/>
      <c r="P912" s="4"/>
      <c r="Q912" s="4"/>
      <c r="R912" s="4"/>
      <c r="S912" s="4"/>
      <c r="T912" s="4"/>
      <c r="U912" s="4"/>
      <c r="V912" s="4"/>
      <c r="W912" s="4"/>
      <c r="X912" s="4"/>
      <c r="Y912" s="4"/>
      <c r="Z912" s="4"/>
    </row>
    <row r="913" ht="9.75" customHeight="1">
      <c r="A913" s="4"/>
      <c r="B913" s="7"/>
      <c r="C913" s="7"/>
      <c r="D913" s="4"/>
      <c r="E913" s="4"/>
      <c r="F913" s="7"/>
      <c r="G913" s="7"/>
      <c r="H913" s="4"/>
      <c r="I913" s="4"/>
      <c r="J913" s="7"/>
      <c r="K913" s="4"/>
      <c r="L913" s="4"/>
      <c r="M913" s="4"/>
      <c r="N913" s="4"/>
      <c r="O913" s="4"/>
      <c r="P913" s="4"/>
      <c r="Q913" s="4"/>
      <c r="R913" s="4"/>
      <c r="S913" s="4"/>
      <c r="T913" s="4"/>
      <c r="U913" s="4"/>
      <c r="V913" s="4"/>
      <c r="W913" s="4"/>
      <c r="X913" s="4"/>
      <c r="Y913" s="4"/>
      <c r="Z913" s="4"/>
    </row>
    <row r="914" ht="9.75" customHeight="1">
      <c r="A914" s="4"/>
      <c r="B914" s="7"/>
      <c r="C914" s="7"/>
      <c r="D914" s="4"/>
      <c r="E914" s="4"/>
      <c r="F914" s="7"/>
      <c r="G914" s="7"/>
      <c r="H914" s="4"/>
      <c r="I914" s="4"/>
      <c r="J914" s="7"/>
      <c r="K914" s="4"/>
      <c r="L914" s="4"/>
      <c r="M914" s="4"/>
      <c r="N914" s="4"/>
      <c r="O914" s="4"/>
      <c r="P914" s="4"/>
      <c r="Q914" s="4"/>
      <c r="R914" s="4"/>
      <c r="S914" s="4"/>
      <c r="T914" s="4"/>
      <c r="U914" s="4"/>
      <c r="V914" s="4"/>
      <c r="W914" s="4"/>
      <c r="X914" s="4"/>
      <c r="Y914" s="4"/>
      <c r="Z914" s="4"/>
    </row>
    <row r="915" ht="9.75" customHeight="1">
      <c r="A915" s="4"/>
      <c r="B915" s="7"/>
      <c r="C915" s="7"/>
      <c r="D915" s="4"/>
      <c r="E915" s="4"/>
      <c r="F915" s="7"/>
      <c r="G915" s="7"/>
      <c r="H915" s="4"/>
      <c r="I915" s="4"/>
      <c r="J915" s="7"/>
      <c r="K915" s="4"/>
      <c r="L915" s="4"/>
      <c r="M915" s="4"/>
      <c r="N915" s="4"/>
      <c r="O915" s="4"/>
      <c r="P915" s="4"/>
      <c r="Q915" s="4"/>
      <c r="R915" s="4"/>
      <c r="S915" s="4"/>
      <c r="T915" s="4"/>
      <c r="U915" s="4"/>
      <c r="V915" s="4"/>
      <c r="W915" s="4"/>
      <c r="X915" s="4"/>
      <c r="Y915" s="4"/>
      <c r="Z915" s="4"/>
    </row>
    <row r="916" ht="9.75" customHeight="1">
      <c r="A916" s="4"/>
      <c r="B916" s="7"/>
      <c r="C916" s="7"/>
      <c r="D916" s="4"/>
      <c r="E916" s="4"/>
      <c r="F916" s="7"/>
      <c r="G916" s="7"/>
      <c r="H916" s="4"/>
      <c r="I916" s="4"/>
      <c r="J916" s="7"/>
      <c r="K916" s="4"/>
      <c r="L916" s="4"/>
      <c r="M916" s="4"/>
      <c r="N916" s="4"/>
      <c r="O916" s="4"/>
      <c r="P916" s="4"/>
      <c r="Q916" s="4"/>
      <c r="R916" s="4"/>
      <c r="S916" s="4"/>
      <c r="T916" s="4"/>
      <c r="U916" s="4"/>
      <c r="V916" s="4"/>
      <c r="W916" s="4"/>
      <c r="X916" s="4"/>
      <c r="Y916" s="4"/>
      <c r="Z916" s="4"/>
    </row>
    <row r="917" ht="9.75" customHeight="1">
      <c r="A917" s="4"/>
      <c r="B917" s="7"/>
      <c r="C917" s="7"/>
      <c r="D917" s="4"/>
      <c r="E917" s="4"/>
      <c r="F917" s="7"/>
      <c r="G917" s="7"/>
      <c r="H917" s="4"/>
      <c r="I917" s="4"/>
      <c r="J917" s="7"/>
      <c r="K917" s="4"/>
      <c r="L917" s="4"/>
      <c r="M917" s="4"/>
      <c r="N917" s="4"/>
      <c r="O917" s="4"/>
      <c r="P917" s="4"/>
      <c r="Q917" s="4"/>
      <c r="R917" s="4"/>
      <c r="S917" s="4"/>
      <c r="T917" s="4"/>
      <c r="U917" s="4"/>
      <c r="V917" s="4"/>
      <c r="W917" s="4"/>
      <c r="X917" s="4"/>
      <c r="Y917" s="4"/>
      <c r="Z917" s="4"/>
    </row>
    <row r="918" ht="9.75" customHeight="1">
      <c r="A918" s="4"/>
      <c r="B918" s="7"/>
      <c r="C918" s="7"/>
      <c r="D918" s="4"/>
      <c r="E918" s="4"/>
      <c r="F918" s="7"/>
      <c r="G918" s="7"/>
      <c r="H918" s="4"/>
      <c r="I918" s="4"/>
      <c r="J918" s="7"/>
      <c r="K918" s="4"/>
      <c r="L918" s="4"/>
      <c r="M918" s="4"/>
      <c r="N918" s="4"/>
      <c r="O918" s="4"/>
      <c r="P918" s="4"/>
      <c r="Q918" s="4"/>
      <c r="R918" s="4"/>
      <c r="S918" s="4"/>
      <c r="T918" s="4"/>
      <c r="U918" s="4"/>
      <c r="V918" s="4"/>
      <c r="W918" s="4"/>
      <c r="X918" s="4"/>
      <c r="Y918" s="4"/>
      <c r="Z918" s="4"/>
    </row>
    <row r="919" ht="9.75" customHeight="1">
      <c r="A919" s="4"/>
      <c r="B919" s="7"/>
      <c r="C919" s="7"/>
      <c r="D919" s="4"/>
      <c r="E919" s="4"/>
      <c r="F919" s="7"/>
      <c r="G919" s="7"/>
      <c r="H919" s="4"/>
      <c r="I919" s="4"/>
      <c r="J919" s="7"/>
      <c r="K919" s="4"/>
      <c r="L919" s="4"/>
      <c r="M919" s="4"/>
      <c r="N919" s="4"/>
      <c r="O919" s="4"/>
      <c r="P919" s="4"/>
      <c r="Q919" s="4"/>
      <c r="R919" s="4"/>
      <c r="S919" s="4"/>
      <c r="T919" s="4"/>
      <c r="U919" s="4"/>
      <c r="V919" s="4"/>
      <c r="W919" s="4"/>
      <c r="X919" s="4"/>
      <c r="Y919" s="4"/>
      <c r="Z919" s="4"/>
    </row>
    <row r="920" ht="9.75" customHeight="1">
      <c r="A920" s="4"/>
      <c r="B920" s="7"/>
      <c r="C920" s="7"/>
      <c r="D920" s="4"/>
      <c r="E920" s="4"/>
      <c r="F920" s="7"/>
      <c r="G920" s="7"/>
      <c r="H920" s="4"/>
      <c r="I920" s="4"/>
      <c r="J920" s="7"/>
      <c r="K920" s="4"/>
      <c r="L920" s="4"/>
      <c r="M920" s="4"/>
      <c r="N920" s="4"/>
      <c r="O920" s="4"/>
      <c r="P920" s="4"/>
      <c r="Q920" s="4"/>
      <c r="R920" s="4"/>
      <c r="S920" s="4"/>
      <c r="T920" s="4"/>
      <c r="U920" s="4"/>
      <c r="V920" s="4"/>
      <c r="W920" s="4"/>
      <c r="X920" s="4"/>
      <c r="Y920" s="4"/>
      <c r="Z920" s="4"/>
    </row>
    <row r="921" ht="9.75" customHeight="1">
      <c r="A921" s="4"/>
      <c r="B921" s="7"/>
      <c r="C921" s="7"/>
      <c r="D921" s="4"/>
      <c r="E921" s="4"/>
      <c r="F921" s="7"/>
      <c r="G921" s="7"/>
      <c r="H921" s="4"/>
      <c r="I921" s="4"/>
      <c r="J921" s="7"/>
      <c r="K921" s="4"/>
      <c r="L921" s="4"/>
      <c r="M921" s="4"/>
      <c r="N921" s="4"/>
      <c r="O921" s="4"/>
      <c r="P921" s="4"/>
      <c r="Q921" s="4"/>
      <c r="R921" s="4"/>
      <c r="S921" s="4"/>
      <c r="T921" s="4"/>
      <c r="U921" s="4"/>
      <c r="V921" s="4"/>
      <c r="W921" s="4"/>
      <c r="X921" s="4"/>
      <c r="Y921" s="4"/>
      <c r="Z921" s="4"/>
    </row>
    <row r="922" ht="9.75" customHeight="1">
      <c r="A922" s="4"/>
      <c r="B922" s="7"/>
      <c r="C922" s="7"/>
      <c r="D922" s="4"/>
      <c r="E922" s="4"/>
      <c r="F922" s="7"/>
      <c r="G922" s="7"/>
      <c r="H922" s="4"/>
      <c r="I922" s="4"/>
      <c r="J922" s="7"/>
      <c r="K922" s="4"/>
      <c r="L922" s="4"/>
      <c r="M922" s="4"/>
      <c r="N922" s="4"/>
      <c r="O922" s="4"/>
      <c r="P922" s="4"/>
      <c r="Q922" s="4"/>
      <c r="R922" s="4"/>
      <c r="S922" s="4"/>
      <c r="T922" s="4"/>
      <c r="U922" s="4"/>
      <c r="V922" s="4"/>
      <c r="W922" s="4"/>
      <c r="X922" s="4"/>
      <c r="Y922" s="4"/>
      <c r="Z922" s="4"/>
    </row>
    <row r="923" ht="9.75" customHeight="1">
      <c r="A923" s="4"/>
      <c r="B923" s="7"/>
      <c r="C923" s="7"/>
      <c r="D923" s="4"/>
      <c r="E923" s="4"/>
      <c r="F923" s="7"/>
      <c r="G923" s="7"/>
      <c r="H923" s="4"/>
      <c r="I923" s="4"/>
      <c r="J923" s="7"/>
      <c r="K923" s="4"/>
      <c r="L923" s="4"/>
      <c r="M923" s="4"/>
      <c r="N923" s="4"/>
      <c r="O923" s="4"/>
      <c r="P923" s="4"/>
      <c r="Q923" s="4"/>
      <c r="R923" s="4"/>
      <c r="S923" s="4"/>
      <c r="T923" s="4"/>
      <c r="U923" s="4"/>
      <c r="V923" s="4"/>
      <c r="W923" s="4"/>
      <c r="X923" s="4"/>
      <c r="Y923" s="4"/>
      <c r="Z923" s="4"/>
    </row>
    <row r="924" ht="9.75" customHeight="1">
      <c r="A924" s="4"/>
      <c r="B924" s="7"/>
      <c r="C924" s="7"/>
      <c r="D924" s="4"/>
      <c r="E924" s="4"/>
      <c r="F924" s="7"/>
      <c r="G924" s="7"/>
      <c r="H924" s="4"/>
      <c r="I924" s="4"/>
      <c r="J924" s="7"/>
      <c r="K924" s="4"/>
      <c r="L924" s="4"/>
      <c r="M924" s="4"/>
      <c r="N924" s="4"/>
      <c r="O924" s="4"/>
      <c r="P924" s="4"/>
      <c r="Q924" s="4"/>
      <c r="R924" s="4"/>
      <c r="S924" s="4"/>
      <c r="T924" s="4"/>
      <c r="U924" s="4"/>
      <c r="V924" s="4"/>
      <c r="W924" s="4"/>
      <c r="X924" s="4"/>
      <c r="Y924" s="4"/>
      <c r="Z924" s="4"/>
    </row>
    <row r="925" ht="9.75" customHeight="1">
      <c r="A925" s="4"/>
      <c r="B925" s="7"/>
      <c r="C925" s="7"/>
      <c r="D925" s="4"/>
      <c r="E925" s="4"/>
      <c r="F925" s="7"/>
      <c r="G925" s="7"/>
      <c r="H925" s="4"/>
      <c r="I925" s="4"/>
      <c r="J925" s="7"/>
      <c r="K925" s="4"/>
      <c r="L925" s="4"/>
      <c r="M925" s="4"/>
      <c r="N925" s="4"/>
      <c r="O925" s="4"/>
      <c r="P925" s="4"/>
      <c r="Q925" s="4"/>
      <c r="R925" s="4"/>
      <c r="S925" s="4"/>
      <c r="T925" s="4"/>
      <c r="U925" s="4"/>
      <c r="V925" s="4"/>
      <c r="W925" s="4"/>
      <c r="X925" s="4"/>
      <c r="Y925" s="4"/>
      <c r="Z925" s="4"/>
    </row>
    <row r="926" ht="9.75" customHeight="1">
      <c r="A926" s="4"/>
      <c r="B926" s="7"/>
      <c r="C926" s="7"/>
      <c r="D926" s="4"/>
      <c r="E926" s="4"/>
      <c r="F926" s="7"/>
      <c r="G926" s="7"/>
      <c r="H926" s="4"/>
      <c r="I926" s="4"/>
      <c r="J926" s="7"/>
      <c r="K926" s="4"/>
      <c r="L926" s="4"/>
      <c r="M926" s="4"/>
      <c r="N926" s="4"/>
      <c r="O926" s="4"/>
      <c r="P926" s="4"/>
      <c r="Q926" s="4"/>
      <c r="R926" s="4"/>
      <c r="S926" s="4"/>
      <c r="T926" s="4"/>
      <c r="U926" s="4"/>
      <c r="V926" s="4"/>
      <c r="W926" s="4"/>
      <c r="X926" s="4"/>
      <c r="Y926" s="4"/>
      <c r="Z926" s="4"/>
    </row>
    <row r="927" ht="9.75" customHeight="1">
      <c r="A927" s="4"/>
      <c r="B927" s="7"/>
      <c r="C927" s="7"/>
      <c r="D927" s="4"/>
      <c r="E927" s="4"/>
      <c r="F927" s="7"/>
      <c r="G927" s="7"/>
      <c r="H927" s="4"/>
      <c r="I927" s="4"/>
      <c r="J927" s="7"/>
      <c r="K927" s="4"/>
      <c r="L927" s="4"/>
      <c r="M927" s="4"/>
      <c r="N927" s="4"/>
      <c r="O927" s="4"/>
      <c r="P927" s="4"/>
      <c r="Q927" s="4"/>
      <c r="R927" s="4"/>
      <c r="S927" s="4"/>
      <c r="T927" s="4"/>
      <c r="U927" s="4"/>
      <c r="V927" s="4"/>
      <c r="W927" s="4"/>
      <c r="X927" s="4"/>
      <c r="Y927" s="4"/>
      <c r="Z927" s="4"/>
    </row>
    <row r="928" ht="9.75" customHeight="1">
      <c r="A928" s="4"/>
      <c r="B928" s="7"/>
      <c r="C928" s="7"/>
      <c r="D928" s="4"/>
      <c r="E928" s="4"/>
      <c r="F928" s="7"/>
      <c r="G928" s="7"/>
      <c r="H928" s="4"/>
      <c r="I928" s="4"/>
      <c r="J928" s="7"/>
      <c r="K928" s="4"/>
      <c r="L928" s="4"/>
      <c r="M928" s="4"/>
      <c r="N928" s="4"/>
      <c r="O928" s="4"/>
      <c r="P928" s="4"/>
      <c r="Q928" s="4"/>
      <c r="R928" s="4"/>
      <c r="S928" s="4"/>
      <c r="T928" s="4"/>
      <c r="U928" s="4"/>
      <c r="V928" s="4"/>
      <c r="W928" s="4"/>
      <c r="X928" s="4"/>
      <c r="Y928" s="4"/>
      <c r="Z928" s="4"/>
    </row>
    <row r="929" ht="9.75" customHeight="1">
      <c r="A929" s="4"/>
      <c r="B929" s="7"/>
      <c r="C929" s="7"/>
      <c r="D929" s="4"/>
      <c r="E929" s="4"/>
      <c r="F929" s="7"/>
      <c r="G929" s="7"/>
      <c r="H929" s="4"/>
      <c r="I929" s="4"/>
      <c r="J929" s="7"/>
      <c r="K929" s="4"/>
      <c r="L929" s="4"/>
      <c r="M929" s="4"/>
      <c r="N929" s="4"/>
      <c r="O929" s="4"/>
      <c r="P929" s="4"/>
      <c r="Q929" s="4"/>
      <c r="R929" s="4"/>
      <c r="S929" s="4"/>
      <c r="T929" s="4"/>
      <c r="U929" s="4"/>
      <c r="V929" s="4"/>
      <c r="W929" s="4"/>
      <c r="X929" s="4"/>
      <c r="Y929" s="4"/>
      <c r="Z929" s="4"/>
    </row>
    <row r="930" ht="9.75" customHeight="1">
      <c r="A930" s="4"/>
      <c r="B930" s="7"/>
      <c r="C930" s="7"/>
      <c r="D930" s="4"/>
      <c r="E930" s="4"/>
      <c r="F930" s="7"/>
      <c r="G930" s="7"/>
      <c r="H930" s="4"/>
      <c r="I930" s="4"/>
      <c r="J930" s="7"/>
      <c r="K930" s="4"/>
      <c r="L930" s="4"/>
      <c r="M930" s="4"/>
      <c r="N930" s="4"/>
      <c r="O930" s="4"/>
      <c r="P930" s="4"/>
      <c r="Q930" s="4"/>
      <c r="R930" s="4"/>
      <c r="S930" s="4"/>
      <c r="T930" s="4"/>
      <c r="U930" s="4"/>
      <c r="V930" s="4"/>
      <c r="W930" s="4"/>
      <c r="X930" s="4"/>
      <c r="Y930" s="4"/>
      <c r="Z930" s="4"/>
    </row>
    <row r="931" ht="9.75" customHeight="1">
      <c r="A931" s="4"/>
      <c r="B931" s="7"/>
      <c r="C931" s="7"/>
      <c r="D931" s="4"/>
      <c r="E931" s="4"/>
      <c r="F931" s="7"/>
      <c r="G931" s="7"/>
      <c r="H931" s="4"/>
      <c r="I931" s="4"/>
      <c r="J931" s="7"/>
      <c r="K931" s="4"/>
      <c r="L931" s="4"/>
      <c r="M931" s="4"/>
      <c r="N931" s="4"/>
      <c r="O931" s="4"/>
      <c r="P931" s="4"/>
      <c r="Q931" s="4"/>
      <c r="R931" s="4"/>
      <c r="S931" s="4"/>
      <c r="T931" s="4"/>
      <c r="U931" s="4"/>
      <c r="V931" s="4"/>
      <c r="W931" s="4"/>
      <c r="X931" s="4"/>
      <c r="Y931" s="4"/>
      <c r="Z931" s="4"/>
    </row>
    <row r="932" ht="9.75" customHeight="1">
      <c r="A932" s="4"/>
      <c r="B932" s="7"/>
      <c r="C932" s="7"/>
      <c r="D932" s="4"/>
      <c r="E932" s="4"/>
      <c r="F932" s="7"/>
      <c r="G932" s="7"/>
      <c r="H932" s="4"/>
      <c r="I932" s="4"/>
      <c r="J932" s="7"/>
      <c r="K932" s="4"/>
      <c r="L932" s="4"/>
      <c r="M932" s="4"/>
      <c r="N932" s="4"/>
      <c r="O932" s="4"/>
      <c r="P932" s="4"/>
      <c r="Q932" s="4"/>
      <c r="R932" s="4"/>
      <c r="S932" s="4"/>
      <c r="T932" s="4"/>
      <c r="U932" s="4"/>
      <c r="V932" s="4"/>
      <c r="W932" s="4"/>
      <c r="X932" s="4"/>
      <c r="Y932" s="4"/>
      <c r="Z932" s="4"/>
    </row>
    <row r="933" ht="9.75" customHeight="1">
      <c r="A933" s="4"/>
      <c r="B933" s="7"/>
      <c r="C933" s="7"/>
      <c r="D933" s="4"/>
      <c r="E933" s="4"/>
      <c r="F933" s="7"/>
      <c r="G933" s="7"/>
      <c r="H933" s="4"/>
      <c r="I933" s="4"/>
      <c r="J933" s="7"/>
      <c r="K933" s="4"/>
      <c r="L933" s="4"/>
      <c r="M933" s="4"/>
      <c r="N933" s="4"/>
      <c r="O933" s="4"/>
      <c r="P933" s="4"/>
      <c r="Q933" s="4"/>
      <c r="R933" s="4"/>
      <c r="S933" s="4"/>
      <c r="T933" s="4"/>
      <c r="U933" s="4"/>
      <c r="V933" s="4"/>
      <c r="W933" s="4"/>
      <c r="X933" s="4"/>
      <c r="Y933" s="4"/>
      <c r="Z933" s="4"/>
    </row>
    <row r="934" ht="9.75" customHeight="1">
      <c r="A934" s="4"/>
      <c r="B934" s="7"/>
      <c r="C934" s="7"/>
      <c r="D934" s="4"/>
      <c r="E934" s="4"/>
      <c r="F934" s="7"/>
      <c r="G934" s="7"/>
      <c r="H934" s="4"/>
      <c r="I934" s="4"/>
      <c r="J934" s="7"/>
      <c r="K934" s="4"/>
      <c r="L934" s="4"/>
      <c r="M934" s="4"/>
      <c r="N934" s="4"/>
      <c r="O934" s="4"/>
      <c r="P934" s="4"/>
      <c r="Q934" s="4"/>
      <c r="R934" s="4"/>
      <c r="S934" s="4"/>
      <c r="T934" s="4"/>
      <c r="U934" s="4"/>
      <c r="V934" s="4"/>
      <c r="W934" s="4"/>
      <c r="X934" s="4"/>
      <c r="Y934" s="4"/>
      <c r="Z934" s="4"/>
    </row>
    <row r="935" ht="9.75" customHeight="1">
      <c r="A935" s="4"/>
      <c r="B935" s="7"/>
      <c r="C935" s="7"/>
      <c r="D935" s="4"/>
      <c r="E935" s="4"/>
      <c r="F935" s="7"/>
      <c r="G935" s="7"/>
      <c r="H935" s="4"/>
      <c r="I935" s="4"/>
      <c r="J935" s="7"/>
      <c r="K935" s="4"/>
      <c r="L935" s="4"/>
      <c r="M935" s="4"/>
      <c r="N935" s="4"/>
      <c r="O935" s="4"/>
      <c r="P935" s="4"/>
      <c r="Q935" s="4"/>
      <c r="R935" s="4"/>
      <c r="S935" s="4"/>
      <c r="T935" s="4"/>
      <c r="U935" s="4"/>
      <c r="V935" s="4"/>
      <c r="W935" s="4"/>
      <c r="X935" s="4"/>
      <c r="Y935" s="4"/>
      <c r="Z935" s="4"/>
    </row>
    <row r="936" ht="9.75" customHeight="1">
      <c r="A936" s="4"/>
      <c r="B936" s="7"/>
      <c r="C936" s="7"/>
      <c r="D936" s="4"/>
      <c r="E936" s="4"/>
      <c r="F936" s="7"/>
      <c r="G936" s="7"/>
      <c r="H936" s="4"/>
      <c r="I936" s="4"/>
      <c r="J936" s="7"/>
      <c r="K936" s="4"/>
      <c r="L936" s="4"/>
      <c r="M936" s="4"/>
      <c r="N936" s="4"/>
      <c r="O936" s="4"/>
      <c r="P936" s="4"/>
      <c r="Q936" s="4"/>
      <c r="R936" s="4"/>
      <c r="S936" s="4"/>
      <c r="T936" s="4"/>
      <c r="U936" s="4"/>
      <c r="V936" s="4"/>
      <c r="W936" s="4"/>
      <c r="X936" s="4"/>
      <c r="Y936" s="4"/>
      <c r="Z936" s="4"/>
    </row>
    <row r="937" ht="9.75" customHeight="1">
      <c r="A937" s="4"/>
      <c r="B937" s="7"/>
      <c r="C937" s="7"/>
      <c r="D937" s="4"/>
      <c r="E937" s="4"/>
      <c r="F937" s="7"/>
      <c r="G937" s="7"/>
      <c r="H937" s="4"/>
      <c r="I937" s="4"/>
      <c r="J937" s="7"/>
      <c r="K937" s="4"/>
      <c r="L937" s="4"/>
      <c r="M937" s="4"/>
      <c r="N937" s="4"/>
      <c r="O937" s="4"/>
      <c r="P937" s="4"/>
      <c r="Q937" s="4"/>
      <c r="R937" s="4"/>
      <c r="S937" s="4"/>
      <c r="T937" s="4"/>
      <c r="U937" s="4"/>
      <c r="V937" s="4"/>
      <c r="W937" s="4"/>
      <c r="X937" s="4"/>
      <c r="Y937" s="4"/>
      <c r="Z937" s="4"/>
    </row>
    <row r="938" ht="9.75" customHeight="1">
      <c r="A938" s="4"/>
      <c r="B938" s="7"/>
      <c r="C938" s="7"/>
      <c r="D938" s="4"/>
      <c r="E938" s="4"/>
      <c r="F938" s="7"/>
      <c r="G938" s="7"/>
      <c r="H938" s="4"/>
      <c r="I938" s="4"/>
      <c r="J938" s="7"/>
      <c r="K938" s="4"/>
      <c r="L938" s="4"/>
      <c r="M938" s="4"/>
      <c r="N938" s="4"/>
      <c r="O938" s="4"/>
      <c r="P938" s="4"/>
      <c r="Q938" s="4"/>
      <c r="R938" s="4"/>
      <c r="S938" s="4"/>
      <c r="T938" s="4"/>
      <c r="U938" s="4"/>
      <c r="V938" s="4"/>
      <c r="W938" s="4"/>
      <c r="X938" s="4"/>
      <c r="Y938" s="4"/>
      <c r="Z938" s="4"/>
    </row>
    <row r="939" ht="9.75" customHeight="1">
      <c r="A939" s="4"/>
      <c r="B939" s="7"/>
      <c r="C939" s="7"/>
      <c r="D939" s="4"/>
      <c r="E939" s="4"/>
      <c r="F939" s="7"/>
      <c r="G939" s="7"/>
      <c r="H939" s="4"/>
      <c r="I939" s="4"/>
      <c r="J939" s="7"/>
      <c r="K939" s="4"/>
      <c r="L939" s="4"/>
      <c r="M939" s="4"/>
      <c r="N939" s="4"/>
      <c r="O939" s="4"/>
      <c r="P939" s="4"/>
      <c r="Q939" s="4"/>
      <c r="R939" s="4"/>
      <c r="S939" s="4"/>
      <c r="T939" s="4"/>
      <c r="U939" s="4"/>
      <c r="V939" s="4"/>
      <c r="W939" s="4"/>
      <c r="X939" s="4"/>
      <c r="Y939" s="4"/>
      <c r="Z939" s="4"/>
    </row>
    <row r="940" ht="9.75" customHeight="1">
      <c r="A940" s="4"/>
      <c r="B940" s="7"/>
      <c r="C940" s="7"/>
      <c r="D940" s="4"/>
      <c r="E940" s="4"/>
      <c r="F940" s="7"/>
      <c r="G940" s="7"/>
      <c r="H940" s="4"/>
      <c r="I940" s="4"/>
      <c r="J940" s="7"/>
      <c r="K940" s="4"/>
      <c r="L940" s="4"/>
      <c r="M940" s="4"/>
      <c r="N940" s="4"/>
      <c r="O940" s="4"/>
      <c r="P940" s="4"/>
      <c r="Q940" s="4"/>
      <c r="R940" s="4"/>
      <c r="S940" s="4"/>
      <c r="T940" s="4"/>
      <c r="U940" s="4"/>
      <c r="V940" s="4"/>
      <c r="W940" s="4"/>
      <c r="X940" s="4"/>
      <c r="Y940" s="4"/>
      <c r="Z940" s="4"/>
    </row>
    <row r="941" ht="9.75" customHeight="1">
      <c r="A941" s="4"/>
      <c r="B941" s="7"/>
      <c r="C941" s="7"/>
      <c r="D941" s="4"/>
      <c r="E941" s="4"/>
      <c r="F941" s="7"/>
      <c r="G941" s="7"/>
      <c r="H941" s="4"/>
      <c r="I941" s="4"/>
      <c r="J941" s="7"/>
      <c r="K941" s="4"/>
      <c r="L941" s="4"/>
      <c r="M941" s="4"/>
      <c r="N941" s="4"/>
      <c r="O941" s="4"/>
      <c r="P941" s="4"/>
      <c r="Q941" s="4"/>
      <c r="R941" s="4"/>
      <c r="S941" s="4"/>
      <c r="T941" s="4"/>
      <c r="U941" s="4"/>
      <c r="V941" s="4"/>
      <c r="W941" s="4"/>
      <c r="X941" s="4"/>
      <c r="Y941" s="4"/>
      <c r="Z941" s="4"/>
    </row>
    <row r="942" ht="9.75" customHeight="1">
      <c r="A942" s="4"/>
      <c r="B942" s="7"/>
      <c r="C942" s="7"/>
      <c r="D942" s="4"/>
      <c r="E942" s="4"/>
      <c r="F942" s="7"/>
      <c r="G942" s="7"/>
      <c r="H942" s="4"/>
      <c r="I942" s="4"/>
      <c r="J942" s="7"/>
      <c r="K942" s="4"/>
      <c r="L942" s="4"/>
      <c r="M942" s="4"/>
      <c r="N942" s="4"/>
      <c r="O942" s="4"/>
      <c r="P942" s="4"/>
      <c r="Q942" s="4"/>
      <c r="R942" s="4"/>
      <c r="S942" s="4"/>
      <c r="T942" s="4"/>
      <c r="U942" s="4"/>
      <c r="V942" s="4"/>
      <c r="W942" s="4"/>
      <c r="X942" s="4"/>
      <c r="Y942" s="4"/>
      <c r="Z942" s="4"/>
    </row>
    <row r="943" ht="9.75" customHeight="1">
      <c r="A943" s="4"/>
      <c r="B943" s="7"/>
      <c r="C943" s="7"/>
      <c r="D943" s="4"/>
      <c r="E943" s="4"/>
      <c r="F943" s="7"/>
      <c r="G943" s="7"/>
      <c r="H943" s="4"/>
      <c r="I943" s="4"/>
      <c r="J943" s="7"/>
      <c r="K943" s="4"/>
      <c r="L943" s="4"/>
      <c r="M943" s="4"/>
      <c r="N943" s="4"/>
      <c r="O943" s="4"/>
      <c r="P943" s="4"/>
      <c r="Q943" s="4"/>
      <c r="R943" s="4"/>
      <c r="S943" s="4"/>
      <c r="T943" s="4"/>
      <c r="U943" s="4"/>
      <c r="V943" s="4"/>
      <c r="W943" s="4"/>
      <c r="X943" s="4"/>
      <c r="Y943" s="4"/>
      <c r="Z943" s="4"/>
    </row>
    <row r="944" ht="9.75" customHeight="1">
      <c r="A944" s="4"/>
      <c r="B944" s="7"/>
      <c r="C944" s="7"/>
      <c r="D944" s="4"/>
      <c r="E944" s="4"/>
      <c r="F944" s="7"/>
      <c r="G944" s="7"/>
      <c r="H944" s="4"/>
      <c r="I944" s="4"/>
      <c r="J944" s="7"/>
      <c r="K944" s="4"/>
      <c r="L944" s="4"/>
      <c r="M944" s="4"/>
      <c r="N944" s="4"/>
      <c r="O944" s="4"/>
      <c r="P944" s="4"/>
      <c r="Q944" s="4"/>
      <c r="R944" s="4"/>
      <c r="S944" s="4"/>
      <c r="T944" s="4"/>
      <c r="U944" s="4"/>
      <c r="V944" s="4"/>
      <c r="W944" s="4"/>
      <c r="X944" s="4"/>
      <c r="Y944" s="4"/>
      <c r="Z944" s="4"/>
    </row>
    <row r="945" ht="9.75" customHeight="1">
      <c r="A945" s="4"/>
      <c r="B945" s="7"/>
      <c r="C945" s="7"/>
      <c r="D945" s="4"/>
      <c r="E945" s="4"/>
      <c r="F945" s="7"/>
      <c r="G945" s="7"/>
      <c r="H945" s="4"/>
      <c r="I945" s="4"/>
      <c r="J945" s="7"/>
      <c r="K945" s="4"/>
      <c r="L945" s="4"/>
      <c r="M945" s="4"/>
      <c r="N945" s="4"/>
      <c r="O945" s="4"/>
      <c r="P945" s="4"/>
      <c r="Q945" s="4"/>
      <c r="R945" s="4"/>
      <c r="S945" s="4"/>
      <c r="T945" s="4"/>
      <c r="U945" s="4"/>
      <c r="V945" s="4"/>
      <c r="W945" s="4"/>
      <c r="X945" s="4"/>
      <c r="Y945" s="4"/>
      <c r="Z945" s="4"/>
    </row>
    <row r="946" ht="9.75" customHeight="1">
      <c r="A946" s="4"/>
      <c r="B946" s="7"/>
      <c r="C946" s="7"/>
      <c r="D946" s="4"/>
      <c r="E946" s="4"/>
      <c r="F946" s="7"/>
      <c r="G946" s="7"/>
      <c r="H946" s="4"/>
      <c r="I946" s="4"/>
      <c r="J946" s="7"/>
      <c r="K946" s="4"/>
      <c r="L946" s="4"/>
      <c r="M946" s="4"/>
      <c r="N946" s="4"/>
      <c r="O946" s="4"/>
      <c r="P946" s="4"/>
      <c r="Q946" s="4"/>
      <c r="R946" s="4"/>
      <c r="S946" s="4"/>
      <c r="T946" s="4"/>
      <c r="U946" s="4"/>
      <c r="V946" s="4"/>
      <c r="W946" s="4"/>
      <c r="X946" s="4"/>
      <c r="Y946" s="4"/>
      <c r="Z946" s="4"/>
    </row>
    <row r="947" ht="9.75" customHeight="1">
      <c r="A947" s="4"/>
      <c r="B947" s="7"/>
      <c r="C947" s="7"/>
      <c r="D947" s="4"/>
      <c r="E947" s="4"/>
      <c r="F947" s="7"/>
      <c r="G947" s="7"/>
      <c r="H947" s="4"/>
      <c r="I947" s="4"/>
      <c r="J947" s="7"/>
      <c r="K947" s="4"/>
      <c r="L947" s="4"/>
      <c r="M947" s="4"/>
      <c r="N947" s="4"/>
      <c r="O947" s="4"/>
      <c r="P947" s="4"/>
      <c r="Q947" s="4"/>
      <c r="R947" s="4"/>
      <c r="S947" s="4"/>
      <c r="T947" s="4"/>
      <c r="U947" s="4"/>
      <c r="V947" s="4"/>
      <c r="W947" s="4"/>
      <c r="X947" s="4"/>
      <c r="Y947" s="4"/>
      <c r="Z947" s="4"/>
    </row>
    <row r="948" ht="9.75" customHeight="1">
      <c r="A948" s="4"/>
      <c r="B948" s="7"/>
      <c r="C948" s="7"/>
      <c r="D948" s="4"/>
      <c r="E948" s="4"/>
      <c r="F948" s="7"/>
      <c r="G948" s="7"/>
      <c r="H948" s="4"/>
      <c r="I948" s="4"/>
      <c r="J948" s="7"/>
      <c r="K948" s="4"/>
      <c r="L948" s="4"/>
      <c r="M948" s="4"/>
      <c r="N948" s="4"/>
      <c r="O948" s="4"/>
      <c r="P948" s="4"/>
      <c r="Q948" s="4"/>
      <c r="R948" s="4"/>
      <c r="S948" s="4"/>
      <c r="T948" s="4"/>
      <c r="U948" s="4"/>
      <c r="V948" s="4"/>
      <c r="W948" s="4"/>
      <c r="X948" s="4"/>
      <c r="Y948" s="4"/>
      <c r="Z948" s="4"/>
    </row>
    <row r="949" ht="9.75" customHeight="1">
      <c r="A949" s="4"/>
      <c r="B949" s="7"/>
      <c r="C949" s="7"/>
      <c r="D949" s="4"/>
      <c r="E949" s="4"/>
      <c r="F949" s="7"/>
      <c r="G949" s="7"/>
      <c r="H949" s="4"/>
      <c r="I949" s="4"/>
      <c r="J949" s="7"/>
      <c r="K949" s="4"/>
      <c r="L949" s="4"/>
      <c r="M949" s="4"/>
      <c r="N949" s="4"/>
      <c r="O949" s="4"/>
      <c r="P949" s="4"/>
      <c r="Q949" s="4"/>
      <c r="R949" s="4"/>
      <c r="S949" s="4"/>
      <c r="T949" s="4"/>
      <c r="U949" s="4"/>
      <c r="V949" s="4"/>
      <c r="W949" s="4"/>
      <c r="X949" s="4"/>
      <c r="Y949" s="4"/>
      <c r="Z949" s="4"/>
    </row>
    <row r="950" ht="9.75" customHeight="1">
      <c r="A950" s="4"/>
      <c r="B950" s="7"/>
      <c r="C950" s="7"/>
      <c r="D950" s="4"/>
      <c r="E950" s="4"/>
      <c r="F950" s="7"/>
      <c r="G950" s="7"/>
      <c r="H950" s="4"/>
      <c r="I950" s="4"/>
      <c r="J950" s="7"/>
      <c r="K950" s="4"/>
      <c r="L950" s="4"/>
      <c r="M950" s="4"/>
      <c r="N950" s="4"/>
      <c r="O950" s="4"/>
      <c r="P950" s="4"/>
      <c r="Q950" s="4"/>
      <c r="R950" s="4"/>
      <c r="S950" s="4"/>
      <c r="T950" s="4"/>
      <c r="U950" s="4"/>
      <c r="V950" s="4"/>
      <c r="W950" s="4"/>
      <c r="X950" s="4"/>
      <c r="Y950" s="4"/>
      <c r="Z950" s="4"/>
    </row>
    <row r="951" ht="9.75" customHeight="1">
      <c r="A951" s="4"/>
      <c r="B951" s="7"/>
      <c r="C951" s="7"/>
      <c r="D951" s="4"/>
      <c r="E951" s="4"/>
      <c r="F951" s="7"/>
      <c r="G951" s="7"/>
      <c r="H951" s="4"/>
      <c r="I951" s="4"/>
      <c r="J951" s="7"/>
      <c r="K951" s="4"/>
      <c r="L951" s="4"/>
      <c r="M951" s="4"/>
      <c r="N951" s="4"/>
      <c r="O951" s="4"/>
      <c r="P951" s="4"/>
      <c r="Q951" s="4"/>
      <c r="R951" s="4"/>
      <c r="S951" s="4"/>
      <c r="T951" s="4"/>
      <c r="U951" s="4"/>
      <c r="V951" s="4"/>
      <c r="W951" s="4"/>
      <c r="X951" s="4"/>
      <c r="Y951" s="4"/>
      <c r="Z951" s="4"/>
    </row>
    <row r="952" ht="9.75" customHeight="1">
      <c r="A952" s="4"/>
      <c r="B952" s="7"/>
      <c r="C952" s="7"/>
      <c r="D952" s="4"/>
      <c r="E952" s="4"/>
      <c r="F952" s="7"/>
      <c r="G952" s="7"/>
      <c r="H952" s="4"/>
      <c r="I952" s="4"/>
      <c r="J952" s="7"/>
      <c r="K952" s="4"/>
      <c r="L952" s="4"/>
      <c r="M952" s="4"/>
      <c r="N952" s="4"/>
      <c r="O952" s="4"/>
      <c r="P952" s="4"/>
      <c r="Q952" s="4"/>
      <c r="R952" s="4"/>
      <c r="S952" s="4"/>
      <c r="T952" s="4"/>
      <c r="U952" s="4"/>
      <c r="V952" s="4"/>
      <c r="W952" s="4"/>
      <c r="X952" s="4"/>
      <c r="Y952" s="4"/>
      <c r="Z952" s="4"/>
    </row>
    <row r="953" ht="9.75" customHeight="1">
      <c r="A953" s="4"/>
      <c r="B953" s="7"/>
      <c r="C953" s="7"/>
      <c r="D953" s="4"/>
      <c r="E953" s="4"/>
      <c r="F953" s="7"/>
      <c r="G953" s="7"/>
      <c r="H953" s="4"/>
      <c r="I953" s="4"/>
      <c r="J953" s="7"/>
      <c r="K953" s="4"/>
      <c r="L953" s="4"/>
      <c r="M953" s="4"/>
      <c r="N953" s="4"/>
      <c r="O953" s="4"/>
      <c r="P953" s="4"/>
      <c r="Q953" s="4"/>
      <c r="R953" s="4"/>
      <c r="S953" s="4"/>
      <c r="T953" s="4"/>
      <c r="U953" s="4"/>
      <c r="V953" s="4"/>
      <c r="W953" s="4"/>
      <c r="X953" s="4"/>
      <c r="Y953" s="4"/>
      <c r="Z953" s="4"/>
    </row>
    <row r="954" ht="9.75" customHeight="1">
      <c r="A954" s="4"/>
      <c r="B954" s="7"/>
      <c r="C954" s="7"/>
      <c r="D954" s="4"/>
      <c r="E954" s="4"/>
      <c r="F954" s="7"/>
      <c r="G954" s="7"/>
      <c r="H954" s="4"/>
      <c r="I954" s="4"/>
      <c r="J954" s="7"/>
      <c r="K954" s="4"/>
      <c r="L954" s="4"/>
      <c r="M954" s="4"/>
      <c r="N954" s="4"/>
      <c r="O954" s="4"/>
      <c r="P954" s="4"/>
      <c r="Q954" s="4"/>
      <c r="R954" s="4"/>
      <c r="S954" s="4"/>
      <c r="T954" s="4"/>
      <c r="U954" s="4"/>
      <c r="V954" s="4"/>
      <c r="W954" s="4"/>
      <c r="X954" s="4"/>
      <c r="Y954" s="4"/>
      <c r="Z954" s="4"/>
    </row>
    <row r="955" ht="9.75" customHeight="1">
      <c r="A955" s="4"/>
      <c r="B955" s="7"/>
      <c r="C955" s="7"/>
      <c r="D955" s="4"/>
      <c r="E955" s="4"/>
      <c r="F955" s="7"/>
      <c r="G955" s="7"/>
      <c r="H955" s="4"/>
      <c r="I955" s="4"/>
      <c r="J955" s="7"/>
      <c r="K955" s="4"/>
      <c r="L955" s="4"/>
      <c r="M955" s="4"/>
      <c r="N955" s="4"/>
      <c r="O955" s="4"/>
      <c r="P955" s="4"/>
      <c r="Q955" s="4"/>
      <c r="R955" s="4"/>
      <c r="S955" s="4"/>
      <c r="T955" s="4"/>
      <c r="U955" s="4"/>
      <c r="V955" s="4"/>
      <c r="W955" s="4"/>
      <c r="X955" s="4"/>
      <c r="Y955" s="4"/>
      <c r="Z955" s="4"/>
    </row>
    <row r="956" ht="9.75" customHeight="1">
      <c r="A956" s="4"/>
      <c r="B956" s="7"/>
      <c r="C956" s="7"/>
      <c r="D956" s="4"/>
      <c r="E956" s="4"/>
      <c r="F956" s="7"/>
      <c r="G956" s="7"/>
      <c r="H956" s="4"/>
      <c r="I956" s="4"/>
      <c r="J956" s="7"/>
      <c r="K956" s="4"/>
      <c r="L956" s="4"/>
      <c r="M956" s="4"/>
      <c r="N956" s="4"/>
      <c r="O956" s="4"/>
      <c r="P956" s="4"/>
      <c r="Q956" s="4"/>
      <c r="R956" s="4"/>
      <c r="S956" s="4"/>
      <c r="T956" s="4"/>
      <c r="U956" s="4"/>
      <c r="V956" s="4"/>
      <c r="W956" s="4"/>
      <c r="X956" s="4"/>
      <c r="Y956" s="4"/>
      <c r="Z956" s="4"/>
    </row>
    <row r="957" ht="9.75" customHeight="1">
      <c r="A957" s="4"/>
      <c r="B957" s="7"/>
      <c r="C957" s="7"/>
      <c r="D957" s="4"/>
      <c r="E957" s="4"/>
      <c r="F957" s="7"/>
      <c r="G957" s="7"/>
      <c r="H957" s="4"/>
      <c r="I957" s="4"/>
      <c r="J957" s="7"/>
      <c r="K957" s="4"/>
      <c r="L957" s="4"/>
      <c r="M957" s="4"/>
      <c r="N957" s="4"/>
      <c r="O957" s="4"/>
      <c r="P957" s="4"/>
      <c r="Q957" s="4"/>
      <c r="R957" s="4"/>
      <c r="S957" s="4"/>
      <c r="T957" s="4"/>
      <c r="U957" s="4"/>
      <c r="V957" s="4"/>
      <c r="W957" s="4"/>
      <c r="X957" s="4"/>
      <c r="Y957" s="4"/>
      <c r="Z957" s="4"/>
    </row>
    <row r="958" ht="9.75" customHeight="1">
      <c r="A958" s="4"/>
      <c r="B958" s="7"/>
      <c r="C958" s="7"/>
      <c r="D958" s="4"/>
      <c r="E958" s="4"/>
      <c r="F958" s="7"/>
      <c r="G958" s="7"/>
      <c r="H958" s="4"/>
      <c r="I958" s="4"/>
      <c r="J958" s="7"/>
      <c r="K958" s="4"/>
      <c r="L958" s="4"/>
      <c r="M958" s="4"/>
      <c r="N958" s="4"/>
      <c r="O958" s="4"/>
      <c r="P958" s="4"/>
      <c r="Q958" s="4"/>
      <c r="R958" s="4"/>
      <c r="S958" s="4"/>
      <c r="T958" s="4"/>
      <c r="U958" s="4"/>
      <c r="V958" s="4"/>
      <c r="W958" s="4"/>
      <c r="X958" s="4"/>
      <c r="Y958" s="4"/>
      <c r="Z958" s="4"/>
    </row>
    <row r="959" ht="9.75" customHeight="1">
      <c r="A959" s="4"/>
      <c r="B959" s="7"/>
      <c r="C959" s="7"/>
      <c r="D959" s="4"/>
      <c r="E959" s="4"/>
      <c r="F959" s="7"/>
      <c r="G959" s="7"/>
      <c r="H959" s="4"/>
      <c r="I959" s="4"/>
      <c r="J959" s="7"/>
      <c r="K959" s="4"/>
      <c r="L959" s="4"/>
      <c r="M959" s="4"/>
      <c r="N959" s="4"/>
      <c r="O959" s="4"/>
      <c r="P959" s="4"/>
      <c r="Q959" s="4"/>
      <c r="R959" s="4"/>
      <c r="S959" s="4"/>
      <c r="T959" s="4"/>
      <c r="U959" s="4"/>
      <c r="V959" s="4"/>
      <c r="W959" s="4"/>
      <c r="X959" s="4"/>
      <c r="Y959" s="4"/>
      <c r="Z959" s="4"/>
    </row>
    <row r="960" ht="9.75" customHeight="1">
      <c r="A960" s="4"/>
      <c r="B960" s="7"/>
      <c r="C960" s="7"/>
      <c r="D960" s="4"/>
      <c r="E960" s="4"/>
      <c r="F960" s="7"/>
      <c r="G960" s="7"/>
      <c r="H960" s="4"/>
      <c r="I960" s="4"/>
      <c r="J960" s="7"/>
      <c r="K960" s="4"/>
      <c r="L960" s="4"/>
      <c r="M960" s="4"/>
      <c r="N960" s="4"/>
      <c r="O960" s="4"/>
      <c r="P960" s="4"/>
      <c r="Q960" s="4"/>
      <c r="R960" s="4"/>
      <c r="S960" s="4"/>
      <c r="T960" s="4"/>
      <c r="U960" s="4"/>
      <c r="V960" s="4"/>
      <c r="W960" s="4"/>
      <c r="X960" s="4"/>
      <c r="Y960" s="4"/>
      <c r="Z960" s="4"/>
    </row>
    <row r="961" ht="9.75" customHeight="1">
      <c r="A961" s="4"/>
      <c r="B961" s="7"/>
      <c r="C961" s="7"/>
      <c r="D961" s="4"/>
      <c r="E961" s="4"/>
      <c r="F961" s="7"/>
      <c r="G961" s="7"/>
      <c r="H961" s="4"/>
      <c r="I961" s="4"/>
      <c r="J961" s="7"/>
      <c r="K961" s="4"/>
      <c r="L961" s="4"/>
      <c r="M961" s="4"/>
      <c r="N961" s="4"/>
      <c r="O961" s="4"/>
      <c r="P961" s="4"/>
      <c r="Q961" s="4"/>
      <c r="R961" s="4"/>
      <c r="S961" s="4"/>
      <c r="T961" s="4"/>
      <c r="U961" s="4"/>
      <c r="V961" s="4"/>
      <c r="W961" s="4"/>
      <c r="X961" s="4"/>
      <c r="Y961" s="4"/>
      <c r="Z961" s="4"/>
    </row>
    <row r="962" ht="9.75" customHeight="1">
      <c r="A962" s="4"/>
      <c r="B962" s="7"/>
      <c r="C962" s="7"/>
      <c r="D962" s="4"/>
      <c r="E962" s="4"/>
      <c r="F962" s="7"/>
      <c r="G962" s="7"/>
      <c r="H962" s="4"/>
      <c r="I962" s="4"/>
      <c r="J962" s="7"/>
      <c r="K962" s="4"/>
      <c r="L962" s="4"/>
      <c r="M962" s="4"/>
      <c r="N962" s="4"/>
      <c r="O962" s="4"/>
      <c r="P962" s="4"/>
      <c r="Q962" s="4"/>
      <c r="R962" s="4"/>
      <c r="S962" s="4"/>
      <c r="T962" s="4"/>
      <c r="U962" s="4"/>
      <c r="V962" s="4"/>
      <c r="W962" s="4"/>
      <c r="X962" s="4"/>
      <c r="Y962" s="4"/>
      <c r="Z962" s="4"/>
    </row>
    <row r="963" ht="9.75" customHeight="1">
      <c r="A963" s="4"/>
      <c r="B963" s="7"/>
      <c r="C963" s="7"/>
      <c r="D963" s="4"/>
      <c r="E963" s="4"/>
      <c r="F963" s="7"/>
      <c r="G963" s="7"/>
      <c r="H963" s="4"/>
      <c r="I963" s="4"/>
      <c r="J963" s="7"/>
      <c r="K963" s="4"/>
      <c r="L963" s="4"/>
      <c r="M963" s="4"/>
      <c r="N963" s="4"/>
      <c r="O963" s="4"/>
      <c r="P963" s="4"/>
      <c r="Q963" s="4"/>
      <c r="R963" s="4"/>
      <c r="S963" s="4"/>
      <c r="T963" s="4"/>
      <c r="U963" s="4"/>
      <c r="V963" s="4"/>
      <c r="W963" s="4"/>
      <c r="X963" s="4"/>
      <c r="Y963" s="4"/>
      <c r="Z963" s="4"/>
    </row>
    <row r="964" ht="9.75" customHeight="1">
      <c r="A964" s="4"/>
      <c r="B964" s="7"/>
      <c r="C964" s="7"/>
      <c r="D964" s="4"/>
      <c r="E964" s="4"/>
      <c r="F964" s="7"/>
      <c r="G964" s="7"/>
      <c r="H964" s="4"/>
      <c r="I964" s="4"/>
      <c r="J964" s="7"/>
      <c r="K964" s="4"/>
      <c r="L964" s="4"/>
      <c r="M964" s="4"/>
      <c r="N964" s="4"/>
      <c r="O964" s="4"/>
      <c r="P964" s="4"/>
      <c r="Q964" s="4"/>
      <c r="R964" s="4"/>
      <c r="S964" s="4"/>
      <c r="T964" s="4"/>
      <c r="U964" s="4"/>
      <c r="V964" s="4"/>
      <c r="W964" s="4"/>
      <c r="X964" s="4"/>
      <c r="Y964" s="4"/>
      <c r="Z964" s="4"/>
    </row>
    <row r="965" ht="9.75" customHeight="1">
      <c r="A965" s="4"/>
      <c r="B965" s="7"/>
      <c r="C965" s="7"/>
      <c r="D965" s="4"/>
      <c r="E965" s="4"/>
      <c r="F965" s="7"/>
      <c r="G965" s="7"/>
      <c r="H965" s="4"/>
      <c r="I965" s="4"/>
      <c r="J965" s="7"/>
      <c r="K965" s="4"/>
      <c r="L965" s="4"/>
      <c r="M965" s="4"/>
      <c r="N965" s="4"/>
      <c r="O965" s="4"/>
      <c r="P965" s="4"/>
      <c r="Q965" s="4"/>
      <c r="R965" s="4"/>
      <c r="S965" s="4"/>
      <c r="T965" s="4"/>
      <c r="U965" s="4"/>
      <c r="V965" s="4"/>
      <c r="W965" s="4"/>
      <c r="X965" s="4"/>
      <c r="Y965" s="4"/>
      <c r="Z965" s="4"/>
    </row>
    <row r="966" ht="9.75" customHeight="1">
      <c r="A966" s="4"/>
      <c r="B966" s="7"/>
      <c r="C966" s="7"/>
      <c r="D966" s="4"/>
      <c r="E966" s="4"/>
      <c r="F966" s="7"/>
      <c r="G966" s="7"/>
      <c r="H966" s="4"/>
      <c r="I966" s="4"/>
      <c r="J966" s="7"/>
      <c r="K966" s="4"/>
      <c r="L966" s="4"/>
      <c r="M966" s="4"/>
      <c r="N966" s="4"/>
      <c r="O966" s="4"/>
      <c r="P966" s="4"/>
      <c r="Q966" s="4"/>
      <c r="R966" s="4"/>
      <c r="S966" s="4"/>
      <c r="T966" s="4"/>
      <c r="U966" s="4"/>
      <c r="V966" s="4"/>
      <c r="W966" s="4"/>
      <c r="X966" s="4"/>
      <c r="Y966" s="4"/>
      <c r="Z966" s="4"/>
    </row>
    <row r="967" ht="9.75" customHeight="1">
      <c r="A967" s="4"/>
      <c r="B967" s="7"/>
      <c r="C967" s="7"/>
      <c r="D967" s="4"/>
      <c r="E967" s="4"/>
      <c r="F967" s="7"/>
      <c r="G967" s="7"/>
      <c r="H967" s="4"/>
      <c r="I967" s="4"/>
      <c r="J967" s="7"/>
      <c r="K967" s="4"/>
      <c r="L967" s="4"/>
      <c r="M967" s="4"/>
      <c r="N967" s="4"/>
      <c r="O967" s="4"/>
      <c r="P967" s="4"/>
      <c r="Q967" s="4"/>
      <c r="R967" s="4"/>
      <c r="S967" s="4"/>
      <c r="T967" s="4"/>
      <c r="U967" s="4"/>
      <c r="V967" s="4"/>
      <c r="W967" s="4"/>
      <c r="X967" s="4"/>
      <c r="Y967" s="4"/>
      <c r="Z967" s="4"/>
    </row>
    <row r="968" ht="9.75" customHeight="1">
      <c r="A968" s="4"/>
      <c r="B968" s="7"/>
      <c r="C968" s="7"/>
      <c r="D968" s="4"/>
      <c r="E968" s="4"/>
      <c r="F968" s="7"/>
      <c r="G968" s="7"/>
      <c r="H968" s="4"/>
      <c r="I968" s="4"/>
      <c r="J968" s="7"/>
      <c r="K968" s="4"/>
      <c r="L968" s="4"/>
      <c r="M968" s="4"/>
      <c r="N968" s="4"/>
      <c r="O968" s="4"/>
      <c r="P968" s="4"/>
      <c r="Q968" s="4"/>
      <c r="R968" s="4"/>
      <c r="S968" s="4"/>
      <c r="T968" s="4"/>
      <c r="U968" s="4"/>
      <c r="V968" s="4"/>
      <c r="W968" s="4"/>
      <c r="X968" s="4"/>
      <c r="Y968" s="4"/>
      <c r="Z968" s="4"/>
    </row>
    <row r="969" ht="9.75" customHeight="1">
      <c r="A969" s="4"/>
      <c r="B969" s="7"/>
      <c r="C969" s="7"/>
      <c r="D969" s="4"/>
      <c r="E969" s="4"/>
      <c r="F969" s="7"/>
      <c r="G969" s="7"/>
      <c r="H969" s="4"/>
      <c r="I969" s="4"/>
      <c r="J969" s="7"/>
      <c r="K969" s="4"/>
      <c r="L969" s="4"/>
      <c r="M969" s="4"/>
      <c r="N969" s="4"/>
      <c r="O969" s="4"/>
      <c r="P969" s="4"/>
      <c r="Q969" s="4"/>
      <c r="R969" s="4"/>
      <c r="S969" s="4"/>
      <c r="T969" s="4"/>
      <c r="U969" s="4"/>
      <c r="V969" s="4"/>
      <c r="W969" s="4"/>
      <c r="X969" s="4"/>
      <c r="Y969" s="4"/>
      <c r="Z969" s="4"/>
    </row>
    <row r="970" ht="9.75" customHeight="1">
      <c r="A970" s="4"/>
      <c r="B970" s="7"/>
      <c r="C970" s="7"/>
      <c r="D970" s="4"/>
      <c r="E970" s="4"/>
      <c r="F970" s="7"/>
      <c r="G970" s="7"/>
      <c r="H970" s="4"/>
      <c r="I970" s="4"/>
      <c r="J970" s="7"/>
      <c r="K970" s="4"/>
      <c r="L970" s="4"/>
      <c r="M970" s="4"/>
      <c r="N970" s="4"/>
      <c r="O970" s="4"/>
      <c r="P970" s="4"/>
      <c r="Q970" s="4"/>
      <c r="R970" s="4"/>
      <c r="S970" s="4"/>
      <c r="T970" s="4"/>
      <c r="U970" s="4"/>
      <c r="V970" s="4"/>
      <c r="W970" s="4"/>
      <c r="X970" s="4"/>
      <c r="Y970" s="4"/>
      <c r="Z970" s="4"/>
    </row>
    <row r="971" ht="9.75" customHeight="1">
      <c r="A971" s="4"/>
      <c r="B971" s="7"/>
      <c r="C971" s="7"/>
      <c r="D971" s="4"/>
      <c r="E971" s="4"/>
      <c r="F971" s="7"/>
      <c r="G971" s="7"/>
      <c r="H971" s="4"/>
      <c r="I971" s="4"/>
      <c r="J971" s="7"/>
      <c r="K971" s="4"/>
      <c r="L971" s="4"/>
      <c r="M971" s="4"/>
      <c r="N971" s="4"/>
      <c r="O971" s="4"/>
      <c r="P971" s="4"/>
      <c r="Q971" s="4"/>
      <c r="R971" s="4"/>
      <c r="S971" s="4"/>
      <c r="T971" s="4"/>
      <c r="U971" s="4"/>
      <c r="V971" s="4"/>
      <c r="W971" s="4"/>
      <c r="X971" s="4"/>
      <c r="Y971" s="4"/>
      <c r="Z971" s="4"/>
    </row>
    <row r="972" ht="9.75" customHeight="1">
      <c r="A972" s="4"/>
      <c r="B972" s="7"/>
      <c r="C972" s="7"/>
      <c r="D972" s="4"/>
      <c r="E972" s="4"/>
      <c r="F972" s="7"/>
      <c r="G972" s="7"/>
      <c r="H972" s="4"/>
      <c r="I972" s="4"/>
      <c r="J972" s="7"/>
      <c r="K972" s="4"/>
      <c r="L972" s="4"/>
      <c r="M972" s="4"/>
      <c r="N972" s="4"/>
      <c r="O972" s="4"/>
      <c r="P972" s="4"/>
      <c r="Q972" s="4"/>
      <c r="R972" s="4"/>
      <c r="S972" s="4"/>
      <c r="T972" s="4"/>
      <c r="U972" s="4"/>
      <c r="V972" s="4"/>
      <c r="W972" s="4"/>
      <c r="X972" s="4"/>
      <c r="Y972" s="4"/>
      <c r="Z972" s="4"/>
    </row>
    <row r="973" ht="9.75" customHeight="1">
      <c r="A973" s="4"/>
      <c r="B973" s="7"/>
      <c r="C973" s="7"/>
      <c r="D973" s="4"/>
      <c r="E973" s="4"/>
      <c r="F973" s="7"/>
      <c r="G973" s="7"/>
      <c r="H973" s="4"/>
      <c r="I973" s="4"/>
      <c r="J973" s="7"/>
      <c r="K973" s="4"/>
      <c r="L973" s="4"/>
      <c r="M973" s="4"/>
      <c r="N973" s="4"/>
      <c r="O973" s="4"/>
      <c r="P973" s="4"/>
      <c r="Q973" s="4"/>
      <c r="R973" s="4"/>
      <c r="S973" s="4"/>
      <c r="T973" s="4"/>
      <c r="U973" s="4"/>
      <c r="V973" s="4"/>
      <c r="W973" s="4"/>
      <c r="X973" s="4"/>
      <c r="Y973" s="4"/>
      <c r="Z973" s="4"/>
    </row>
    <row r="974" ht="9.75" customHeight="1">
      <c r="A974" s="4"/>
      <c r="B974" s="7"/>
      <c r="C974" s="7"/>
      <c r="D974" s="4"/>
      <c r="E974" s="4"/>
      <c r="F974" s="7"/>
      <c r="G974" s="7"/>
      <c r="H974" s="4"/>
      <c r="I974" s="4"/>
      <c r="J974" s="7"/>
      <c r="K974" s="4"/>
      <c r="L974" s="4"/>
      <c r="M974" s="4"/>
      <c r="N974" s="4"/>
      <c r="O974" s="4"/>
      <c r="P974" s="4"/>
      <c r="Q974" s="4"/>
      <c r="R974" s="4"/>
      <c r="S974" s="4"/>
      <c r="T974" s="4"/>
      <c r="U974" s="4"/>
      <c r="V974" s="4"/>
      <c r="W974" s="4"/>
      <c r="X974" s="4"/>
      <c r="Y974" s="4"/>
      <c r="Z974" s="4"/>
    </row>
    <row r="975" ht="9.75" customHeight="1">
      <c r="A975" s="4"/>
      <c r="B975" s="7"/>
      <c r="C975" s="7"/>
      <c r="D975" s="4"/>
      <c r="E975" s="4"/>
      <c r="F975" s="7"/>
      <c r="G975" s="7"/>
      <c r="H975" s="4"/>
      <c r="I975" s="4"/>
      <c r="J975" s="7"/>
      <c r="K975" s="4"/>
      <c r="L975" s="4"/>
      <c r="M975" s="4"/>
      <c r="N975" s="4"/>
      <c r="O975" s="4"/>
      <c r="P975" s="4"/>
      <c r="Q975" s="4"/>
      <c r="R975" s="4"/>
      <c r="S975" s="4"/>
      <c r="T975" s="4"/>
      <c r="U975" s="4"/>
      <c r="V975" s="4"/>
      <c r="W975" s="4"/>
      <c r="X975" s="4"/>
      <c r="Y975" s="4"/>
      <c r="Z975" s="4"/>
    </row>
    <row r="976" ht="9.75" customHeight="1">
      <c r="A976" s="4"/>
      <c r="B976" s="7"/>
      <c r="C976" s="7"/>
      <c r="D976" s="4"/>
      <c r="E976" s="4"/>
      <c r="F976" s="7"/>
      <c r="G976" s="7"/>
      <c r="H976" s="4"/>
      <c r="I976" s="4"/>
      <c r="J976" s="7"/>
      <c r="K976" s="4"/>
      <c r="L976" s="4"/>
      <c r="M976" s="4"/>
      <c r="N976" s="4"/>
      <c r="O976" s="4"/>
      <c r="P976" s="4"/>
      <c r="Q976" s="4"/>
      <c r="R976" s="4"/>
      <c r="S976" s="4"/>
      <c r="T976" s="4"/>
      <c r="U976" s="4"/>
      <c r="V976" s="4"/>
      <c r="W976" s="4"/>
      <c r="X976" s="4"/>
      <c r="Y976" s="4"/>
      <c r="Z976" s="4"/>
    </row>
    <row r="977" ht="9.75" customHeight="1">
      <c r="A977" s="4"/>
      <c r="B977" s="7"/>
      <c r="C977" s="7"/>
      <c r="D977" s="4"/>
      <c r="E977" s="4"/>
      <c r="F977" s="7"/>
      <c r="G977" s="7"/>
      <c r="H977" s="4"/>
      <c r="I977" s="4"/>
      <c r="J977" s="7"/>
      <c r="K977" s="4"/>
      <c r="L977" s="4"/>
      <c r="M977" s="4"/>
      <c r="N977" s="4"/>
      <c r="O977" s="4"/>
      <c r="P977" s="4"/>
      <c r="Q977" s="4"/>
      <c r="R977" s="4"/>
      <c r="S977" s="4"/>
      <c r="T977" s="4"/>
      <c r="U977" s="4"/>
      <c r="V977" s="4"/>
      <c r="W977" s="4"/>
      <c r="X977" s="4"/>
      <c r="Y977" s="4"/>
      <c r="Z977" s="4"/>
    </row>
    <row r="978" ht="9.75" customHeight="1">
      <c r="A978" s="4"/>
      <c r="B978" s="7"/>
      <c r="C978" s="7"/>
      <c r="D978" s="4"/>
      <c r="E978" s="4"/>
      <c r="F978" s="7"/>
      <c r="G978" s="7"/>
      <c r="H978" s="4"/>
      <c r="I978" s="4"/>
      <c r="J978" s="7"/>
      <c r="K978" s="4"/>
      <c r="L978" s="4"/>
      <c r="M978" s="4"/>
      <c r="N978" s="4"/>
      <c r="O978" s="4"/>
      <c r="P978" s="4"/>
      <c r="Q978" s="4"/>
      <c r="R978" s="4"/>
      <c r="S978" s="4"/>
      <c r="T978" s="4"/>
      <c r="U978" s="4"/>
      <c r="V978" s="4"/>
      <c r="W978" s="4"/>
      <c r="X978" s="4"/>
      <c r="Y978" s="4"/>
      <c r="Z978" s="4"/>
    </row>
    <row r="979" ht="9.75" customHeight="1">
      <c r="A979" s="4"/>
      <c r="B979" s="7"/>
      <c r="C979" s="7"/>
      <c r="D979" s="4"/>
      <c r="E979" s="4"/>
      <c r="F979" s="7"/>
      <c r="G979" s="7"/>
      <c r="H979" s="4"/>
      <c r="I979" s="4"/>
      <c r="J979" s="7"/>
      <c r="K979" s="4"/>
      <c r="L979" s="4"/>
      <c r="M979" s="4"/>
      <c r="N979" s="4"/>
      <c r="O979" s="4"/>
      <c r="P979" s="4"/>
      <c r="Q979" s="4"/>
      <c r="R979" s="4"/>
      <c r="S979" s="4"/>
      <c r="T979" s="4"/>
      <c r="U979" s="4"/>
      <c r="V979" s="4"/>
      <c r="W979" s="4"/>
      <c r="X979" s="4"/>
      <c r="Y979" s="4"/>
      <c r="Z979" s="4"/>
    </row>
    <row r="980" ht="9.75" customHeight="1">
      <c r="A980" s="4"/>
      <c r="B980" s="7"/>
      <c r="C980" s="7"/>
      <c r="D980" s="4"/>
      <c r="E980" s="4"/>
      <c r="F980" s="7"/>
      <c r="G980" s="7"/>
      <c r="H980" s="4"/>
      <c r="I980" s="4"/>
      <c r="J980" s="7"/>
      <c r="K980" s="4"/>
      <c r="L980" s="4"/>
      <c r="M980" s="4"/>
      <c r="N980" s="4"/>
      <c r="O980" s="4"/>
      <c r="P980" s="4"/>
      <c r="Q980" s="4"/>
      <c r="R980" s="4"/>
      <c r="S980" s="4"/>
      <c r="T980" s="4"/>
      <c r="U980" s="4"/>
      <c r="V980" s="4"/>
      <c r="W980" s="4"/>
      <c r="X980" s="4"/>
      <c r="Y980" s="4"/>
      <c r="Z980" s="4"/>
    </row>
    <row r="981" ht="9.75" customHeight="1">
      <c r="A981" s="4"/>
      <c r="B981" s="7"/>
      <c r="C981" s="7"/>
      <c r="D981" s="4"/>
      <c r="E981" s="4"/>
      <c r="F981" s="7"/>
      <c r="G981" s="7"/>
      <c r="H981" s="4"/>
      <c r="I981" s="4"/>
      <c r="J981" s="7"/>
      <c r="K981" s="4"/>
      <c r="L981" s="4"/>
      <c r="M981" s="4"/>
      <c r="N981" s="4"/>
      <c r="O981" s="4"/>
      <c r="P981" s="4"/>
      <c r="Q981" s="4"/>
      <c r="R981" s="4"/>
      <c r="S981" s="4"/>
      <c r="T981" s="4"/>
      <c r="U981" s="4"/>
      <c r="V981" s="4"/>
      <c r="W981" s="4"/>
      <c r="X981" s="4"/>
      <c r="Y981" s="4"/>
      <c r="Z981" s="4"/>
    </row>
    <row r="982" ht="9.75" customHeight="1">
      <c r="A982" s="4"/>
      <c r="B982" s="7"/>
      <c r="C982" s="7"/>
      <c r="D982" s="4"/>
      <c r="E982" s="4"/>
      <c r="F982" s="7"/>
      <c r="G982" s="7"/>
      <c r="H982" s="4"/>
      <c r="I982" s="4"/>
      <c r="J982" s="7"/>
      <c r="K982" s="4"/>
      <c r="L982" s="4"/>
      <c r="M982" s="4"/>
      <c r="N982" s="4"/>
      <c r="O982" s="4"/>
      <c r="P982" s="4"/>
      <c r="Q982" s="4"/>
      <c r="R982" s="4"/>
      <c r="S982" s="4"/>
      <c r="T982" s="4"/>
      <c r="U982" s="4"/>
      <c r="V982" s="4"/>
      <c r="W982" s="4"/>
      <c r="X982" s="4"/>
      <c r="Y982" s="4"/>
      <c r="Z982" s="4"/>
    </row>
    <row r="983" ht="9.75" customHeight="1">
      <c r="A983" s="4"/>
      <c r="B983" s="7"/>
      <c r="C983" s="7"/>
      <c r="D983" s="4"/>
      <c r="E983" s="4"/>
      <c r="F983" s="7"/>
      <c r="G983" s="7"/>
      <c r="H983" s="4"/>
      <c r="I983" s="4"/>
      <c r="J983" s="7"/>
      <c r="K983" s="4"/>
      <c r="L983" s="4"/>
      <c r="M983" s="4"/>
      <c r="N983" s="4"/>
      <c r="O983" s="4"/>
      <c r="P983" s="4"/>
      <c r="Q983" s="4"/>
      <c r="R983" s="4"/>
      <c r="S983" s="4"/>
      <c r="T983" s="4"/>
      <c r="U983" s="4"/>
      <c r="V983" s="4"/>
      <c r="W983" s="4"/>
      <c r="X983" s="4"/>
      <c r="Y983" s="4"/>
      <c r="Z983" s="4"/>
    </row>
    <row r="984" ht="9.75" customHeight="1">
      <c r="A984" s="4"/>
      <c r="B984" s="7"/>
      <c r="C984" s="7"/>
      <c r="D984" s="4"/>
      <c r="E984" s="4"/>
      <c r="F984" s="7"/>
      <c r="G984" s="7"/>
      <c r="H984" s="4"/>
      <c r="I984" s="4"/>
      <c r="J984" s="7"/>
      <c r="K984" s="4"/>
      <c r="L984" s="4"/>
      <c r="M984" s="4"/>
      <c r="N984" s="4"/>
      <c r="O984" s="4"/>
      <c r="P984" s="4"/>
      <c r="Q984" s="4"/>
      <c r="R984" s="4"/>
      <c r="S984" s="4"/>
      <c r="T984" s="4"/>
      <c r="U984" s="4"/>
      <c r="V984" s="4"/>
      <c r="W984" s="4"/>
      <c r="X984" s="4"/>
      <c r="Y984" s="4"/>
      <c r="Z984" s="4"/>
    </row>
    <row r="985" ht="9.75" customHeight="1">
      <c r="A985" s="4"/>
      <c r="B985" s="7"/>
      <c r="C985" s="7"/>
      <c r="D985" s="4"/>
      <c r="E985" s="4"/>
      <c r="F985" s="7"/>
      <c r="G985" s="7"/>
      <c r="H985" s="4"/>
      <c r="I985" s="4"/>
      <c r="J985" s="7"/>
      <c r="K985" s="4"/>
      <c r="L985" s="4"/>
      <c r="M985" s="4"/>
      <c r="N985" s="4"/>
      <c r="O985" s="4"/>
      <c r="P985" s="4"/>
      <c r="Q985" s="4"/>
      <c r="R985" s="4"/>
      <c r="S985" s="4"/>
      <c r="T985" s="4"/>
      <c r="U985" s="4"/>
      <c r="V985" s="4"/>
      <c r="W985" s="4"/>
      <c r="X985" s="4"/>
      <c r="Y985" s="4"/>
      <c r="Z985" s="4"/>
    </row>
    <row r="986" ht="9.75" customHeight="1">
      <c r="A986" s="4"/>
      <c r="B986" s="7"/>
      <c r="C986" s="7"/>
      <c r="D986" s="4"/>
      <c r="E986" s="4"/>
      <c r="F986" s="7"/>
      <c r="G986" s="7"/>
      <c r="H986" s="4"/>
      <c r="I986" s="4"/>
      <c r="J986" s="7"/>
      <c r="K986" s="4"/>
      <c r="L986" s="4"/>
      <c r="M986" s="4"/>
      <c r="N986" s="4"/>
      <c r="O986" s="4"/>
      <c r="P986" s="4"/>
      <c r="Q986" s="4"/>
      <c r="R986" s="4"/>
      <c r="S986" s="4"/>
      <c r="T986" s="4"/>
      <c r="U986" s="4"/>
      <c r="V986" s="4"/>
      <c r="W986" s="4"/>
      <c r="X986" s="4"/>
      <c r="Y986" s="4"/>
      <c r="Z986" s="4"/>
    </row>
    <row r="987" ht="9.75" customHeight="1">
      <c r="A987" s="4"/>
      <c r="B987" s="7"/>
      <c r="C987" s="7"/>
      <c r="D987" s="4"/>
      <c r="E987" s="4"/>
      <c r="F987" s="7"/>
      <c r="G987" s="7"/>
      <c r="H987" s="4"/>
      <c r="I987" s="4"/>
      <c r="J987" s="7"/>
      <c r="K987" s="4"/>
      <c r="L987" s="4"/>
      <c r="M987" s="4"/>
      <c r="N987" s="4"/>
      <c r="O987" s="4"/>
      <c r="P987" s="4"/>
      <c r="Q987" s="4"/>
      <c r="R987" s="4"/>
      <c r="S987" s="4"/>
      <c r="T987" s="4"/>
      <c r="U987" s="4"/>
      <c r="V987" s="4"/>
      <c r="W987" s="4"/>
      <c r="X987" s="4"/>
      <c r="Y987" s="4"/>
      <c r="Z987" s="4"/>
    </row>
    <row r="988" ht="9.75" customHeight="1">
      <c r="A988" s="4"/>
      <c r="B988" s="7"/>
      <c r="C988" s="7"/>
      <c r="D988" s="4"/>
      <c r="E988" s="4"/>
      <c r="F988" s="7"/>
      <c r="G988" s="7"/>
      <c r="H988" s="4"/>
      <c r="I988" s="4"/>
      <c r="J988" s="7"/>
      <c r="K988" s="4"/>
      <c r="L988" s="4"/>
      <c r="M988" s="4"/>
      <c r="N988" s="4"/>
      <c r="O988" s="4"/>
      <c r="P988" s="4"/>
      <c r="Q988" s="4"/>
      <c r="R988" s="4"/>
      <c r="S988" s="4"/>
      <c r="T988" s="4"/>
      <c r="U988" s="4"/>
      <c r="V988" s="4"/>
      <c r="W988" s="4"/>
      <c r="X988" s="4"/>
      <c r="Y988" s="4"/>
      <c r="Z988" s="4"/>
    </row>
    <row r="989" ht="9.75" customHeight="1">
      <c r="A989" s="4"/>
      <c r="B989" s="7"/>
      <c r="C989" s="7"/>
      <c r="D989" s="4"/>
      <c r="E989" s="4"/>
      <c r="F989" s="7"/>
      <c r="G989" s="7"/>
      <c r="H989" s="4"/>
      <c r="I989" s="4"/>
      <c r="J989" s="7"/>
      <c r="K989" s="4"/>
      <c r="L989" s="4"/>
      <c r="M989" s="4"/>
      <c r="N989" s="4"/>
      <c r="O989" s="4"/>
      <c r="P989" s="4"/>
      <c r="Q989" s="4"/>
      <c r="R989" s="4"/>
      <c r="S989" s="4"/>
      <c r="T989" s="4"/>
      <c r="U989" s="4"/>
      <c r="V989" s="4"/>
      <c r="W989" s="4"/>
      <c r="X989" s="4"/>
      <c r="Y989" s="4"/>
      <c r="Z989" s="4"/>
    </row>
    <row r="990" ht="9.75" customHeight="1">
      <c r="A990" s="4"/>
      <c r="B990" s="7"/>
      <c r="C990" s="7"/>
      <c r="D990" s="4"/>
      <c r="E990" s="4"/>
      <c r="F990" s="7"/>
      <c r="G990" s="7"/>
      <c r="H990" s="4"/>
      <c r="I990" s="4"/>
      <c r="J990" s="7"/>
      <c r="K990" s="4"/>
      <c r="L990" s="4"/>
      <c r="M990" s="4"/>
      <c r="N990" s="4"/>
      <c r="O990" s="4"/>
      <c r="P990" s="4"/>
      <c r="Q990" s="4"/>
      <c r="R990" s="4"/>
      <c r="S990" s="4"/>
      <c r="T990" s="4"/>
      <c r="U990" s="4"/>
      <c r="V990" s="4"/>
      <c r="W990" s="4"/>
      <c r="X990" s="4"/>
      <c r="Y990" s="4"/>
      <c r="Z990" s="4"/>
    </row>
    <row r="991" ht="9.75" customHeight="1">
      <c r="A991" s="4"/>
      <c r="B991" s="7"/>
      <c r="C991" s="7"/>
      <c r="D991" s="4"/>
      <c r="E991" s="4"/>
      <c r="F991" s="7"/>
      <c r="G991" s="7"/>
      <c r="H991" s="4"/>
      <c r="I991" s="4"/>
      <c r="J991" s="7"/>
      <c r="K991" s="4"/>
      <c r="L991" s="4"/>
      <c r="M991" s="4"/>
      <c r="N991" s="4"/>
      <c r="O991" s="4"/>
      <c r="P991" s="4"/>
      <c r="Q991" s="4"/>
      <c r="R991" s="4"/>
      <c r="S991" s="4"/>
      <c r="T991" s="4"/>
      <c r="U991" s="4"/>
      <c r="V991" s="4"/>
      <c r="W991" s="4"/>
      <c r="X991" s="4"/>
      <c r="Y991" s="4"/>
      <c r="Z991" s="4"/>
    </row>
    <row r="992" ht="9.75" customHeight="1">
      <c r="A992" s="4"/>
      <c r="B992" s="7"/>
      <c r="C992" s="7"/>
      <c r="D992" s="4"/>
      <c r="E992" s="4"/>
      <c r="F992" s="7"/>
      <c r="G992" s="7"/>
      <c r="H992" s="4"/>
      <c r="I992" s="4"/>
      <c r="J992" s="7"/>
      <c r="K992" s="4"/>
      <c r="L992" s="4"/>
      <c r="M992" s="4"/>
      <c r="N992" s="4"/>
      <c r="O992" s="4"/>
      <c r="P992" s="4"/>
      <c r="Q992" s="4"/>
      <c r="R992" s="4"/>
      <c r="S992" s="4"/>
      <c r="T992" s="4"/>
      <c r="U992" s="4"/>
      <c r="V992" s="4"/>
      <c r="W992" s="4"/>
      <c r="X992" s="4"/>
      <c r="Y992" s="4"/>
      <c r="Z992" s="4"/>
    </row>
    <row r="993" ht="9.75" customHeight="1">
      <c r="A993" s="4"/>
      <c r="B993" s="7"/>
      <c r="C993" s="7"/>
      <c r="D993" s="4"/>
      <c r="E993" s="4"/>
      <c r="F993" s="7"/>
      <c r="G993" s="7"/>
      <c r="H993" s="4"/>
      <c r="I993" s="4"/>
      <c r="J993" s="7"/>
      <c r="K993" s="4"/>
      <c r="L993" s="4"/>
      <c r="M993" s="4"/>
      <c r="N993" s="4"/>
      <c r="O993" s="4"/>
      <c r="P993" s="4"/>
      <c r="Q993" s="4"/>
      <c r="R993" s="4"/>
      <c r="S993" s="4"/>
      <c r="T993" s="4"/>
      <c r="U993" s="4"/>
      <c r="V993" s="4"/>
      <c r="W993" s="4"/>
      <c r="X993" s="4"/>
      <c r="Y993" s="4"/>
      <c r="Z993" s="4"/>
    </row>
    <row r="994" ht="9.75" customHeight="1">
      <c r="A994" s="4"/>
      <c r="B994" s="7"/>
      <c r="C994" s="7"/>
      <c r="D994" s="4"/>
      <c r="E994" s="4"/>
      <c r="F994" s="7"/>
      <c r="G994" s="7"/>
      <c r="H994" s="4"/>
      <c r="I994" s="4"/>
      <c r="J994" s="7"/>
      <c r="K994" s="4"/>
      <c r="L994" s="4"/>
      <c r="M994" s="4"/>
      <c r="N994" s="4"/>
      <c r="O994" s="4"/>
      <c r="P994" s="4"/>
      <c r="Q994" s="4"/>
      <c r="R994" s="4"/>
      <c r="S994" s="4"/>
      <c r="T994" s="4"/>
      <c r="U994" s="4"/>
      <c r="V994" s="4"/>
      <c r="W994" s="4"/>
      <c r="X994" s="4"/>
      <c r="Y994" s="4"/>
      <c r="Z994" s="4"/>
    </row>
    <row r="995" ht="9.75" customHeight="1">
      <c r="A995" s="4"/>
      <c r="B995" s="7"/>
      <c r="C995" s="7"/>
      <c r="D995" s="4"/>
      <c r="E995" s="4"/>
      <c r="F995" s="7"/>
      <c r="G995" s="7"/>
      <c r="H995" s="4"/>
      <c r="I995" s="4"/>
      <c r="J995" s="7"/>
      <c r="K995" s="4"/>
      <c r="L995" s="4"/>
      <c r="M995" s="4"/>
      <c r="N995" s="4"/>
      <c r="O995" s="4"/>
      <c r="P995" s="4"/>
      <c r="Q995" s="4"/>
      <c r="R995" s="4"/>
      <c r="S995" s="4"/>
      <c r="T995" s="4"/>
      <c r="U995" s="4"/>
      <c r="V995" s="4"/>
      <c r="W995" s="4"/>
      <c r="X995" s="4"/>
      <c r="Y995" s="4"/>
      <c r="Z995" s="4"/>
    </row>
    <row r="996" ht="9.75" customHeight="1">
      <c r="A996" s="4"/>
      <c r="B996" s="7"/>
      <c r="C996" s="7"/>
      <c r="D996" s="4"/>
      <c r="E996" s="4"/>
      <c r="F996" s="7"/>
      <c r="G996" s="7"/>
      <c r="H996" s="4"/>
      <c r="I996" s="4"/>
      <c r="J996" s="7"/>
      <c r="K996" s="4"/>
      <c r="L996" s="4"/>
      <c r="M996" s="4"/>
      <c r="N996" s="4"/>
      <c r="O996" s="4"/>
      <c r="P996" s="4"/>
      <c r="Q996" s="4"/>
      <c r="R996" s="4"/>
      <c r="S996" s="4"/>
      <c r="T996" s="4"/>
      <c r="U996" s="4"/>
      <c r="V996" s="4"/>
      <c r="W996" s="4"/>
      <c r="X996" s="4"/>
      <c r="Y996" s="4"/>
      <c r="Z996" s="4"/>
    </row>
    <row r="997" ht="9.75" customHeight="1">
      <c r="A997" s="4"/>
      <c r="B997" s="7"/>
      <c r="C997" s="7"/>
      <c r="D997" s="4"/>
      <c r="E997" s="4"/>
      <c r="F997" s="7"/>
      <c r="G997" s="7"/>
      <c r="H997" s="4"/>
      <c r="I997" s="4"/>
      <c r="J997" s="7"/>
      <c r="K997" s="4"/>
      <c r="L997" s="4"/>
      <c r="M997" s="4"/>
      <c r="N997" s="4"/>
      <c r="O997" s="4"/>
      <c r="P997" s="4"/>
      <c r="Q997" s="4"/>
      <c r="R997" s="4"/>
      <c r="S997" s="4"/>
      <c r="T997" s="4"/>
      <c r="U997" s="4"/>
      <c r="V997" s="4"/>
      <c r="W997" s="4"/>
      <c r="X997" s="4"/>
      <c r="Y997" s="4"/>
      <c r="Z997" s="4"/>
    </row>
    <row r="998" ht="9.75" customHeight="1">
      <c r="A998" s="4"/>
      <c r="B998" s="7"/>
      <c r="C998" s="7"/>
      <c r="D998" s="4"/>
      <c r="E998" s="4"/>
      <c r="F998" s="7"/>
      <c r="G998" s="7"/>
      <c r="H998" s="4"/>
      <c r="I998" s="4"/>
      <c r="J998" s="7"/>
      <c r="K998" s="4"/>
      <c r="L998" s="4"/>
      <c r="M998" s="4"/>
      <c r="N998" s="4"/>
      <c r="O998" s="4"/>
      <c r="P998" s="4"/>
      <c r="Q998" s="4"/>
      <c r="R998" s="4"/>
      <c r="S998" s="4"/>
      <c r="T998" s="4"/>
      <c r="U998" s="4"/>
      <c r="V998" s="4"/>
      <c r="W998" s="4"/>
      <c r="X998" s="4"/>
      <c r="Y998" s="4"/>
      <c r="Z998" s="4"/>
    </row>
    <row r="999" ht="9.75" customHeight="1">
      <c r="A999" s="4"/>
      <c r="B999" s="7"/>
      <c r="C999" s="7"/>
      <c r="D999" s="4"/>
      <c r="E999" s="4"/>
      <c r="F999" s="7"/>
      <c r="G999" s="7"/>
      <c r="H999" s="4"/>
      <c r="I999" s="4"/>
      <c r="J999" s="7"/>
      <c r="K999" s="4"/>
      <c r="L999" s="4"/>
      <c r="M999" s="4"/>
      <c r="N999" s="4"/>
      <c r="O999" s="4"/>
      <c r="P999" s="4"/>
      <c r="Q999" s="4"/>
      <c r="R999" s="4"/>
      <c r="S999" s="4"/>
      <c r="T999" s="4"/>
      <c r="U999" s="4"/>
      <c r="V999" s="4"/>
      <c r="W999" s="4"/>
      <c r="X999" s="4"/>
      <c r="Y999" s="4"/>
      <c r="Z999" s="4"/>
    </row>
    <row r="1000" ht="9.75" customHeight="1">
      <c r="A1000" s="4"/>
      <c r="B1000" s="7"/>
      <c r="C1000" s="7"/>
      <c r="D1000" s="4"/>
      <c r="E1000" s="4"/>
      <c r="F1000" s="7"/>
      <c r="G1000" s="7"/>
      <c r="H1000" s="4"/>
      <c r="I1000" s="4"/>
      <c r="J1000" s="7"/>
      <c r="K1000" s="4"/>
      <c r="L1000" s="4"/>
      <c r="M1000" s="4"/>
      <c r="N1000" s="4"/>
      <c r="O1000" s="4"/>
      <c r="P1000" s="4"/>
      <c r="Q1000" s="4"/>
      <c r="R1000" s="4"/>
      <c r="S1000" s="4"/>
      <c r="T1000" s="4"/>
      <c r="U1000" s="4"/>
      <c r="V1000" s="4"/>
      <c r="W1000" s="4"/>
      <c r="X1000" s="4"/>
      <c r="Y1000" s="4"/>
      <c r="Z1000" s="4"/>
    </row>
  </sheetData>
  <mergeCells count="16">
    <mergeCell ref="A1:K1"/>
    <mergeCell ref="B6:E6"/>
    <mergeCell ref="B7:F7"/>
    <mergeCell ref="B8:F8"/>
    <mergeCell ref="B9:E9"/>
    <mergeCell ref="B10:E10"/>
    <mergeCell ref="B11:E11"/>
    <mergeCell ref="B17:F17"/>
    <mergeCell ref="B18:E19"/>
    <mergeCell ref="B12:F12"/>
    <mergeCell ref="B13:F13"/>
    <mergeCell ref="B14:F14"/>
    <mergeCell ref="I14:J14"/>
    <mergeCell ref="B15:F15"/>
    <mergeCell ref="I15:J15"/>
    <mergeCell ref="B16:F16"/>
  </mergeCells>
  <conditionalFormatting sqref="B6:F16">
    <cfRule type="cellIs" dxfId="0" priority="1" stopIfTrue="1" operator="equal">
      <formula>""" """</formula>
    </cfRule>
  </conditionalFormatting>
  <conditionalFormatting sqref="B6:F16">
    <cfRule type="cellIs" dxfId="0" priority="2" stopIfTrue="1" operator="equal">
      <formula>0</formula>
    </cfRule>
  </conditionalFormatting>
  <conditionalFormatting sqref="B17:F17">
    <cfRule type="cellIs" dxfId="0" priority="3" stopIfTrue="1" operator="equal">
      <formula>""" """</formula>
    </cfRule>
  </conditionalFormatting>
  <conditionalFormatting sqref="B17:F17">
    <cfRule type="cellIs" dxfId="0" priority="4" stopIfTrue="1" operator="equal">
      <formula>0</formula>
    </cfRule>
  </conditionalFormatting>
  <conditionalFormatting sqref="B18">
    <cfRule type="cellIs" dxfId="0" priority="5" stopIfTrue="1" operator="equal">
      <formula>""" """</formula>
    </cfRule>
  </conditionalFormatting>
  <conditionalFormatting sqref="B18">
    <cfRule type="cellIs" dxfId="0" priority="6" stopIfTrue="1" operator="equal">
      <formula>0</formula>
    </cfRule>
  </conditionalFormatting>
  <printOptions/>
  <pageMargins bottom="0.43" footer="0.0" header="0.0" left="0.25" right="0.25" top="0.5"/>
  <pageSetup fitToHeight="0" orientation="landscape"/>
  <headerFooter>
    <oddFooter>&amp;C Page &amp;P of &amp;R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58.0"/>
    <col customWidth="1" min="3" max="3" width="8.86"/>
    <col customWidth="1" min="4" max="4" width="18.14"/>
    <col customWidth="1" min="5" max="5" width="8.86"/>
    <col customWidth="1" min="6" max="6" width="54.29"/>
    <col customWidth="1" min="7" max="10" width="8.86"/>
    <col customWidth="1" min="11" max="26" width="8.71"/>
  </cols>
  <sheetData>
    <row r="1" ht="12.75" customHeight="1">
      <c r="C1" s="70"/>
      <c r="D1" s="70"/>
      <c r="E1" s="70"/>
      <c r="F1" s="71"/>
      <c r="G1" s="71"/>
      <c r="H1" s="71"/>
      <c r="I1" s="71"/>
      <c r="J1" s="70"/>
      <c r="K1" s="70"/>
      <c r="L1" s="70"/>
      <c r="M1" s="70"/>
      <c r="N1" s="70"/>
      <c r="O1" s="70"/>
      <c r="P1" s="70"/>
      <c r="Q1" s="70"/>
      <c r="R1" s="70"/>
      <c r="S1" s="70"/>
      <c r="T1" s="70"/>
      <c r="U1" s="70"/>
      <c r="V1" s="70"/>
      <c r="W1" s="70"/>
      <c r="X1" s="70"/>
      <c r="Y1" s="70"/>
      <c r="Z1" s="70"/>
    </row>
    <row r="2" ht="12.75" customHeight="1">
      <c r="C2" s="70"/>
      <c r="D2" s="70"/>
      <c r="E2" s="70"/>
      <c r="F2" s="70"/>
      <c r="G2" s="70"/>
      <c r="H2" s="70"/>
      <c r="I2" s="70"/>
      <c r="J2" s="70"/>
      <c r="K2" s="70"/>
      <c r="L2" s="70"/>
      <c r="M2" s="70"/>
      <c r="N2" s="70"/>
      <c r="O2" s="70"/>
      <c r="P2" s="70"/>
      <c r="Q2" s="70"/>
      <c r="R2" s="70"/>
      <c r="S2" s="70"/>
      <c r="T2" s="70"/>
      <c r="U2" s="70"/>
      <c r="V2" s="70"/>
      <c r="W2" s="70"/>
      <c r="X2" s="70"/>
      <c r="Y2" s="70"/>
      <c r="Z2" s="70"/>
    </row>
    <row r="3" ht="12.75" customHeight="1">
      <c r="A3" s="72"/>
      <c r="B3" s="72"/>
      <c r="C3" s="70"/>
      <c r="D3" s="73" t="s">
        <v>155</v>
      </c>
      <c r="E3" s="70"/>
      <c r="F3" s="70"/>
      <c r="G3" s="70"/>
      <c r="H3" s="70"/>
      <c r="I3" s="70"/>
      <c r="J3" s="70"/>
      <c r="K3" s="70"/>
      <c r="L3" s="70"/>
      <c r="M3" s="70"/>
      <c r="N3" s="70"/>
      <c r="O3" s="70"/>
      <c r="P3" s="70"/>
      <c r="Q3" s="70"/>
      <c r="R3" s="70"/>
      <c r="S3" s="70"/>
      <c r="T3" s="70"/>
      <c r="U3" s="70"/>
      <c r="V3" s="70"/>
      <c r="W3" s="70"/>
      <c r="X3" s="70"/>
      <c r="Y3" s="70"/>
      <c r="Z3" s="70"/>
    </row>
    <row r="4" ht="12.75" customHeight="1">
      <c r="A4" s="72"/>
      <c r="B4" s="72"/>
      <c r="C4" s="70"/>
      <c r="D4" s="70"/>
      <c r="E4" s="70"/>
      <c r="F4" s="70"/>
      <c r="G4" s="70"/>
      <c r="H4" s="70"/>
      <c r="I4" s="70"/>
      <c r="J4" s="70"/>
      <c r="K4" s="70"/>
      <c r="L4" s="70"/>
      <c r="M4" s="70"/>
      <c r="N4" s="70"/>
      <c r="O4" s="70"/>
      <c r="P4" s="70"/>
      <c r="Q4" s="70"/>
      <c r="R4" s="70"/>
      <c r="S4" s="70"/>
      <c r="T4" s="70"/>
      <c r="U4" s="70"/>
      <c r="V4" s="70"/>
      <c r="W4" s="70"/>
      <c r="X4" s="70"/>
      <c r="Y4" s="70"/>
      <c r="Z4" s="70"/>
    </row>
    <row r="5" ht="12.75" customHeight="1">
      <c r="A5" s="72"/>
      <c r="B5" s="72"/>
      <c r="C5" s="70"/>
      <c r="D5" s="70"/>
      <c r="E5" s="70"/>
      <c r="F5" s="70"/>
      <c r="G5" s="70"/>
      <c r="H5" s="70"/>
      <c r="I5" s="70"/>
      <c r="J5" s="70"/>
      <c r="K5" s="70"/>
      <c r="L5" s="70"/>
      <c r="M5" s="70"/>
      <c r="N5" s="70"/>
      <c r="O5" s="70"/>
      <c r="P5" s="70"/>
      <c r="Q5" s="70"/>
      <c r="R5" s="70"/>
      <c r="S5" s="70"/>
      <c r="T5" s="70"/>
      <c r="U5" s="70"/>
      <c r="V5" s="70"/>
      <c r="W5" s="70"/>
      <c r="X5" s="70"/>
      <c r="Y5" s="70"/>
      <c r="Z5" s="70"/>
    </row>
    <row r="6" ht="12.75" customHeight="1">
      <c r="A6" s="72"/>
      <c r="B6" s="72"/>
      <c r="C6" s="70"/>
      <c r="D6" s="70"/>
      <c r="E6" s="70"/>
      <c r="F6" s="70"/>
      <c r="G6" s="74"/>
      <c r="H6" s="70"/>
      <c r="I6" s="70"/>
      <c r="J6" s="70"/>
      <c r="K6" s="70"/>
      <c r="L6" s="70"/>
      <c r="M6" s="70"/>
      <c r="N6" s="70"/>
      <c r="O6" s="70"/>
      <c r="P6" s="70"/>
      <c r="Q6" s="70"/>
      <c r="R6" s="70"/>
      <c r="S6" s="70"/>
      <c r="T6" s="70"/>
      <c r="U6" s="70"/>
      <c r="V6" s="70"/>
      <c r="W6" s="70"/>
      <c r="X6" s="70"/>
      <c r="Y6" s="70"/>
      <c r="Z6" s="70"/>
    </row>
    <row r="7" ht="12.75" customHeight="1">
      <c r="A7" s="72"/>
      <c r="B7" s="72"/>
      <c r="C7" s="70"/>
      <c r="D7" s="70"/>
      <c r="E7" s="70"/>
      <c r="F7" s="70"/>
      <c r="G7" s="70"/>
      <c r="H7" s="70"/>
      <c r="I7" s="70"/>
      <c r="J7" s="70"/>
      <c r="K7" s="70"/>
      <c r="L7" s="70"/>
      <c r="M7" s="70"/>
      <c r="N7" s="70"/>
      <c r="O7" s="70"/>
      <c r="P7" s="70"/>
      <c r="Q7" s="70"/>
      <c r="R7" s="70"/>
      <c r="S7" s="70"/>
      <c r="T7" s="70"/>
      <c r="U7" s="70"/>
      <c r="V7" s="70"/>
      <c r="W7" s="70"/>
      <c r="X7" s="70"/>
      <c r="Y7" s="70"/>
      <c r="Z7" s="70"/>
    </row>
    <row r="8" ht="12.75" customHeight="1">
      <c r="A8" s="70"/>
      <c r="B8" s="70"/>
      <c r="C8" s="70"/>
      <c r="D8" s="70"/>
      <c r="E8" s="70"/>
      <c r="F8" s="70"/>
      <c r="G8" s="70"/>
      <c r="H8" s="70"/>
      <c r="I8" s="70"/>
      <c r="J8" s="70"/>
      <c r="K8" s="70"/>
      <c r="L8" s="70"/>
      <c r="M8" s="70"/>
      <c r="N8" s="70"/>
      <c r="O8" s="70"/>
      <c r="P8" s="70"/>
      <c r="Q8" s="70"/>
      <c r="R8" s="70"/>
      <c r="S8" s="70"/>
      <c r="T8" s="70"/>
      <c r="U8" s="70"/>
      <c r="V8" s="70"/>
      <c r="W8" s="70"/>
      <c r="X8" s="70"/>
      <c r="Y8" s="70"/>
      <c r="Z8" s="70"/>
    </row>
    <row r="9" ht="12.75" customHeight="1">
      <c r="D9" s="70"/>
      <c r="E9" s="70"/>
      <c r="F9" s="70"/>
      <c r="G9" s="70"/>
      <c r="H9" s="70"/>
      <c r="I9" s="70"/>
      <c r="J9" s="70"/>
      <c r="K9" s="70"/>
      <c r="L9" s="70"/>
      <c r="M9" s="70"/>
      <c r="N9" s="70"/>
      <c r="O9" s="70"/>
      <c r="P9" s="70"/>
      <c r="Q9" s="70"/>
      <c r="R9" s="70"/>
      <c r="S9" s="70"/>
      <c r="T9" s="70"/>
      <c r="U9" s="70"/>
      <c r="V9" s="70"/>
      <c r="W9" s="70"/>
      <c r="X9" s="70"/>
      <c r="Y9" s="70"/>
      <c r="Z9" s="70"/>
    </row>
    <row r="10" ht="12.75" customHeight="1">
      <c r="D10" s="70"/>
      <c r="E10" s="70"/>
      <c r="F10" s="70"/>
      <c r="G10" s="70"/>
      <c r="H10" s="70"/>
      <c r="I10" s="70"/>
      <c r="J10" s="70"/>
      <c r="K10" s="70"/>
      <c r="L10" s="70"/>
      <c r="M10" s="70"/>
      <c r="N10" s="70"/>
      <c r="O10" s="70"/>
      <c r="P10" s="70"/>
      <c r="Q10" s="70"/>
      <c r="R10" s="70"/>
      <c r="S10" s="70"/>
      <c r="T10" s="70"/>
      <c r="U10" s="70"/>
      <c r="V10" s="70"/>
      <c r="W10" s="70"/>
      <c r="X10" s="70"/>
      <c r="Y10" s="70"/>
      <c r="Z10" s="70"/>
    </row>
    <row r="11" ht="12.75" hidden="1" customHeight="1">
      <c r="D11" s="70"/>
      <c r="E11" s="70"/>
      <c r="F11" s="70"/>
      <c r="G11" s="70"/>
      <c r="H11" s="70"/>
      <c r="I11" s="70"/>
      <c r="J11" s="70"/>
      <c r="K11" s="70"/>
      <c r="L11" s="70"/>
      <c r="M11" s="70"/>
      <c r="N11" s="70"/>
      <c r="O11" s="70"/>
      <c r="P11" s="70"/>
      <c r="Q11" s="70"/>
      <c r="R11" s="70"/>
      <c r="S11" s="70"/>
      <c r="T11" s="70"/>
      <c r="U11" s="70"/>
      <c r="V11" s="70"/>
      <c r="W11" s="70"/>
      <c r="X11" s="70"/>
      <c r="Y11" s="70"/>
      <c r="Z11" s="70"/>
    </row>
    <row r="12" ht="12.75" hidden="1" customHeight="1">
      <c r="D12" s="70"/>
      <c r="E12" s="70"/>
      <c r="F12" s="70"/>
      <c r="G12" s="70"/>
      <c r="H12" s="70"/>
      <c r="I12" s="70"/>
      <c r="J12" s="70"/>
      <c r="K12" s="70"/>
      <c r="L12" s="70"/>
      <c r="M12" s="70"/>
      <c r="N12" s="70"/>
      <c r="O12" s="70"/>
      <c r="P12" s="70"/>
      <c r="Q12" s="70"/>
      <c r="R12" s="70"/>
      <c r="S12" s="70"/>
      <c r="T12" s="70"/>
      <c r="U12" s="70"/>
      <c r="V12" s="70"/>
      <c r="W12" s="70"/>
      <c r="X12" s="70"/>
      <c r="Y12" s="70"/>
      <c r="Z12" s="70"/>
    </row>
    <row r="13" ht="12.75" hidden="1" customHeight="1">
      <c r="D13" s="82"/>
      <c r="E13" s="70"/>
      <c r="F13" s="70"/>
      <c r="G13" s="70"/>
      <c r="H13" s="70"/>
      <c r="I13" s="70"/>
      <c r="J13" s="70"/>
      <c r="K13" s="70"/>
      <c r="L13" s="70"/>
      <c r="M13" s="70"/>
      <c r="N13" s="70"/>
      <c r="O13" s="70"/>
      <c r="P13" s="70"/>
      <c r="Q13" s="70"/>
      <c r="R13" s="70"/>
      <c r="S13" s="70"/>
      <c r="T13" s="70"/>
      <c r="U13" s="70"/>
      <c r="V13" s="70"/>
      <c r="W13" s="70"/>
      <c r="X13" s="70"/>
      <c r="Y13" s="70"/>
      <c r="Z13" s="70"/>
    </row>
    <row r="14" ht="12.75" hidden="1" customHeight="1">
      <c r="D14" s="70"/>
      <c r="E14" s="70"/>
      <c r="F14" s="70"/>
      <c r="G14" s="70"/>
      <c r="H14" s="70"/>
      <c r="I14" s="70"/>
      <c r="J14" s="70"/>
      <c r="K14" s="70"/>
      <c r="L14" s="70"/>
      <c r="M14" s="70"/>
      <c r="N14" s="70"/>
      <c r="O14" s="70"/>
      <c r="P14" s="70"/>
      <c r="Q14" s="70"/>
      <c r="R14" s="70"/>
      <c r="S14" s="70"/>
      <c r="T14" s="70"/>
      <c r="U14" s="70"/>
      <c r="V14" s="70"/>
      <c r="W14" s="70"/>
      <c r="X14" s="70"/>
      <c r="Y14" s="70"/>
      <c r="Z14" s="70"/>
    </row>
    <row r="15" ht="12.75" hidden="1" customHeight="1">
      <c r="D15" s="70"/>
      <c r="E15" s="70"/>
      <c r="F15" s="70"/>
      <c r="G15" s="70"/>
      <c r="H15" s="70"/>
      <c r="I15" s="70"/>
      <c r="J15" s="70"/>
      <c r="K15" s="70"/>
      <c r="L15" s="70"/>
      <c r="M15" s="70"/>
      <c r="N15" s="70"/>
      <c r="O15" s="70"/>
      <c r="P15" s="70"/>
      <c r="Q15" s="70"/>
      <c r="R15" s="70"/>
      <c r="S15" s="70"/>
      <c r="T15" s="70"/>
      <c r="U15" s="70"/>
      <c r="V15" s="70"/>
      <c r="W15" s="70"/>
      <c r="X15" s="70"/>
      <c r="Y15" s="70"/>
      <c r="Z15" s="70"/>
    </row>
    <row r="16" ht="12.75" hidden="1" customHeight="1">
      <c r="D16" s="70"/>
      <c r="E16" s="70"/>
      <c r="F16" s="70"/>
      <c r="G16" s="70"/>
      <c r="H16" s="70"/>
      <c r="I16" s="70"/>
      <c r="J16" s="70"/>
      <c r="K16" s="70"/>
      <c r="L16" s="70"/>
      <c r="M16" s="70"/>
      <c r="N16" s="70"/>
      <c r="O16" s="70"/>
      <c r="P16" s="70"/>
      <c r="Q16" s="70"/>
      <c r="R16" s="70"/>
      <c r="S16" s="70"/>
      <c r="T16" s="70"/>
      <c r="U16" s="70"/>
      <c r="V16" s="70"/>
      <c r="W16" s="70"/>
      <c r="X16" s="70"/>
      <c r="Y16" s="70"/>
      <c r="Z16" s="70"/>
    </row>
    <row r="17" ht="12.75" hidden="1" customHeight="1">
      <c r="D17" s="70"/>
      <c r="E17" s="70"/>
      <c r="F17" s="70"/>
      <c r="G17" s="70"/>
      <c r="H17" s="70"/>
      <c r="I17" s="70"/>
      <c r="J17" s="70"/>
      <c r="K17" s="70"/>
      <c r="L17" s="70"/>
      <c r="M17" s="70"/>
      <c r="N17" s="70"/>
      <c r="O17" s="70"/>
      <c r="P17" s="70"/>
      <c r="Q17" s="70"/>
      <c r="R17" s="70"/>
      <c r="S17" s="70"/>
      <c r="T17" s="70"/>
      <c r="U17" s="70"/>
      <c r="V17" s="70"/>
      <c r="W17" s="70"/>
      <c r="X17" s="70"/>
      <c r="Y17" s="70"/>
      <c r="Z17" s="70"/>
    </row>
    <row r="18" ht="12.75" hidden="1" customHeight="1">
      <c r="D18" s="70"/>
      <c r="E18" s="70"/>
      <c r="F18" s="70"/>
      <c r="G18" s="70"/>
      <c r="H18" s="70"/>
      <c r="I18" s="70"/>
      <c r="J18" s="70"/>
      <c r="K18" s="70"/>
      <c r="L18" s="70"/>
      <c r="M18" s="70"/>
      <c r="N18" s="70"/>
      <c r="O18" s="70"/>
      <c r="P18" s="70"/>
      <c r="Q18" s="70"/>
      <c r="R18" s="70"/>
      <c r="S18" s="70"/>
      <c r="T18" s="70"/>
      <c r="U18" s="70"/>
      <c r="V18" s="70"/>
      <c r="W18" s="70"/>
      <c r="X18" s="70"/>
      <c r="Y18" s="70"/>
      <c r="Z18" s="70"/>
    </row>
    <row r="19" ht="12.75" hidden="1" customHeight="1">
      <c r="D19" s="70"/>
      <c r="E19" s="70"/>
      <c r="F19" s="70"/>
      <c r="G19" s="70"/>
      <c r="H19" s="70"/>
      <c r="I19" s="70"/>
      <c r="J19" s="70"/>
      <c r="K19" s="70"/>
      <c r="L19" s="70"/>
      <c r="M19" s="70"/>
      <c r="N19" s="70"/>
      <c r="O19" s="70"/>
      <c r="P19" s="70"/>
      <c r="Q19" s="70"/>
      <c r="R19" s="70"/>
      <c r="S19" s="70"/>
      <c r="T19" s="70"/>
      <c r="U19" s="70"/>
      <c r="V19" s="70"/>
      <c r="W19" s="70"/>
      <c r="X19" s="70"/>
      <c r="Y19" s="70"/>
      <c r="Z19" s="70"/>
    </row>
    <row r="20" ht="12.75" hidden="1" customHeight="1">
      <c r="D20" s="70"/>
      <c r="E20" s="70"/>
      <c r="F20" s="70"/>
      <c r="G20" s="70"/>
      <c r="H20" s="70"/>
      <c r="I20" s="70"/>
      <c r="J20" s="70"/>
      <c r="K20" s="70"/>
      <c r="L20" s="70"/>
      <c r="M20" s="70"/>
      <c r="N20" s="70"/>
      <c r="O20" s="70"/>
      <c r="P20" s="70"/>
      <c r="Q20" s="70"/>
      <c r="R20" s="70"/>
      <c r="S20" s="70"/>
      <c r="T20" s="70"/>
      <c r="U20" s="70"/>
      <c r="V20" s="70"/>
      <c r="W20" s="70"/>
      <c r="X20" s="70"/>
      <c r="Y20" s="70"/>
      <c r="Z20" s="70"/>
    </row>
    <row r="21" ht="12.75" hidden="1" customHeight="1">
      <c r="D21" s="70"/>
      <c r="E21" s="70"/>
      <c r="F21" s="70"/>
      <c r="G21" s="70"/>
      <c r="H21" s="70"/>
      <c r="I21" s="70"/>
      <c r="J21" s="70"/>
      <c r="K21" s="70"/>
      <c r="L21" s="70"/>
      <c r="M21" s="70"/>
      <c r="N21" s="70"/>
      <c r="O21" s="70"/>
      <c r="P21" s="70"/>
      <c r="Q21" s="70"/>
      <c r="R21" s="70"/>
      <c r="S21" s="70"/>
      <c r="T21" s="70"/>
      <c r="U21" s="70"/>
      <c r="V21" s="70"/>
      <c r="W21" s="70"/>
      <c r="X21" s="70"/>
      <c r="Y21" s="70"/>
      <c r="Z21" s="70"/>
    </row>
    <row r="22" ht="12.75" hidden="1" customHeight="1">
      <c r="D22" s="70"/>
      <c r="E22" s="70"/>
      <c r="F22" s="70"/>
      <c r="G22" s="70"/>
      <c r="H22" s="70"/>
      <c r="I22" s="70"/>
      <c r="J22" s="70"/>
      <c r="K22" s="70"/>
      <c r="L22" s="70"/>
      <c r="M22" s="70"/>
      <c r="N22" s="70"/>
      <c r="O22" s="70"/>
      <c r="P22" s="70"/>
      <c r="Q22" s="70"/>
      <c r="R22" s="70"/>
      <c r="S22" s="70"/>
      <c r="T22" s="70"/>
      <c r="U22" s="70"/>
      <c r="V22" s="70"/>
      <c r="W22" s="70"/>
      <c r="X22" s="70"/>
      <c r="Y22" s="70"/>
      <c r="Z22" s="70"/>
    </row>
    <row r="23" ht="12.75" hidden="1" customHeight="1">
      <c r="D23" s="70"/>
      <c r="E23" s="70"/>
      <c r="F23" s="70"/>
      <c r="G23" s="70"/>
      <c r="H23" s="70"/>
      <c r="I23" s="70"/>
      <c r="J23" s="70"/>
      <c r="K23" s="70"/>
      <c r="L23" s="70"/>
      <c r="M23" s="70"/>
      <c r="N23" s="70"/>
      <c r="O23" s="70"/>
      <c r="P23" s="70"/>
      <c r="Q23" s="70"/>
      <c r="R23" s="70"/>
      <c r="S23" s="70"/>
      <c r="T23" s="70"/>
      <c r="U23" s="70"/>
      <c r="V23" s="70"/>
      <c r="W23" s="70"/>
      <c r="X23" s="70"/>
      <c r="Y23" s="70"/>
      <c r="Z23" s="70"/>
    </row>
    <row r="24" ht="12.75" hidden="1" customHeight="1">
      <c r="D24" s="70"/>
      <c r="E24" s="70"/>
      <c r="F24" s="70"/>
      <c r="G24" s="70"/>
      <c r="H24" s="70"/>
      <c r="I24" s="70"/>
      <c r="J24" s="70"/>
      <c r="K24" s="70"/>
      <c r="L24" s="70"/>
      <c r="M24" s="70"/>
      <c r="N24" s="70"/>
      <c r="O24" s="70"/>
      <c r="P24" s="70"/>
      <c r="Q24" s="70"/>
      <c r="R24" s="70"/>
      <c r="S24" s="70"/>
      <c r="T24" s="70"/>
      <c r="U24" s="70"/>
      <c r="V24" s="70"/>
      <c r="W24" s="70"/>
      <c r="X24" s="70"/>
      <c r="Y24" s="70"/>
      <c r="Z24" s="70"/>
    </row>
    <row r="25" ht="12.75" hidden="1" customHeight="1">
      <c r="D25" s="70"/>
      <c r="E25" s="70"/>
      <c r="F25" s="70"/>
      <c r="G25" s="70"/>
      <c r="H25" s="70"/>
      <c r="I25" s="70"/>
      <c r="J25" s="70"/>
      <c r="K25" s="70"/>
      <c r="L25" s="70"/>
      <c r="M25" s="70"/>
      <c r="N25" s="70"/>
      <c r="O25" s="70"/>
      <c r="P25" s="70"/>
      <c r="Q25" s="70"/>
      <c r="R25" s="70"/>
      <c r="S25" s="70"/>
      <c r="T25" s="70"/>
      <c r="U25" s="70"/>
      <c r="V25" s="70"/>
      <c r="W25" s="70"/>
      <c r="X25" s="70"/>
      <c r="Y25" s="70"/>
      <c r="Z25" s="70"/>
    </row>
    <row r="26" ht="12.75" hidden="1" customHeight="1">
      <c r="D26" s="70"/>
      <c r="E26" s="70"/>
      <c r="F26" s="70"/>
      <c r="G26" s="70"/>
      <c r="H26" s="70"/>
      <c r="I26" s="70"/>
      <c r="J26" s="70"/>
      <c r="K26" s="70"/>
      <c r="L26" s="70"/>
      <c r="M26" s="70"/>
      <c r="N26" s="70"/>
      <c r="O26" s="70"/>
      <c r="P26" s="70"/>
      <c r="Q26" s="70"/>
      <c r="R26" s="70"/>
      <c r="S26" s="70"/>
      <c r="T26" s="70"/>
      <c r="U26" s="70"/>
      <c r="V26" s="70"/>
      <c r="W26" s="70"/>
      <c r="X26" s="70"/>
      <c r="Y26" s="70"/>
      <c r="Z26" s="70"/>
    </row>
    <row r="27" ht="12.75" hidden="1" customHeight="1">
      <c r="D27" s="70"/>
      <c r="E27" s="70"/>
      <c r="F27" s="70"/>
      <c r="G27" s="70"/>
      <c r="H27" s="70"/>
      <c r="I27" s="70"/>
      <c r="J27" s="70"/>
      <c r="K27" s="70"/>
      <c r="L27" s="70"/>
      <c r="M27" s="70"/>
      <c r="N27" s="70"/>
      <c r="O27" s="70"/>
      <c r="P27" s="70"/>
      <c r="Q27" s="70"/>
      <c r="R27" s="70"/>
      <c r="S27" s="70"/>
      <c r="T27" s="70"/>
      <c r="U27" s="70"/>
      <c r="V27" s="70"/>
      <c r="W27" s="70"/>
      <c r="X27" s="70"/>
      <c r="Y27" s="70"/>
      <c r="Z27" s="70"/>
    </row>
    <row r="28" ht="12.75" hidden="1" customHeight="1">
      <c r="D28" s="70"/>
      <c r="E28" s="70"/>
      <c r="F28" s="70"/>
      <c r="G28" s="70"/>
      <c r="H28" s="70"/>
      <c r="I28" s="70"/>
      <c r="J28" s="70"/>
      <c r="K28" s="70"/>
      <c r="L28" s="70"/>
      <c r="M28" s="70"/>
      <c r="N28" s="70"/>
      <c r="O28" s="70"/>
      <c r="P28" s="70"/>
      <c r="Q28" s="70"/>
      <c r="R28" s="70"/>
      <c r="S28" s="70"/>
      <c r="T28" s="70"/>
      <c r="U28" s="70"/>
      <c r="V28" s="70"/>
      <c r="W28" s="70"/>
      <c r="X28" s="70"/>
      <c r="Y28" s="70"/>
      <c r="Z28" s="70"/>
    </row>
    <row r="29" ht="12.75" hidden="1" customHeight="1">
      <c r="D29" s="70"/>
      <c r="E29" s="70"/>
      <c r="F29" s="70"/>
      <c r="G29" s="70"/>
      <c r="H29" s="70"/>
      <c r="I29" s="70"/>
      <c r="J29" s="70"/>
      <c r="K29" s="70"/>
      <c r="L29" s="70"/>
      <c r="M29" s="70"/>
      <c r="N29" s="70"/>
      <c r="O29" s="70"/>
      <c r="P29" s="70"/>
      <c r="Q29" s="70"/>
      <c r="R29" s="70"/>
      <c r="S29" s="70"/>
      <c r="T29" s="70"/>
      <c r="U29" s="70"/>
      <c r="V29" s="70"/>
      <c r="W29" s="70"/>
      <c r="X29" s="70"/>
      <c r="Y29" s="70"/>
      <c r="Z29" s="70"/>
    </row>
    <row r="30" ht="12.75" hidden="1" customHeight="1">
      <c r="D30" s="70"/>
      <c r="E30" s="70"/>
      <c r="F30" s="70"/>
      <c r="G30" s="70"/>
      <c r="H30" s="70"/>
      <c r="I30" s="70"/>
      <c r="J30" s="70"/>
      <c r="K30" s="70"/>
      <c r="L30" s="70"/>
      <c r="M30" s="70"/>
      <c r="N30" s="70"/>
      <c r="O30" s="70"/>
      <c r="P30" s="70"/>
      <c r="Q30" s="70"/>
      <c r="R30" s="70"/>
      <c r="S30" s="70"/>
      <c r="T30" s="70"/>
      <c r="U30" s="70"/>
      <c r="V30" s="70"/>
      <c r="W30" s="70"/>
      <c r="X30" s="70"/>
      <c r="Y30" s="70"/>
      <c r="Z30" s="70"/>
    </row>
    <row r="31" ht="12.75" hidden="1" customHeight="1">
      <c r="D31" s="70"/>
      <c r="E31" s="70"/>
      <c r="F31" s="70"/>
      <c r="G31" s="70"/>
      <c r="H31" s="70"/>
      <c r="I31" s="70"/>
      <c r="J31" s="70"/>
      <c r="K31" s="70"/>
      <c r="L31" s="70"/>
      <c r="M31" s="70"/>
      <c r="N31" s="70"/>
      <c r="O31" s="70"/>
      <c r="P31" s="70"/>
      <c r="Q31" s="70"/>
      <c r="R31" s="70"/>
      <c r="S31" s="70"/>
      <c r="T31" s="70"/>
      <c r="U31" s="70"/>
      <c r="V31" s="70"/>
      <c r="W31" s="70"/>
      <c r="X31" s="70"/>
      <c r="Y31" s="70"/>
      <c r="Z31" s="70"/>
    </row>
    <row r="32" ht="12.75" hidden="1" customHeight="1">
      <c r="D32" s="70"/>
      <c r="E32" s="70"/>
      <c r="F32" s="70"/>
      <c r="G32" s="70"/>
      <c r="H32" s="70"/>
      <c r="I32" s="70"/>
      <c r="J32" s="70"/>
      <c r="K32" s="70"/>
      <c r="L32" s="70"/>
      <c r="M32" s="70"/>
      <c r="N32" s="70"/>
      <c r="O32" s="70"/>
      <c r="P32" s="70"/>
      <c r="Q32" s="70"/>
      <c r="R32" s="70"/>
      <c r="S32" s="70"/>
      <c r="T32" s="70"/>
      <c r="U32" s="70"/>
      <c r="V32" s="70"/>
      <c r="W32" s="70"/>
      <c r="X32" s="70"/>
      <c r="Y32" s="70"/>
      <c r="Z32" s="70"/>
    </row>
    <row r="33" ht="12.75" hidden="1" customHeight="1">
      <c r="D33" s="70"/>
      <c r="E33" s="70"/>
      <c r="F33" s="70"/>
      <c r="G33" s="70"/>
      <c r="H33" s="70"/>
      <c r="I33" s="70"/>
      <c r="J33" s="70"/>
      <c r="K33" s="70"/>
      <c r="L33" s="70"/>
      <c r="M33" s="70"/>
      <c r="N33" s="70"/>
      <c r="O33" s="70"/>
      <c r="P33" s="70"/>
      <c r="Q33" s="70"/>
      <c r="R33" s="70"/>
      <c r="S33" s="70"/>
      <c r="T33" s="70"/>
      <c r="U33" s="70"/>
      <c r="V33" s="70"/>
      <c r="W33" s="70"/>
      <c r="X33" s="70"/>
      <c r="Y33" s="70"/>
      <c r="Z33" s="70"/>
    </row>
    <row r="34" ht="12.75" hidden="1" customHeight="1">
      <c r="D34" s="70"/>
      <c r="E34" s="70"/>
      <c r="F34" s="70"/>
      <c r="G34" s="70"/>
      <c r="H34" s="70"/>
      <c r="I34" s="70"/>
      <c r="J34" s="70"/>
      <c r="K34" s="70"/>
      <c r="L34" s="70"/>
      <c r="M34" s="70"/>
      <c r="N34" s="70"/>
      <c r="O34" s="70"/>
      <c r="P34" s="70"/>
      <c r="Q34" s="70"/>
      <c r="R34" s="70"/>
      <c r="S34" s="70"/>
      <c r="T34" s="70"/>
      <c r="U34" s="70"/>
      <c r="V34" s="70"/>
      <c r="W34" s="70"/>
      <c r="X34" s="70"/>
      <c r="Y34" s="70"/>
      <c r="Z34" s="70"/>
    </row>
    <row r="35" ht="12.75" hidden="1" customHeight="1">
      <c r="D35" s="70"/>
      <c r="E35" s="70"/>
      <c r="F35" s="70"/>
      <c r="G35" s="70"/>
      <c r="H35" s="70"/>
      <c r="I35" s="70"/>
      <c r="J35" s="70"/>
      <c r="K35" s="70"/>
      <c r="L35" s="70"/>
      <c r="M35" s="70"/>
      <c r="N35" s="70"/>
      <c r="O35" s="70"/>
      <c r="P35" s="70"/>
      <c r="Q35" s="70"/>
      <c r="R35" s="70"/>
      <c r="S35" s="70"/>
      <c r="T35" s="70"/>
      <c r="U35" s="70"/>
      <c r="V35" s="70"/>
      <c r="W35" s="70"/>
      <c r="X35" s="70"/>
      <c r="Y35" s="70"/>
      <c r="Z35" s="70"/>
    </row>
    <row r="36" ht="12.75" hidden="1" customHeight="1">
      <c r="D36" s="70"/>
      <c r="E36" s="70"/>
      <c r="F36" s="70"/>
      <c r="G36" s="70"/>
      <c r="H36" s="70"/>
      <c r="I36" s="70"/>
      <c r="J36" s="70"/>
      <c r="K36" s="70"/>
      <c r="L36" s="70"/>
      <c r="M36" s="70"/>
      <c r="N36" s="70"/>
      <c r="O36" s="70"/>
      <c r="P36" s="70"/>
      <c r="Q36" s="70"/>
      <c r="R36" s="70"/>
      <c r="S36" s="70"/>
      <c r="T36" s="70"/>
      <c r="U36" s="70"/>
      <c r="V36" s="70"/>
      <c r="W36" s="70"/>
      <c r="X36" s="70"/>
      <c r="Y36" s="70"/>
      <c r="Z36" s="70"/>
    </row>
    <row r="37" ht="12.75" hidden="1" customHeight="1">
      <c r="D37" s="70"/>
      <c r="E37" s="70"/>
      <c r="F37" s="70"/>
      <c r="G37" s="70"/>
      <c r="H37" s="70"/>
      <c r="I37" s="70"/>
      <c r="J37" s="70"/>
      <c r="K37" s="70"/>
      <c r="L37" s="70"/>
      <c r="M37" s="70"/>
      <c r="N37" s="70"/>
      <c r="O37" s="70"/>
      <c r="P37" s="70"/>
      <c r="Q37" s="70"/>
      <c r="R37" s="70"/>
      <c r="S37" s="70"/>
      <c r="T37" s="70"/>
      <c r="U37" s="70"/>
      <c r="V37" s="70"/>
      <c r="W37" s="70"/>
      <c r="X37" s="70"/>
      <c r="Y37" s="70"/>
      <c r="Z37" s="70"/>
    </row>
    <row r="38" ht="12.75" hidden="1" customHeight="1">
      <c r="D38" s="70"/>
      <c r="E38" s="70"/>
      <c r="F38" s="70"/>
      <c r="G38" s="70"/>
      <c r="H38" s="70"/>
      <c r="I38" s="70"/>
      <c r="J38" s="70"/>
      <c r="K38" s="70"/>
      <c r="L38" s="70"/>
      <c r="M38" s="70"/>
      <c r="N38" s="70"/>
      <c r="O38" s="70"/>
      <c r="P38" s="70"/>
      <c r="Q38" s="70"/>
      <c r="R38" s="70"/>
      <c r="S38" s="70"/>
      <c r="T38" s="70"/>
      <c r="U38" s="70"/>
      <c r="V38" s="70"/>
      <c r="W38" s="70"/>
      <c r="X38" s="70"/>
      <c r="Y38" s="70"/>
      <c r="Z38" s="70"/>
    </row>
    <row r="39" ht="12.75" hidden="1" customHeight="1">
      <c r="D39" s="70"/>
      <c r="E39" s="70"/>
      <c r="F39" s="70"/>
      <c r="G39" s="70"/>
      <c r="H39" s="70"/>
      <c r="I39" s="70"/>
      <c r="J39" s="70"/>
      <c r="K39" s="70"/>
      <c r="L39" s="70"/>
      <c r="M39" s="70"/>
      <c r="N39" s="70"/>
      <c r="O39" s="70"/>
      <c r="P39" s="70"/>
      <c r="Q39" s="70"/>
      <c r="R39" s="70"/>
      <c r="S39" s="70"/>
      <c r="T39" s="70"/>
      <c r="U39" s="70"/>
      <c r="V39" s="70"/>
      <c r="W39" s="70"/>
      <c r="X39" s="70"/>
      <c r="Y39" s="70"/>
      <c r="Z39" s="70"/>
    </row>
    <row r="40" ht="12.75" hidden="1" customHeight="1">
      <c r="D40" s="70"/>
      <c r="E40" s="70"/>
      <c r="F40" s="70"/>
      <c r="G40" s="70"/>
      <c r="H40" s="70"/>
      <c r="I40" s="70"/>
      <c r="J40" s="70"/>
      <c r="K40" s="70"/>
      <c r="L40" s="70"/>
      <c r="M40" s="70"/>
      <c r="N40" s="70"/>
      <c r="O40" s="70"/>
      <c r="P40" s="70"/>
      <c r="Q40" s="70"/>
      <c r="R40" s="70"/>
      <c r="S40" s="70"/>
      <c r="T40" s="70"/>
      <c r="U40" s="70"/>
      <c r="V40" s="70"/>
      <c r="W40" s="70"/>
      <c r="X40" s="70"/>
      <c r="Y40" s="70"/>
      <c r="Z40" s="70"/>
    </row>
    <row r="41" ht="12.75" hidden="1" customHeight="1">
      <c r="D41" s="70"/>
      <c r="E41" s="70"/>
      <c r="F41" s="70"/>
      <c r="G41" s="70"/>
      <c r="H41" s="70"/>
      <c r="I41" s="70"/>
      <c r="J41" s="70"/>
      <c r="K41" s="70"/>
      <c r="L41" s="70"/>
      <c r="M41" s="70"/>
      <c r="N41" s="70"/>
      <c r="O41" s="70"/>
      <c r="P41" s="70"/>
      <c r="Q41" s="70"/>
      <c r="R41" s="70"/>
      <c r="S41" s="70"/>
      <c r="T41" s="70"/>
      <c r="U41" s="70"/>
      <c r="V41" s="70"/>
      <c r="W41" s="70"/>
      <c r="X41" s="70"/>
      <c r="Y41" s="70"/>
      <c r="Z41" s="70"/>
    </row>
    <row r="42" ht="12.75" hidden="1" customHeight="1">
      <c r="D42" s="70"/>
      <c r="E42" s="70"/>
      <c r="F42" s="70"/>
      <c r="G42" s="70"/>
      <c r="H42" s="70"/>
      <c r="I42" s="70"/>
      <c r="J42" s="70"/>
      <c r="K42" s="70"/>
      <c r="L42" s="70"/>
      <c r="M42" s="70"/>
      <c r="N42" s="70"/>
      <c r="O42" s="70"/>
      <c r="P42" s="70"/>
      <c r="Q42" s="70"/>
      <c r="R42" s="70"/>
      <c r="S42" s="70"/>
      <c r="T42" s="70"/>
      <c r="U42" s="70"/>
      <c r="V42" s="70"/>
      <c r="W42" s="70"/>
      <c r="X42" s="70"/>
      <c r="Y42" s="70"/>
      <c r="Z42" s="70"/>
    </row>
    <row r="43" ht="12.75" hidden="1" customHeight="1">
      <c r="D43" s="70"/>
      <c r="E43" s="70"/>
      <c r="F43" s="70"/>
      <c r="G43" s="70"/>
      <c r="H43" s="70"/>
      <c r="I43" s="70"/>
      <c r="J43" s="70"/>
      <c r="K43" s="70"/>
      <c r="L43" s="70"/>
      <c r="M43" s="70"/>
      <c r="N43" s="70"/>
      <c r="O43" s="70"/>
      <c r="P43" s="70"/>
      <c r="Q43" s="70"/>
      <c r="R43" s="70"/>
      <c r="S43" s="70"/>
      <c r="T43" s="70"/>
      <c r="U43" s="70"/>
      <c r="V43" s="70"/>
      <c r="W43" s="70"/>
      <c r="X43" s="70"/>
      <c r="Y43" s="70"/>
      <c r="Z43" s="70"/>
    </row>
    <row r="44" ht="12.75" hidden="1" customHeight="1">
      <c r="D44" s="70"/>
      <c r="E44" s="70"/>
      <c r="F44" s="70"/>
      <c r="G44" s="70"/>
      <c r="H44" s="70"/>
      <c r="I44" s="70"/>
      <c r="J44" s="70"/>
      <c r="K44" s="70"/>
      <c r="L44" s="70"/>
      <c r="M44" s="70"/>
      <c r="N44" s="70"/>
      <c r="O44" s="70"/>
      <c r="P44" s="70"/>
      <c r="Q44" s="70"/>
      <c r="R44" s="70"/>
      <c r="S44" s="70"/>
      <c r="T44" s="70"/>
      <c r="U44" s="70"/>
      <c r="V44" s="70"/>
      <c r="W44" s="70"/>
      <c r="X44" s="70"/>
      <c r="Y44" s="70"/>
      <c r="Z44" s="70"/>
    </row>
    <row r="45" ht="12.75" hidden="1" customHeight="1">
      <c r="D45" s="70"/>
      <c r="E45" s="70"/>
      <c r="F45" s="70"/>
      <c r="G45" s="70"/>
      <c r="H45" s="70"/>
      <c r="I45" s="70"/>
      <c r="J45" s="70"/>
      <c r="K45" s="70"/>
      <c r="L45" s="70"/>
      <c r="M45" s="70"/>
      <c r="N45" s="70"/>
      <c r="O45" s="70"/>
      <c r="P45" s="70"/>
      <c r="Q45" s="70"/>
      <c r="R45" s="70"/>
      <c r="S45" s="70"/>
      <c r="T45" s="70"/>
      <c r="U45" s="70"/>
      <c r="V45" s="70"/>
      <c r="W45" s="70"/>
      <c r="X45" s="70"/>
      <c r="Y45" s="70"/>
      <c r="Z45" s="70"/>
    </row>
    <row r="46" ht="12.75" hidden="1" customHeight="1">
      <c r="D46" s="70"/>
      <c r="E46" s="70"/>
      <c r="F46" s="70"/>
      <c r="G46" s="70"/>
      <c r="H46" s="70"/>
      <c r="I46" s="70"/>
      <c r="J46" s="70"/>
      <c r="K46" s="70"/>
      <c r="L46" s="70"/>
      <c r="M46" s="70"/>
      <c r="N46" s="70"/>
      <c r="O46" s="70"/>
      <c r="P46" s="70"/>
      <c r="Q46" s="70"/>
      <c r="R46" s="70"/>
      <c r="S46" s="70"/>
      <c r="T46" s="70"/>
      <c r="U46" s="70"/>
      <c r="V46" s="70"/>
      <c r="W46" s="70"/>
      <c r="X46" s="70"/>
      <c r="Y46" s="70"/>
      <c r="Z46" s="70"/>
    </row>
    <row r="47" ht="12.75" hidden="1" customHeight="1">
      <c r="D47" s="70"/>
      <c r="E47" s="70"/>
      <c r="F47" s="70"/>
      <c r="G47" s="70"/>
      <c r="H47" s="70"/>
      <c r="I47" s="70"/>
      <c r="J47" s="70"/>
      <c r="K47" s="70"/>
      <c r="L47" s="70"/>
      <c r="M47" s="70"/>
      <c r="N47" s="70"/>
      <c r="O47" s="70"/>
      <c r="P47" s="70"/>
      <c r="Q47" s="70"/>
      <c r="R47" s="70"/>
      <c r="S47" s="70"/>
      <c r="T47" s="70"/>
      <c r="U47" s="70"/>
      <c r="V47" s="70"/>
      <c r="W47" s="70"/>
      <c r="X47" s="70"/>
      <c r="Y47" s="70"/>
      <c r="Z47" s="70"/>
    </row>
    <row r="48" ht="12.75" hidden="1" customHeight="1">
      <c r="D48" s="70"/>
      <c r="E48" s="70"/>
      <c r="F48" s="70"/>
      <c r="G48" s="70"/>
      <c r="H48" s="70"/>
      <c r="I48" s="70"/>
      <c r="J48" s="70"/>
      <c r="K48" s="70"/>
      <c r="L48" s="70"/>
      <c r="M48" s="70"/>
      <c r="N48" s="70"/>
      <c r="O48" s="70"/>
      <c r="P48" s="70"/>
      <c r="Q48" s="70"/>
      <c r="R48" s="70"/>
      <c r="S48" s="70"/>
      <c r="T48" s="70"/>
      <c r="U48" s="70"/>
      <c r="V48" s="70"/>
      <c r="W48" s="70"/>
      <c r="X48" s="70"/>
      <c r="Y48" s="70"/>
      <c r="Z48" s="70"/>
    </row>
    <row r="49" ht="12.75" hidden="1" customHeight="1">
      <c r="D49" s="70"/>
      <c r="E49" s="70"/>
      <c r="F49" s="70"/>
      <c r="G49" s="70"/>
      <c r="H49" s="70"/>
      <c r="I49" s="70"/>
      <c r="J49" s="70"/>
      <c r="K49" s="70"/>
      <c r="L49" s="70"/>
      <c r="M49" s="70"/>
      <c r="N49" s="70"/>
      <c r="O49" s="70"/>
      <c r="P49" s="70"/>
      <c r="Q49" s="70"/>
      <c r="R49" s="70"/>
      <c r="S49" s="70"/>
      <c r="T49" s="70"/>
      <c r="U49" s="70"/>
      <c r="V49" s="70"/>
      <c r="W49" s="70"/>
      <c r="X49" s="70"/>
      <c r="Y49" s="70"/>
      <c r="Z49" s="70"/>
    </row>
    <row r="50" ht="12.75" hidden="1" customHeight="1">
      <c r="D50" s="70"/>
      <c r="E50" s="70"/>
      <c r="F50" s="70"/>
      <c r="G50" s="70"/>
      <c r="H50" s="70"/>
      <c r="I50" s="70"/>
      <c r="J50" s="70"/>
      <c r="K50" s="70"/>
      <c r="L50" s="70"/>
      <c r="M50" s="70"/>
      <c r="N50" s="70"/>
      <c r="O50" s="70"/>
      <c r="P50" s="70"/>
      <c r="Q50" s="70"/>
      <c r="R50" s="70"/>
      <c r="S50" s="70"/>
      <c r="T50" s="70"/>
      <c r="U50" s="70"/>
      <c r="V50" s="70"/>
      <c r="W50" s="70"/>
      <c r="X50" s="70"/>
      <c r="Y50" s="70"/>
      <c r="Z50" s="70"/>
    </row>
    <row r="51" ht="12.75" hidden="1" customHeight="1">
      <c r="D51" s="70"/>
      <c r="E51" s="70"/>
      <c r="F51" s="70"/>
      <c r="G51" s="70"/>
      <c r="H51" s="70"/>
      <c r="I51" s="70"/>
      <c r="J51" s="70"/>
      <c r="K51" s="70"/>
      <c r="L51" s="70"/>
      <c r="M51" s="70"/>
      <c r="N51" s="70"/>
      <c r="O51" s="70"/>
      <c r="P51" s="70"/>
      <c r="Q51" s="70"/>
      <c r="R51" s="70"/>
      <c r="S51" s="70"/>
      <c r="T51" s="70"/>
      <c r="U51" s="70"/>
      <c r="V51" s="70"/>
      <c r="W51" s="70"/>
      <c r="X51" s="70"/>
      <c r="Y51" s="70"/>
      <c r="Z51" s="70"/>
    </row>
    <row r="52" ht="12.75" hidden="1" customHeight="1">
      <c r="D52" s="70"/>
      <c r="E52" s="70"/>
      <c r="F52" s="70"/>
      <c r="G52" s="70"/>
      <c r="H52" s="70"/>
      <c r="I52" s="70"/>
      <c r="J52" s="70"/>
      <c r="K52" s="70"/>
      <c r="L52" s="70"/>
      <c r="M52" s="70"/>
      <c r="N52" s="70"/>
      <c r="O52" s="70"/>
      <c r="P52" s="70"/>
      <c r="Q52" s="70"/>
      <c r="R52" s="70"/>
      <c r="S52" s="70"/>
      <c r="T52" s="70"/>
      <c r="U52" s="70"/>
      <c r="V52" s="70"/>
      <c r="W52" s="70"/>
      <c r="X52" s="70"/>
      <c r="Y52" s="70"/>
      <c r="Z52" s="70"/>
    </row>
    <row r="53" ht="12.75" hidden="1" customHeight="1">
      <c r="D53" s="70"/>
      <c r="E53" s="70"/>
      <c r="F53" s="70"/>
      <c r="G53" s="70"/>
      <c r="H53" s="70"/>
      <c r="I53" s="70"/>
      <c r="J53" s="70"/>
      <c r="K53" s="70"/>
      <c r="L53" s="70"/>
      <c r="M53" s="70"/>
      <c r="N53" s="70"/>
      <c r="O53" s="70"/>
      <c r="P53" s="70"/>
      <c r="Q53" s="70"/>
      <c r="R53" s="70"/>
      <c r="S53" s="70"/>
      <c r="T53" s="70"/>
      <c r="U53" s="70"/>
      <c r="V53" s="70"/>
      <c r="W53" s="70"/>
      <c r="X53" s="70"/>
      <c r="Y53" s="70"/>
      <c r="Z53" s="70"/>
    </row>
    <row r="54" ht="12.75" hidden="1" customHeight="1">
      <c r="D54" s="70"/>
      <c r="E54" s="70"/>
      <c r="F54" s="70"/>
      <c r="G54" s="70"/>
      <c r="H54" s="70"/>
      <c r="I54" s="70"/>
      <c r="J54" s="70"/>
      <c r="K54" s="70"/>
      <c r="L54" s="70"/>
      <c r="M54" s="70"/>
      <c r="N54" s="70"/>
      <c r="O54" s="70"/>
      <c r="P54" s="70"/>
      <c r="Q54" s="70"/>
      <c r="R54" s="70"/>
      <c r="S54" s="70"/>
      <c r="T54" s="70"/>
      <c r="U54" s="70"/>
      <c r="V54" s="70"/>
      <c r="W54" s="70"/>
      <c r="X54" s="70"/>
      <c r="Y54" s="70"/>
      <c r="Z54" s="70"/>
    </row>
    <row r="55" ht="12.75" hidden="1" customHeight="1">
      <c r="D55" s="70"/>
      <c r="E55" s="70"/>
      <c r="F55" s="70"/>
      <c r="G55" s="70"/>
      <c r="H55" s="70"/>
      <c r="I55" s="70"/>
      <c r="J55" s="70"/>
      <c r="K55" s="70"/>
      <c r="L55" s="70"/>
      <c r="M55" s="70"/>
      <c r="N55" s="70"/>
      <c r="O55" s="70"/>
      <c r="P55" s="70"/>
      <c r="Q55" s="70"/>
      <c r="R55" s="70"/>
      <c r="S55" s="70"/>
      <c r="T55" s="70"/>
      <c r="U55" s="70"/>
      <c r="V55" s="70"/>
      <c r="W55" s="70"/>
      <c r="X55" s="70"/>
      <c r="Y55" s="70"/>
      <c r="Z55" s="70"/>
    </row>
    <row r="56" ht="12.75" hidden="1" customHeight="1">
      <c r="D56" s="70"/>
      <c r="E56" s="70"/>
      <c r="F56" s="70"/>
      <c r="G56" s="70"/>
      <c r="H56" s="70"/>
      <c r="I56" s="70"/>
      <c r="J56" s="70"/>
      <c r="K56" s="70"/>
      <c r="L56" s="70"/>
      <c r="M56" s="70"/>
      <c r="N56" s="70"/>
      <c r="O56" s="70"/>
      <c r="P56" s="70"/>
      <c r="Q56" s="70"/>
      <c r="R56" s="70"/>
      <c r="S56" s="70"/>
      <c r="T56" s="70"/>
      <c r="U56" s="70"/>
      <c r="V56" s="70"/>
      <c r="W56" s="70"/>
      <c r="X56" s="70"/>
      <c r="Y56" s="70"/>
      <c r="Z56" s="70"/>
    </row>
    <row r="57" ht="12.75" hidden="1" customHeight="1">
      <c r="D57" s="70"/>
      <c r="E57" s="70"/>
      <c r="F57" s="70"/>
      <c r="G57" s="70"/>
      <c r="H57" s="70"/>
      <c r="I57" s="70"/>
      <c r="J57" s="70"/>
      <c r="K57" s="70"/>
      <c r="L57" s="70"/>
      <c r="M57" s="70"/>
      <c r="N57" s="70"/>
      <c r="O57" s="70"/>
      <c r="P57" s="70"/>
      <c r="Q57" s="70"/>
      <c r="R57" s="70"/>
      <c r="S57" s="70"/>
      <c r="T57" s="70"/>
      <c r="U57" s="70"/>
      <c r="V57" s="70"/>
      <c r="W57" s="70"/>
      <c r="X57" s="70"/>
      <c r="Y57" s="70"/>
      <c r="Z57" s="70"/>
    </row>
    <row r="58" ht="12.75" hidden="1" customHeight="1">
      <c r="D58" s="70"/>
      <c r="E58" s="70"/>
      <c r="F58" s="70"/>
      <c r="G58" s="70"/>
      <c r="H58" s="70"/>
      <c r="I58" s="70"/>
      <c r="J58" s="70"/>
      <c r="K58" s="70"/>
      <c r="L58" s="70"/>
      <c r="M58" s="70"/>
      <c r="N58" s="70"/>
      <c r="O58" s="70"/>
      <c r="P58" s="70"/>
      <c r="Q58" s="70"/>
      <c r="R58" s="70"/>
      <c r="S58" s="70"/>
      <c r="T58" s="70"/>
      <c r="U58" s="70"/>
      <c r="V58" s="70"/>
      <c r="W58" s="70"/>
      <c r="X58" s="70"/>
      <c r="Y58" s="70"/>
      <c r="Z58" s="70"/>
    </row>
    <row r="59" ht="12.75" hidden="1" customHeight="1">
      <c r="D59" s="70"/>
      <c r="E59" s="70"/>
      <c r="F59" s="70"/>
      <c r="G59" s="70"/>
      <c r="H59" s="70"/>
      <c r="I59" s="70"/>
      <c r="J59" s="70"/>
      <c r="K59" s="70"/>
      <c r="L59" s="70"/>
      <c r="M59" s="70"/>
      <c r="N59" s="70"/>
      <c r="O59" s="70"/>
      <c r="P59" s="70"/>
      <c r="Q59" s="70"/>
      <c r="R59" s="70"/>
      <c r="S59" s="70"/>
      <c r="T59" s="70"/>
      <c r="U59" s="70"/>
      <c r="V59" s="70"/>
      <c r="W59" s="70"/>
      <c r="X59" s="70"/>
      <c r="Y59" s="70"/>
      <c r="Z59" s="70"/>
    </row>
    <row r="60" ht="12.75" hidden="1" customHeight="1">
      <c r="D60" s="70"/>
      <c r="E60" s="70"/>
      <c r="F60" s="70"/>
      <c r="G60" s="70"/>
      <c r="H60" s="70"/>
      <c r="I60" s="70"/>
      <c r="J60" s="70"/>
      <c r="K60" s="70"/>
      <c r="L60" s="70"/>
      <c r="M60" s="70"/>
      <c r="N60" s="70"/>
      <c r="O60" s="70"/>
      <c r="P60" s="70"/>
      <c r="Q60" s="70"/>
      <c r="R60" s="70"/>
      <c r="S60" s="70"/>
      <c r="T60" s="70"/>
      <c r="U60" s="70"/>
      <c r="V60" s="70"/>
      <c r="W60" s="70"/>
      <c r="X60" s="70"/>
      <c r="Y60" s="70"/>
      <c r="Z60" s="70"/>
    </row>
    <row r="61" ht="12.75" hidden="1" customHeight="1">
      <c r="D61" s="70"/>
      <c r="E61" s="70"/>
      <c r="F61" s="70"/>
      <c r="G61" s="70"/>
      <c r="H61" s="70"/>
      <c r="I61" s="70"/>
      <c r="J61" s="70"/>
      <c r="K61" s="70"/>
      <c r="L61" s="70"/>
      <c r="M61" s="70"/>
      <c r="N61" s="70"/>
      <c r="O61" s="70"/>
      <c r="P61" s="70"/>
      <c r="Q61" s="70"/>
      <c r="R61" s="70"/>
      <c r="S61" s="70"/>
      <c r="T61" s="70"/>
      <c r="U61" s="70"/>
      <c r="V61" s="70"/>
      <c r="W61" s="70"/>
      <c r="X61" s="70"/>
      <c r="Y61" s="70"/>
      <c r="Z61" s="70"/>
    </row>
    <row r="62" ht="12.75" hidden="1" customHeight="1">
      <c r="D62" s="70"/>
      <c r="E62" s="70"/>
      <c r="F62" s="70"/>
      <c r="G62" s="70"/>
      <c r="H62" s="70"/>
      <c r="I62" s="70"/>
      <c r="J62" s="70"/>
      <c r="K62" s="70"/>
      <c r="L62" s="70"/>
      <c r="M62" s="70"/>
      <c r="N62" s="70"/>
      <c r="O62" s="70"/>
      <c r="P62" s="70"/>
      <c r="Q62" s="70"/>
      <c r="R62" s="70"/>
      <c r="S62" s="70"/>
      <c r="T62" s="70"/>
      <c r="U62" s="70"/>
      <c r="V62" s="70"/>
      <c r="W62" s="70"/>
      <c r="X62" s="70"/>
      <c r="Y62" s="70"/>
      <c r="Z62" s="70"/>
    </row>
    <row r="63" ht="12.75" hidden="1" customHeight="1">
      <c r="D63" s="70"/>
      <c r="E63" s="70"/>
      <c r="F63" s="70"/>
      <c r="G63" s="70"/>
      <c r="H63" s="70"/>
      <c r="I63" s="70"/>
      <c r="J63" s="70"/>
      <c r="K63" s="70"/>
      <c r="L63" s="70"/>
      <c r="M63" s="70"/>
      <c r="N63" s="70"/>
      <c r="O63" s="70"/>
      <c r="P63" s="70"/>
      <c r="Q63" s="70"/>
      <c r="R63" s="70"/>
      <c r="S63" s="70"/>
      <c r="T63" s="70"/>
      <c r="U63" s="70"/>
      <c r="V63" s="70"/>
      <c r="W63" s="70"/>
      <c r="X63" s="70"/>
      <c r="Y63" s="70"/>
      <c r="Z63" s="70"/>
    </row>
    <row r="64" ht="12.75" hidden="1" customHeight="1">
      <c r="D64" s="70"/>
      <c r="E64" s="70"/>
      <c r="F64" s="70"/>
      <c r="G64" s="70"/>
      <c r="H64" s="70"/>
      <c r="I64" s="70"/>
      <c r="J64" s="70"/>
      <c r="K64" s="70"/>
      <c r="L64" s="70"/>
      <c r="M64" s="70"/>
      <c r="N64" s="70"/>
      <c r="O64" s="70"/>
      <c r="P64" s="70"/>
      <c r="Q64" s="70"/>
      <c r="R64" s="70"/>
      <c r="S64" s="70"/>
      <c r="T64" s="70"/>
      <c r="U64" s="70"/>
      <c r="V64" s="70"/>
      <c r="W64" s="70"/>
      <c r="X64" s="70"/>
      <c r="Y64" s="70"/>
      <c r="Z64" s="70"/>
    </row>
    <row r="65" ht="12.75" hidden="1" customHeight="1">
      <c r="D65" s="70"/>
      <c r="E65" s="70"/>
      <c r="F65" s="70"/>
      <c r="G65" s="70"/>
      <c r="H65" s="70"/>
      <c r="I65" s="70"/>
      <c r="J65" s="70"/>
      <c r="K65" s="70"/>
      <c r="L65" s="70"/>
      <c r="M65" s="70"/>
      <c r="N65" s="70"/>
      <c r="O65" s="70"/>
      <c r="P65" s="70"/>
      <c r="Q65" s="70"/>
      <c r="R65" s="70"/>
      <c r="S65" s="70"/>
      <c r="T65" s="70"/>
      <c r="U65" s="70"/>
      <c r="V65" s="70"/>
      <c r="W65" s="70"/>
      <c r="X65" s="70"/>
      <c r="Y65" s="70"/>
      <c r="Z65" s="70"/>
    </row>
    <row r="66" ht="12.75" hidden="1" customHeight="1">
      <c r="D66" s="70"/>
      <c r="E66" s="70"/>
      <c r="F66" s="70"/>
      <c r="G66" s="70"/>
      <c r="H66" s="70"/>
      <c r="I66" s="70"/>
      <c r="J66" s="70"/>
      <c r="K66" s="70"/>
      <c r="L66" s="70"/>
      <c r="M66" s="70"/>
      <c r="N66" s="70"/>
      <c r="O66" s="70"/>
      <c r="P66" s="70"/>
      <c r="Q66" s="70"/>
      <c r="R66" s="70"/>
      <c r="S66" s="70"/>
      <c r="T66" s="70"/>
      <c r="U66" s="70"/>
      <c r="V66" s="70"/>
      <c r="W66" s="70"/>
      <c r="X66" s="70"/>
      <c r="Y66" s="70"/>
      <c r="Z66" s="70"/>
    </row>
    <row r="67" ht="12.75" hidden="1" customHeight="1">
      <c r="D67" s="70"/>
      <c r="E67" s="70"/>
      <c r="F67" s="70"/>
      <c r="G67" s="70"/>
      <c r="H67" s="70"/>
      <c r="I67" s="70"/>
      <c r="J67" s="70"/>
      <c r="K67" s="70"/>
      <c r="L67" s="70"/>
      <c r="M67" s="70"/>
      <c r="N67" s="70"/>
      <c r="O67" s="70"/>
      <c r="P67" s="70"/>
      <c r="Q67" s="70"/>
      <c r="R67" s="70"/>
      <c r="S67" s="70"/>
      <c r="T67" s="70"/>
      <c r="U67" s="70"/>
      <c r="V67" s="70"/>
      <c r="W67" s="70"/>
      <c r="X67" s="70"/>
      <c r="Y67" s="70"/>
      <c r="Z67" s="70"/>
    </row>
    <row r="68" ht="12.75" hidden="1" customHeight="1">
      <c r="D68" s="70"/>
      <c r="E68" s="70"/>
      <c r="F68" s="70"/>
      <c r="G68" s="70"/>
      <c r="H68" s="70"/>
      <c r="I68" s="70"/>
      <c r="J68" s="70"/>
      <c r="K68" s="70"/>
      <c r="L68" s="70"/>
      <c r="M68" s="70"/>
      <c r="N68" s="70"/>
      <c r="O68" s="70"/>
      <c r="P68" s="70"/>
      <c r="Q68" s="70"/>
      <c r="R68" s="70"/>
      <c r="S68" s="70"/>
      <c r="T68" s="70"/>
      <c r="U68" s="70"/>
      <c r="V68" s="70"/>
      <c r="W68" s="70"/>
      <c r="X68" s="70"/>
      <c r="Y68" s="70"/>
      <c r="Z68" s="70"/>
    </row>
    <row r="69" ht="12.75" hidden="1" customHeight="1">
      <c r="D69" s="70"/>
      <c r="E69" s="70"/>
      <c r="F69" s="70"/>
      <c r="G69" s="70"/>
      <c r="H69" s="70"/>
      <c r="I69" s="70"/>
      <c r="J69" s="70"/>
      <c r="K69" s="70"/>
      <c r="L69" s="70"/>
      <c r="M69" s="70"/>
      <c r="N69" s="70"/>
      <c r="O69" s="70"/>
      <c r="P69" s="70"/>
      <c r="Q69" s="70"/>
      <c r="R69" s="70"/>
      <c r="S69" s="70"/>
      <c r="T69" s="70"/>
      <c r="U69" s="70"/>
      <c r="V69" s="70"/>
      <c r="W69" s="70"/>
      <c r="X69" s="70"/>
      <c r="Y69" s="70"/>
      <c r="Z69" s="70"/>
    </row>
    <row r="70" ht="12.75" hidden="1" customHeight="1">
      <c r="D70" s="70"/>
      <c r="E70" s="70"/>
      <c r="F70" s="70"/>
      <c r="G70" s="70"/>
      <c r="H70" s="70"/>
      <c r="I70" s="70"/>
      <c r="J70" s="70"/>
      <c r="K70" s="70"/>
      <c r="L70" s="70"/>
      <c r="M70" s="70"/>
      <c r="N70" s="70"/>
      <c r="O70" s="70"/>
      <c r="P70" s="70"/>
      <c r="Q70" s="70"/>
      <c r="R70" s="70"/>
      <c r="S70" s="70"/>
      <c r="T70" s="70"/>
      <c r="U70" s="70"/>
      <c r="V70" s="70"/>
      <c r="W70" s="70"/>
      <c r="X70" s="70"/>
      <c r="Y70" s="70"/>
      <c r="Z70" s="70"/>
    </row>
    <row r="71" ht="12.75" hidden="1" customHeight="1">
      <c r="D71" s="70"/>
      <c r="E71" s="70"/>
      <c r="F71" s="70"/>
      <c r="G71" s="70"/>
      <c r="H71" s="70"/>
      <c r="I71" s="70"/>
      <c r="J71" s="70"/>
      <c r="K71" s="70"/>
      <c r="L71" s="70"/>
      <c r="M71" s="70"/>
      <c r="N71" s="70"/>
      <c r="O71" s="70"/>
      <c r="P71" s="70"/>
      <c r="Q71" s="70"/>
      <c r="R71" s="70"/>
      <c r="S71" s="70"/>
      <c r="T71" s="70"/>
      <c r="U71" s="70"/>
      <c r="V71" s="70"/>
      <c r="W71" s="70"/>
      <c r="X71" s="70"/>
      <c r="Y71" s="70"/>
      <c r="Z71" s="70"/>
    </row>
    <row r="72" ht="12.75" hidden="1" customHeight="1">
      <c r="D72" s="70"/>
      <c r="E72" s="70"/>
      <c r="F72" s="70"/>
      <c r="G72" s="70"/>
      <c r="H72" s="70"/>
      <c r="I72" s="70"/>
      <c r="J72" s="70"/>
      <c r="K72" s="70"/>
      <c r="L72" s="70"/>
      <c r="M72" s="70"/>
      <c r="N72" s="70"/>
      <c r="O72" s="70"/>
      <c r="P72" s="70"/>
      <c r="Q72" s="70"/>
      <c r="R72" s="70"/>
      <c r="S72" s="70"/>
      <c r="T72" s="70"/>
      <c r="U72" s="70"/>
      <c r="V72" s="70"/>
      <c r="W72" s="70"/>
      <c r="X72" s="70"/>
      <c r="Y72" s="70"/>
      <c r="Z72" s="70"/>
    </row>
    <row r="73" ht="12.75" hidden="1" customHeight="1">
      <c r="D73" s="70"/>
      <c r="E73" s="70"/>
      <c r="F73" s="70"/>
      <c r="G73" s="70"/>
      <c r="H73" s="70"/>
      <c r="I73" s="70"/>
      <c r="J73" s="70"/>
      <c r="K73" s="70"/>
      <c r="L73" s="70"/>
      <c r="M73" s="70"/>
      <c r="N73" s="70"/>
      <c r="O73" s="70"/>
      <c r="P73" s="70"/>
      <c r="Q73" s="70"/>
      <c r="R73" s="70"/>
      <c r="S73" s="70"/>
      <c r="T73" s="70"/>
      <c r="U73" s="70"/>
      <c r="V73" s="70"/>
      <c r="W73" s="70"/>
      <c r="X73" s="70"/>
      <c r="Y73" s="70"/>
      <c r="Z73" s="70"/>
    </row>
    <row r="74" ht="12.75" hidden="1" customHeight="1">
      <c r="D74" s="70"/>
      <c r="E74" s="70"/>
      <c r="F74" s="70"/>
      <c r="G74" s="70"/>
      <c r="H74" s="70"/>
      <c r="I74" s="70"/>
      <c r="J74" s="70"/>
      <c r="K74" s="70"/>
      <c r="L74" s="70"/>
      <c r="M74" s="70"/>
      <c r="N74" s="70"/>
      <c r="O74" s="70"/>
      <c r="P74" s="70"/>
      <c r="Q74" s="70"/>
      <c r="R74" s="70"/>
      <c r="S74" s="70"/>
      <c r="T74" s="70"/>
      <c r="U74" s="70"/>
      <c r="V74" s="70"/>
      <c r="W74" s="70"/>
      <c r="X74" s="70"/>
      <c r="Y74" s="70"/>
      <c r="Z74" s="70"/>
    </row>
    <row r="75" ht="12.75" hidden="1" customHeight="1">
      <c r="D75" s="70"/>
      <c r="E75" s="70"/>
      <c r="F75" s="70"/>
      <c r="G75" s="70"/>
      <c r="H75" s="70"/>
      <c r="I75" s="70"/>
      <c r="J75" s="70"/>
      <c r="K75" s="70"/>
      <c r="L75" s="70"/>
      <c r="M75" s="70"/>
      <c r="N75" s="70"/>
      <c r="O75" s="70"/>
      <c r="P75" s="70"/>
      <c r="Q75" s="70"/>
      <c r="R75" s="70"/>
      <c r="S75" s="70"/>
      <c r="T75" s="70"/>
      <c r="U75" s="70"/>
      <c r="V75" s="70"/>
      <c r="W75" s="70"/>
      <c r="X75" s="70"/>
      <c r="Y75" s="70"/>
      <c r="Z75" s="70"/>
    </row>
    <row r="76" ht="12.75" hidden="1" customHeight="1">
      <c r="D76" s="70"/>
      <c r="E76" s="70"/>
      <c r="F76" s="70"/>
      <c r="G76" s="70"/>
      <c r="H76" s="70"/>
      <c r="I76" s="70"/>
      <c r="J76" s="70"/>
      <c r="K76" s="70"/>
      <c r="L76" s="70"/>
      <c r="M76" s="70"/>
      <c r="N76" s="70"/>
      <c r="O76" s="70"/>
      <c r="P76" s="70"/>
      <c r="Q76" s="70"/>
      <c r="R76" s="70"/>
      <c r="S76" s="70"/>
      <c r="T76" s="70"/>
      <c r="U76" s="70"/>
      <c r="V76" s="70"/>
      <c r="W76" s="70"/>
      <c r="X76" s="70"/>
      <c r="Y76" s="70"/>
      <c r="Z76" s="70"/>
    </row>
    <row r="77" ht="12.75" hidden="1" customHeight="1">
      <c r="D77" s="70"/>
      <c r="E77" s="70"/>
      <c r="F77" s="70"/>
      <c r="G77" s="70"/>
      <c r="H77" s="70"/>
      <c r="I77" s="70"/>
      <c r="J77" s="70"/>
      <c r="K77" s="70"/>
      <c r="L77" s="70"/>
      <c r="M77" s="70"/>
      <c r="N77" s="70"/>
      <c r="O77" s="70"/>
      <c r="P77" s="70"/>
      <c r="Q77" s="70"/>
      <c r="R77" s="70"/>
      <c r="S77" s="70"/>
      <c r="T77" s="70"/>
      <c r="U77" s="70"/>
      <c r="V77" s="70"/>
      <c r="W77" s="70"/>
      <c r="X77" s="70"/>
      <c r="Y77" s="70"/>
      <c r="Z77" s="70"/>
    </row>
    <row r="78" ht="12.75" hidden="1" customHeight="1">
      <c r="D78" s="70"/>
      <c r="E78" s="70"/>
      <c r="F78" s="70"/>
      <c r="G78" s="70"/>
      <c r="H78" s="70"/>
      <c r="I78" s="70"/>
      <c r="J78" s="70"/>
      <c r="K78" s="70"/>
      <c r="L78" s="70"/>
      <c r="M78" s="70"/>
      <c r="N78" s="70"/>
      <c r="O78" s="70"/>
      <c r="P78" s="70"/>
      <c r="Q78" s="70"/>
      <c r="R78" s="70"/>
      <c r="S78" s="70"/>
      <c r="T78" s="70"/>
      <c r="U78" s="70"/>
      <c r="V78" s="70"/>
      <c r="W78" s="70"/>
      <c r="X78" s="70"/>
      <c r="Y78" s="70"/>
      <c r="Z78" s="70"/>
    </row>
    <row r="79" ht="12.75" hidden="1" customHeight="1">
      <c r="D79" s="70"/>
      <c r="E79" s="70"/>
      <c r="F79" s="70"/>
      <c r="G79" s="70"/>
      <c r="H79" s="70"/>
      <c r="I79" s="70"/>
      <c r="J79" s="70"/>
      <c r="K79" s="70"/>
      <c r="L79" s="70"/>
      <c r="M79" s="70"/>
      <c r="N79" s="70"/>
      <c r="O79" s="70"/>
      <c r="P79" s="70"/>
      <c r="Q79" s="70"/>
      <c r="R79" s="70"/>
      <c r="S79" s="70"/>
      <c r="T79" s="70"/>
      <c r="U79" s="70"/>
      <c r="V79" s="70"/>
      <c r="W79" s="70"/>
      <c r="X79" s="70"/>
      <c r="Y79" s="70"/>
      <c r="Z79" s="70"/>
    </row>
    <row r="80" ht="12.75" hidden="1" customHeight="1">
      <c r="D80" s="70"/>
      <c r="E80" s="70"/>
      <c r="F80" s="70"/>
      <c r="G80" s="70"/>
      <c r="H80" s="70"/>
      <c r="I80" s="70"/>
      <c r="J80" s="70"/>
      <c r="K80" s="70"/>
      <c r="L80" s="70"/>
      <c r="M80" s="70"/>
      <c r="N80" s="70"/>
      <c r="O80" s="70"/>
      <c r="P80" s="70"/>
      <c r="Q80" s="70"/>
      <c r="R80" s="70"/>
      <c r="S80" s="70"/>
      <c r="T80" s="70"/>
      <c r="U80" s="70"/>
      <c r="V80" s="70"/>
      <c r="W80" s="70"/>
      <c r="X80" s="70"/>
      <c r="Y80" s="70"/>
      <c r="Z80" s="70"/>
    </row>
    <row r="81" ht="12.75" hidden="1" customHeight="1">
      <c r="D81" s="70"/>
      <c r="E81" s="70"/>
      <c r="F81" s="70"/>
      <c r="G81" s="70"/>
      <c r="H81" s="70"/>
      <c r="I81" s="70"/>
      <c r="J81" s="70"/>
      <c r="K81" s="70"/>
      <c r="L81" s="70"/>
      <c r="M81" s="70"/>
      <c r="N81" s="70"/>
      <c r="O81" s="70"/>
      <c r="P81" s="70"/>
      <c r="Q81" s="70"/>
      <c r="R81" s="70"/>
      <c r="S81" s="70"/>
      <c r="T81" s="70"/>
      <c r="U81" s="70"/>
      <c r="V81" s="70"/>
      <c r="W81" s="70"/>
      <c r="X81" s="70"/>
      <c r="Y81" s="70"/>
      <c r="Z81" s="70"/>
    </row>
    <row r="82" ht="12.75" hidden="1" customHeight="1">
      <c r="D82" s="70"/>
      <c r="E82" s="70"/>
      <c r="F82" s="70"/>
      <c r="G82" s="70"/>
      <c r="H82" s="70"/>
      <c r="I82" s="70"/>
      <c r="J82" s="70"/>
      <c r="K82" s="70"/>
      <c r="L82" s="70"/>
      <c r="M82" s="70"/>
      <c r="N82" s="70"/>
      <c r="O82" s="70"/>
      <c r="P82" s="70"/>
      <c r="Q82" s="70"/>
      <c r="R82" s="70"/>
      <c r="S82" s="70"/>
      <c r="T82" s="70"/>
      <c r="U82" s="70"/>
      <c r="V82" s="70"/>
      <c r="W82" s="70"/>
      <c r="X82" s="70"/>
      <c r="Y82" s="70"/>
      <c r="Z82" s="70"/>
    </row>
    <row r="83" ht="12.75" hidden="1" customHeight="1">
      <c r="D83" s="70"/>
      <c r="E83" s="70"/>
      <c r="F83" s="70"/>
      <c r="G83" s="70"/>
      <c r="H83" s="70"/>
      <c r="I83" s="70"/>
      <c r="J83" s="70"/>
      <c r="K83" s="70"/>
      <c r="L83" s="70"/>
      <c r="M83" s="70"/>
      <c r="N83" s="70"/>
      <c r="O83" s="70"/>
      <c r="P83" s="70"/>
      <c r="Q83" s="70"/>
      <c r="R83" s="70"/>
      <c r="S83" s="70"/>
      <c r="T83" s="70"/>
      <c r="U83" s="70"/>
      <c r="V83" s="70"/>
      <c r="W83" s="70"/>
      <c r="X83" s="70"/>
      <c r="Y83" s="70"/>
      <c r="Z83" s="70"/>
    </row>
    <row r="84" ht="12.75" hidden="1" customHeight="1">
      <c r="D84" s="70"/>
      <c r="E84" s="70"/>
      <c r="F84" s="70"/>
      <c r="G84" s="70"/>
      <c r="H84" s="70"/>
      <c r="I84" s="70"/>
      <c r="J84" s="70"/>
      <c r="K84" s="70"/>
      <c r="L84" s="70"/>
      <c r="M84" s="70"/>
      <c r="N84" s="70"/>
      <c r="O84" s="70"/>
      <c r="P84" s="70"/>
      <c r="Q84" s="70"/>
      <c r="R84" s="70"/>
      <c r="S84" s="70"/>
      <c r="T84" s="70"/>
      <c r="U84" s="70"/>
      <c r="V84" s="70"/>
      <c r="W84" s="70"/>
      <c r="X84" s="70"/>
      <c r="Y84" s="70"/>
      <c r="Z84" s="70"/>
    </row>
    <row r="85" ht="12.75" hidden="1" customHeight="1">
      <c r="D85" s="70"/>
      <c r="E85" s="70"/>
      <c r="F85" s="70"/>
      <c r="G85" s="70"/>
      <c r="H85" s="70"/>
      <c r="I85" s="70"/>
      <c r="J85" s="70"/>
      <c r="K85" s="70"/>
      <c r="L85" s="70"/>
      <c r="M85" s="70"/>
      <c r="N85" s="70"/>
      <c r="O85" s="70"/>
      <c r="P85" s="70"/>
      <c r="Q85" s="70"/>
      <c r="R85" s="70"/>
      <c r="S85" s="70"/>
      <c r="T85" s="70"/>
      <c r="U85" s="70"/>
      <c r="V85" s="70"/>
      <c r="W85" s="70"/>
      <c r="X85" s="70"/>
      <c r="Y85" s="70"/>
      <c r="Z85" s="70"/>
    </row>
    <row r="86" ht="12.75" hidden="1" customHeight="1">
      <c r="D86" s="70"/>
      <c r="E86" s="70"/>
      <c r="F86" s="70"/>
      <c r="G86" s="70"/>
      <c r="H86" s="70"/>
      <c r="I86" s="70"/>
      <c r="J86" s="70"/>
      <c r="K86" s="70"/>
      <c r="L86" s="70"/>
      <c r="M86" s="70"/>
      <c r="N86" s="70"/>
      <c r="O86" s="70"/>
      <c r="P86" s="70"/>
      <c r="Q86" s="70"/>
      <c r="R86" s="70"/>
      <c r="S86" s="70"/>
      <c r="T86" s="70"/>
      <c r="U86" s="70"/>
      <c r="V86" s="70"/>
      <c r="W86" s="70"/>
      <c r="X86" s="70"/>
      <c r="Y86" s="70"/>
      <c r="Z86" s="70"/>
    </row>
    <row r="87" ht="12.75" hidden="1" customHeight="1">
      <c r="D87" s="70"/>
      <c r="E87" s="70"/>
      <c r="F87" s="70"/>
      <c r="G87" s="70"/>
      <c r="H87" s="70"/>
      <c r="I87" s="70"/>
      <c r="J87" s="70"/>
      <c r="K87" s="70"/>
      <c r="L87" s="70"/>
      <c r="M87" s="70"/>
      <c r="N87" s="70"/>
      <c r="O87" s="70"/>
      <c r="P87" s="70"/>
      <c r="Q87" s="70"/>
      <c r="R87" s="70"/>
      <c r="S87" s="70"/>
      <c r="T87" s="70"/>
      <c r="U87" s="70"/>
      <c r="V87" s="70"/>
      <c r="W87" s="70"/>
      <c r="X87" s="70"/>
      <c r="Y87" s="70"/>
      <c r="Z87" s="70"/>
    </row>
    <row r="88" ht="12.75" hidden="1" customHeight="1">
      <c r="D88" s="70"/>
      <c r="E88" s="70"/>
      <c r="F88" s="70"/>
      <c r="G88" s="70"/>
      <c r="H88" s="70"/>
      <c r="I88" s="70"/>
      <c r="J88" s="70"/>
      <c r="K88" s="70"/>
      <c r="L88" s="70"/>
      <c r="M88" s="70"/>
      <c r="N88" s="70"/>
      <c r="O88" s="70"/>
      <c r="P88" s="70"/>
      <c r="Q88" s="70"/>
      <c r="R88" s="70"/>
      <c r="S88" s="70"/>
      <c r="T88" s="70"/>
      <c r="U88" s="70"/>
      <c r="V88" s="70"/>
      <c r="W88" s="70"/>
      <c r="X88" s="70"/>
      <c r="Y88" s="70"/>
      <c r="Z88" s="70"/>
    </row>
    <row r="89" ht="12.75" hidden="1" customHeight="1">
      <c r="D89" s="70"/>
      <c r="E89" s="70"/>
      <c r="F89" s="70"/>
      <c r="G89" s="70"/>
      <c r="H89" s="70"/>
      <c r="I89" s="70"/>
      <c r="J89" s="70"/>
      <c r="K89" s="70"/>
      <c r="L89" s="70"/>
      <c r="M89" s="70"/>
      <c r="N89" s="70"/>
      <c r="O89" s="70"/>
      <c r="P89" s="70"/>
      <c r="Q89" s="70"/>
      <c r="R89" s="70"/>
      <c r="S89" s="70"/>
      <c r="T89" s="70"/>
      <c r="U89" s="70"/>
      <c r="V89" s="70"/>
      <c r="W89" s="70"/>
      <c r="X89" s="70"/>
      <c r="Y89" s="70"/>
      <c r="Z89" s="70"/>
    </row>
    <row r="90" ht="12.75" hidden="1" customHeight="1">
      <c r="D90" s="70"/>
      <c r="E90" s="70"/>
      <c r="F90" s="70"/>
      <c r="G90" s="70"/>
      <c r="H90" s="70"/>
      <c r="I90" s="70"/>
      <c r="J90" s="70"/>
      <c r="K90" s="70"/>
      <c r="L90" s="70"/>
      <c r="M90" s="70"/>
      <c r="N90" s="70"/>
      <c r="O90" s="70"/>
      <c r="P90" s="70"/>
      <c r="Q90" s="70"/>
      <c r="R90" s="70"/>
      <c r="S90" s="70"/>
      <c r="T90" s="70"/>
      <c r="U90" s="70"/>
      <c r="V90" s="70"/>
      <c r="W90" s="70"/>
      <c r="X90" s="70"/>
      <c r="Y90" s="70"/>
      <c r="Z90" s="70"/>
    </row>
    <row r="91" ht="12.75" hidden="1" customHeight="1">
      <c r="D91" s="70"/>
      <c r="E91" s="70"/>
      <c r="F91" s="70"/>
      <c r="G91" s="70"/>
      <c r="H91" s="70"/>
      <c r="I91" s="70"/>
      <c r="J91" s="70"/>
      <c r="K91" s="70"/>
      <c r="L91" s="70"/>
      <c r="M91" s="70"/>
      <c r="N91" s="70"/>
      <c r="O91" s="70"/>
      <c r="P91" s="70"/>
      <c r="Q91" s="70"/>
      <c r="R91" s="70"/>
      <c r="S91" s="70"/>
      <c r="T91" s="70"/>
      <c r="U91" s="70"/>
      <c r="V91" s="70"/>
      <c r="W91" s="70"/>
      <c r="X91" s="70"/>
      <c r="Y91" s="70"/>
      <c r="Z91" s="70"/>
    </row>
    <row r="92" ht="12.75" hidden="1" customHeight="1">
      <c r="D92" s="70"/>
      <c r="E92" s="70"/>
      <c r="F92" s="70"/>
      <c r="G92" s="70"/>
      <c r="H92" s="70"/>
      <c r="I92" s="70"/>
      <c r="J92" s="70"/>
      <c r="K92" s="70"/>
      <c r="L92" s="70"/>
      <c r="M92" s="70"/>
      <c r="N92" s="70"/>
      <c r="O92" s="70"/>
      <c r="P92" s="70"/>
      <c r="Q92" s="70"/>
      <c r="R92" s="70"/>
      <c r="S92" s="70"/>
      <c r="T92" s="70"/>
      <c r="U92" s="70"/>
      <c r="V92" s="70"/>
      <c r="W92" s="70"/>
      <c r="X92" s="70"/>
      <c r="Y92" s="70"/>
      <c r="Z92" s="70"/>
    </row>
    <row r="93" ht="12.75" hidden="1" customHeight="1">
      <c r="D93" s="70"/>
      <c r="E93" s="70"/>
      <c r="F93" s="70"/>
      <c r="G93" s="70"/>
      <c r="H93" s="70"/>
      <c r="I93" s="70"/>
      <c r="J93" s="70"/>
      <c r="K93" s="70"/>
      <c r="L93" s="70"/>
      <c r="M93" s="70"/>
      <c r="N93" s="70"/>
      <c r="O93" s="70"/>
      <c r="P93" s="70"/>
      <c r="Q93" s="70"/>
      <c r="R93" s="70"/>
      <c r="S93" s="70"/>
      <c r="T93" s="70"/>
      <c r="U93" s="70"/>
      <c r="V93" s="70"/>
      <c r="W93" s="70"/>
      <c r="X93" s="70"/>
      <c r="Y93" s="70"/>
      <c r="Z93" s="70"/>
    </row>
    <row r="94" ht="12.75" hidden="1" customHeight="1">
      <c r="D94" s="70"/>
      <c r="E94" s="70"/>
      <c r="F94" s="70"/>
      <c r="G94" s="70"/>
      <c r="H94" s="70"/>
      <c r="I94" s="70"/>
      <c r="J94" s="70"/>
      <c r="K94" s="70"/>
      <c r="L94" s="70"/>
      <c r="M94" s="70"/>
      <c r="N94" s="70"/>
      <c r="O94" s="70"/>
      <c r="P94" s="70"/>
      <c r="Q94" s="70"/>
      <c r="R94" s="70"/>
      <c r="S94" s="70"/>
      <c r="T94" s="70"/>
      <c r="U94" s="70"/>
      <c r="V94" s="70"/>
      <c r="W94" s="70"/>
      <c r="X94" s="70"/>
      <c r="Y94" s="70"/>
      <c r="Z94" s="70"/>
    </row>
    <row r="95" ht="12.75" hidden="1" customHeight="1">
      <c r="D95" s="70"/>
      <c r="E95" s="70"/>
      <c r="F95" s="70"/>
      <c r="G95" s="70"/>
      <c r="H95" s="70"/>
      <c r="I95" s="70"/>
      <c r="J95" s="70"/>
      <c r="K95" s="70"/>
      <c r="L95" s="70"/>
      <c r="M95" s="70"/>
      <c r="N95" s="70"/>
      <c r="O95" s="70"/>
      <c r="P95" s="70"/>
      <c r="Q95" s="70"/>
      <c r="R95" s="70"/>
      <c r="S95" s="70"/>
      <c r="T95" s="70"/>
      <c r="U95" s="70"/>
      <c r="V95" s="70"/>
      <c r="W95" s="70"/>
      <c r="X95" s="70"/>
      <c r="Y95" s="70"/>
      <c r="Z95" s="70"/>
    </row>
    <row r="96" ht="12.75" hidden="1" customHeight="1">
      <c r="D96" s="70"/>
      <c r="E96" s="70"/>
      <c r="F96" s="70"/>
      <c r="G96" s="70"/>
      <c r="H96" s="70"/>
      <c r="I96" s="70"/>
      <c r="J96" s="70"/>
      <c r="K96" s="70"/>
      <c r="L96" s="70"/>
      <c r="M96" s="70"/>
      <c r="N96" s="70"/>
      <c r="O96" s="70"/>
      <c r="P96" s="70"/>
      <c r="Q96" s="70"/>
      <c r="R96" s="70"/>
      <c r="S96" s="70"/>
      <c r="T96" s="70"/>
      <c r="U96" s="70"/>
      <c r="V96" s="70"/>
      <c r="W96" s="70"/>
      <c r="X96" s="70"/>
      <c r="Y96" s="70"/>
      <c r="Z96" s="70"/>
    </row>
    <row r="97" ht="12.75" hidden="1" customHeight="1">
      <c r="D97" s="70"/>
      <c r="E97" s="70"/>
      <c r="F97" s="70"/>
      <c r="G97" s="70"/>
      <c r="H97" s="70"/>
      <c r="I97" s="70"/>
      <c r="J97" s="70"/>
      <c r="K97" s="70"/>
      <c r="L97" s="70"/>
      <c r="M97" s="70"/>
      <c r="N97" s="70"/>
      <c r="O97" s="70"/>
      <c r="P97" s="70"/>
      <c r="Q97" s="70"/>
      <c r="R97" s="70"/>
      <c r="S97" s="70"/>
      <c r="T97" s="70"/>
      <c r="U97" s="70"/>
      <c r="V97" s="70"/>
      <c r="W97" s="70"/>
      <c r="X97" s="70"/>
      <c r="Y97" s="70"/>
      <c r="Z97" s="70"/>
    </row>
    <row r="98" ht="12.75" hidden="1" customHeight="1">
      <c r="D98" s="70"/>
      <c r="E98" s="70"/>
      <c r="F98" s="70"/>
      <c r="G98" s="70"/>
      <c r="H98" s="70"/>
      <c r="I98" s="70"/>
      <c r="J98" s="70"/>
      <c r="K98" s="70"/>
      <c r="L98" s="70"/>
      <c r="M98" s="70"/>
      <c r="N98" s="70"/>
      <c r="O98" s="70"/>
      <c r="P98" s="70"/>
      <c r="Q98" s="70"/>
      <c r="R98" s="70"/>
      <c r="S98" s="70"/>
      <c r="T98" s="70"/>
      <c r="U98" s="70"/>
      <c r="V98" s="70"/>
      <c r="W98" s="70"/>
      <c r="X98" s="70"/>
      <c r="Y98" s="70"/>
      <c r="Z98" s="70"/>
    </row>
    <row r="99" ht="12.75" hidden="1" customHeight="1">
      <c r="D99" s="70"/>
      <c r="E99" s="70"/>
      <c r="F99" s="70"/>
      <c r="G99" s="70"/>
      <c r="H99" s="70"/>
      <c r="I99" s="70"/>
      <c r="J99" s="70"/>
      <c r="K99" s="70"/>
      <c r="L99" s="70"/>
      <c r="M99" s="70"/>
      <c r="N99" s="70"/>
      <c r="O99" s="70"/>
      <c r="P99" s="70"/>
      <c r="Q99" s="70"/>
      <c r="R99" s="70"/>
      <c r="S99" s="70"/>
      <c r="T99" s="70"/>
      <c r="U99" s="70"/>
      <c r="V99" s="70"/>
      <c r="W99" s="70"/>
      <c r="X99" s="70"/>
      <c r="Y99" s="70"/>
      <c r="Z99" s="70"/>
    </row>
    <row r="100" ht="12.75" hidden="1" customHeight="1">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2.75" hidden="1" customHeight="1">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2.75" hidden="1" customHeight="1">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2.75" hidden="1" customHeight="1">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2.75" hidden="1" customHeight="1">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2.75" hidden="1" customHeight="1">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2.75" hidden="1" customHeight="1">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2.75" hidden="1" customHeight="1">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2.75" hidden="1" customHeight="1">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2.75" hidden="1" customHeight="1">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2.75" hidden="1" customHeight="1">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2.75" hidden="1" customHeight="1">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2.75" hidden="1" customHeight="1">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2.75" hidden="1" customHeight="1">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2.75" hidden="1" customHeight="1">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2.75" hidden="1" customHeight="1">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2.75" hidden="1" customHeight="1">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2.75" hidden="1" customHeight="1">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2.75" hidden="1" customHeight="1">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2.75" hidden="1" customHeight="1">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2.75" hidden="1" customHeight="1">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2.75" hidden="1" customHeight="1">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2.75" hidden="1" customHeight="1">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2.75" hidden="1" customHeight="1">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2.75" hidden="1" customHeight="1">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2.75" hidden="1" customHeight="1">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2.75" hidden="1" customHeight="1">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2.75" hidden="1" customHeight="1">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2.75" hidden="1" customHeight="1">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2.75" hidden="1" customHeight="1">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2.75" hidden="1" customHeight="1">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2.75" hidden="1" customHeight="1">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2.75" hidden="1" customHeight="1">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2.75" hidden="1" customHeight="1">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2.75" hidden="1" customHeight="1">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2.75" hidden="1" customHeight="1">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2.75" hidden="1" customHeight="1">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2.75" hidden="1" customHeight="1">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2.75" hidden="1" customHeight="1">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2.75" customHeight="1">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2.75" customHeight="1">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2.75" customHeight="1">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2.75" customHeight="1">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2.75" customHeight="1">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2.75" customHeight="1">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2.75" customHeight="1">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36.0" customHeight="1">
      <c r="D146" s="85" t="s">
        <v>286</v>
      </c>
      <c r="E146" s="2"/>
      <c r="F146" s="2"/>
      <c r="G146" s="2"/>
      <c r="H146" s="2"/>
      <c r="I146" s="2"/>
      <c r="J146" s="3"/>
      <c r="K146" s="70"/>
      <c r="L146" s="70"/>
      <c r="M146" s="70"/>
      <c r="N146" s="70"/>
      <c r="O146" s="70"/>
      <c r="P146" s="70"/>
      <c r="Q146" s="70"/>
      <c r="R146" s="70"/>
      <c r="S146" s="70"/>
      <c r="T146" s="70"/>
      <c r="U146" s="70"/>
      <c r="V146" s="70"/>
      <c r="W146" s="70"/>
      <c r="X146" s="70"/>
      <c r="Y146" s="70"/>
      <c r="Z146" s="70"/>
    </row>
    <row r="147" ht="12.75" customHeight="1">
      <c r="D147" s="86"/>
      <c r="E147" s="86"/>
      <c r="F147" s="86"/>
      <c r="G147" s="86"/>
      <c r="H147" s="86"/>
      <c r="I147" s="86"/>
      <c r="J147" s="86"/>
      <c r="K147" s="70"/>
      <c r="L147" s="70"/>
      <c r="M147" s="70"/>
      <c r="N147" s="70"/>
      <c r="O147" s="70"/>
      <c r="P147" s="70"/>
      <c r="Q147" s="70"/>
      <c r="R147" s="70"/>
      <c r="S147" s="70"/>
      <c r="T147" s="70"/>
      <c r="U147" s="70"/>
      <c r="V147" s="70"/>
      <c r="W147" s="70"/>
      <c r="X147" s="70"/>
      <c r="Y147" s="70"/>
      <c r="Z147" s="70"/>
    </row>
    <row r="148" ht="12.75" customHeight="1">
      <c r="D148" s="86"/>
      <c r="E148" s="86"/>
      <c r="F148" s="86"/>
      <c r="G148" s="86"/>
      <c r="H148" s="86"/>
      <c r="I148" s="86"/>
      <c r="J148" s="86"/>
      <c r="K148" s="70"/>
      <c r="L148" s="70"/>
      <c r="M148" s="70"/>
      <c r="N148" s="70"/>
      <c r="O148" s="70"/>
      <c r="P148" s="70"/>
      <c r="Q148" s="70"/>
      <c r="R148" s="70"/>
      <c r="S148" s="70"/>
      <c r="T148" s="70"/>
      <c r="U148" s="70"/>
      <c r="V148" s="70"/>
      <c r="W148" s="70"/>
      <c r="X148" s="70"/>
      <c r="Y148" s="70"/>
      <c r="Z148" s="70"/>
    </row>
    <row r="149" ht="27.0" customHeight="1">
      <c r="D149" s="85" t="s">
        <v>287</v>
      </c>
      <c r="E149" s="2"/>
      <c r="F149" s="2"/>
      <c r="G149" s="2"/>
      <c r="H149" s="2"/>
      <c r="I149" s="2"/>
      <c r="J149" s="3"/>
      <c r="K149" s="70"/>
      <c r="L149" s="70"/>
      <c r="M149" s="70"/>
      <c r="N149" s="70"/>
      <c r="O149" s="70"/>
      <c r="P149" s="70"/>
      <c r="Q149" s="70"/>
      <c r="R149" s="70"/>
      <c r="S149" s="70"/>
      <c r="T149" s="70"/>
      <c r="U149" s="70"/>
      <c r="V149" s="70"/>
      <c r="W149" s="70"/>
      <c r="X149" s="70"/>
      <c r="Y149" s="70"/>
      <c r="Z149" s="70"/>
    </row>
    <row r="150" ht="12.75" customHeight="1">
      <c r="D150" s="86"/>
      <c r="E150" s="86"/>
      <c r="F150" s="86"/>
      <c r="G150" s="86"/>
      <c r="H150" s="86"/>
      <c r="I150" s="86"/>
      <c r="J150" s="86"/>
      <c r="K150" s="70"/>
      <c r="L150" s="70"/>
      <c r="M150" s="70"/>
      <c r="N150" s="70"/>
      <c r="O150" s="70"/>
      <c r="P150" s="70"/>
      <c r="Q150" s="70"/>
      <c r="R150" s="70"/>
      <c r="S150" s="70"/>
      <c r="T150" s="70"/>
      <c r="U150" s="70"/>
      <c r="V150" s="70"/>
      <c r="W150" s="70"/>
      <c r="X150" s="70"/>
      <c r="Y150" s="70"/>
      <c r="Z150" s="70"/>
    </row>
    <row r="151" ht="12.75" customHeight="1">
      <c r="D151" s="86"/>
      <c r="E151" s="86"/>
      <c r="F151" s="86"/>
      <c r="G151" s="86"/>
      <c r="H151" s="86"/>
      <c r="I151" s="86"/>
      <c r="J151" s="86"/>
      <c r="K151" s="70"/>
      <c r="L151" s="70"/>
      <c r="M151" s="70"/>
      <c r="N151" s="70"/>
      <c r="O151" s="70"/>
      <c r="P151" s="70"/>
      <c r="Q151" s="70"/>
      <c r="R151" s="70"/>
      <c r="S151" s="70"/>
      <c r="T151" s="70"/>
      <c r="U151" s="70"/>
      <c r="V151" s="70"/>
      <c r="W151" s="70"/>
      <c r="X151" s="70"/>
      <c r="Y151" s="70"/>
      <c r="Z151" s="70"/>
    </row>
    <row r="152" ht="12.75" customHeight="1">
      <c r="D152" s="86"/>
      <c r="E152" s="86"/>
      <c r="F152" s="86"/>
      <c r="G152" s="86"/>
      <c r="H152" s="86"/>
      <c r="I152" s="86"/>
      <c r="J152" s="86"/>
      <c r="K152" s="70"/>
      <c r="L152" s="70"/>
      <c r="M152" s="70"/>
      <c r="N152" s="70"/>
      <c r="O152" s="70"/>
      <c r="P152" s="70"/>
      <c r="Q152" s="70"/>
      <c r="R152" s="70"/>
      <c r="S152" s="70"/>
      <c r="T152" s="70"/>
      <c r="U152" s="70"/>
      <c r="V152" s="70"/>
      <c r="W152" s="70"/>
      <c r="X152" s="70"/>
      <c r="Y152" s="70"/>
      <c r="Z152" s="70"/>
    </row>
    <row r="153" ht="12.75" customHeight="1">
      <c r="D153" s="85" t="s">
        <v>288</v>
      </c>
      <c r="E153" s="2"/>
      <c r="F153" s="2"/>
      <c r="G153" s="2"/>
      <c r="H153" s="2"/>
      <c r="I153" s="2"/>
      <c r="J153" s="3"/>
      <c r="K153" s="70"/>
      <c r="L153" s="70"/>
      <c r="M153" s="70"/>
      <c r="N153" s="70"/>
      <c r="O153" s="70"/>
      <c r="P153" s="70"/>
      <c r="Q153" s="70"/>
      <c r="R153" s="70"/>
      <c r="S153" s="70"/>
      <c r="T153" s="70"/>
      <c r="U153" s="70"/>
      <c r="V153" s="70"/>
      <c r="W153" s="70"/>
      <c r="X153" s="70"/>
      <c r="Y153" s="70"/>
      <c r="Z153" s="70"/>
    </row>
    <row r="154" ht="12.75" customHeight="1">
      <c r="D154" s="86"/>
      <c r="E154" s="86"/>
      <c r="F154" s="86"/>
      <c r="G154" s="86"/>
      <c r="H154" s="86"/>
      <c r="I154" s="86"/>
      <c r="J154" s="86"/>
      <c r="K154" s="70"/>
      <c r="L154" s="70"/>
      <c r="M154" s="70"/>
      <c r="N154" s="70"/>
      <c r="O154" s="70"/>
      <c r="P154" s="70"/>
      <c r="Q154" s="70"/>
      <c r="R154" s="70"/>
      <c r="S154" s="70"/>
      <c r="T154" s="70"/>
      <c r="U154" s="70"/>
      <c r="V154" s="70"/>
      <c r="W154" s="70"/>
      <c r="X154" s="70"/>
      <c r="Y154" s="70"/>
      <c r="Z154" s="70"/>
    </row>
    <row r="155" ht="12.75" customHeight="1">
      <c r="D155" s="86"/>
      <c r="E155" s="86"/>
      <c r="F155" s="86"/>
      <c r="G155" s="86"/>
      <c r="H155" s="86"/>
      <c r="I155" s="86"/>
      <c r="J155" s="86"/>
      <c r="K155" s="70"/>
      <c r="L155" s="70"/>
      <c r="M155" s="70"/>
      <c r="N155" s="70"/>
      <c r="O155" s="70"/>
      <c r="P155" s="70"/>
      <c r="Q155" s="70"/>
      <c r="R155" s="70"/>
      <c r="S155" s="70"/>
      <c r="T155" s="70"/>
      <c r="U155" s="70"/>
      <c r="V155" s="70"/>
      <c r="W155" s="70"/>
      <c r="X155" s="70"/>
      <c r="Y155" s="70"/>
      <c r="Z155" s="70"/>
    </row>
    <row r="156" ht="45.75" customHeight="1">
      <c r="D156" s="85" t="s">
        <v>289</v>
      </c>
      <c r="E156" s="2"/>
      <c r="F156" s="2"/>
      <c r="G156" s="2"/>
      <c r="H156" s="2"/>
      <c r="I156" s="2"/>
      <c r="J156" s="3"/>
      <c r="K156" s="70"/>
      <c r="L156" s="70"/>
      <c r="M156" s="70"/>
      <c r="N156" s="70"/>
      <c r="O156" s="70"/>
      <c r="P156" s="70"/>
      <c r="Q156" s="70"/>
      <c r="R156" s="70"/>
      <c r="S156" s="70"/>
      <c r="T156" s="70"/>
      <c r="U156" s="70"/>
      <c r="V156" s="70"/>
      <c r="W156" s="70"/>
      <c r="X156" s="70"/>
      <c r="Y156" s="70"/>
      <c r="Z156" s="70"/>
    </row>
    <row r="157" ht="12.75" customHeight="1">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2.75" customHeight="1">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2.75" customHeight="1">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2.75" customHeight="1">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2.75" customHeight="1">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2.75" customHeight="1">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2.75" customHeight="1">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2.75" customHeight="1">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2.75" customHeight="1">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42.75" customHeight="1">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2.75" customHeight="1">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2.75" customHeight="1">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2.75" customHeight="1">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23.25" customHeight="1">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2.75" customHeight="1">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2.75" customHeight="1">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69.0" customHeight="1">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2.75" customHeight="1">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2.75" customHeight="1">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2.75" customHeight="1">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2.75" customHeight="1">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2.75" customHeight="1">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2.75" customHeight="1">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2.75" customHeight="1">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2.75" customHeight="1">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2.75" customHeight="1">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2.75" customHeight="1">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2.75" customHeight="1">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2.75" customHeight="1">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2.75" customHeight="1">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2.75" customHeight="1">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2.75" customHeight="1">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2.75" customHeight="1">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2.75" customHeight="1">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2.75" customHeight="1">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2.75" customHeight="1">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2.75" customHeight="1">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2.75" customHeight="1">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2.75" customHeight="1">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2.75" customHeight="1">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2.75" customHeight="1">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2.75" customHeight="1">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2.75" customHeight="1">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2.75" customHeight="1">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2.75" customHeight="1">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2.75" customHeight="1">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2.75" customHeight="1">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2.75" customHeight="1">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2.75" customHeight="1">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2.75" customHeight="1">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2.75" customHeight="1">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2.75" customHeight="1">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2.75" customHeight="1">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2.75" customHeight="1">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2.75" customHeight="1">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2.75" customHeight="1">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2.75" customHeight="1">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2.75" customHeight="1">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2.75" customHeight="1">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2.75" customHeight="1">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2.75" customHeight="1">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2.75" customHeight="1">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2.75" customHeight="1">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2.75" customHeight="1">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2.75" customHeight="1">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2.75" customHeight="1">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2.75" customHeight="1">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2.75" customHeight="1">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2.75" customHeight="1">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2.75" customHeight="1">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2.75" customHeight="1">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2.75" customHeight="1">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2.75" customHeight="1">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2.75" customHeight="1">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2.75" customHeight="1">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2.75" customHeight="1">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2.75" customHeight="1">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2.75" customHeight="1">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2.75" customHeight="1">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2.75" customHeight="1">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2.75" customHeight="1">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2.75" customHeight="1">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2.75" customHeight="1">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2.75" customHeight="1">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2.75" customHeight="1">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2.75" customHeight="1">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2.75" customHeight="1">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2.75" customHeight="1">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2.75" customHeight="1">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2.75" customHeight="1">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2.75" customHeight="1">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2.75" customHeight="1">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2.75" customHeight="1">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12.75" customHeight="1">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2.75" customHeight="1">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2.75" customHeight="1">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2.75" customHeight="1">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2.75" customHeight="1">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2.75" customHeight="1">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2.75" customHeight="1">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2.75" customHeight="1">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12.75" customHeight="1">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2.75" customHeight="1">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2.75" customHeight="1">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2.75" customHeight="1">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2.75" customHeight="1">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2.75" customHeight="1">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2.75" customHeight="1">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2.75" customHeight="1">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2.75" customHeight="1">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2.75" customHeight="1">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2.75" customHeight="1">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2.75" customHeight="1">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2.75" customHeight="1">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2.75" customHeight="1">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2.75" customHeight="1">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2.75" customHeight="1">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2.75" customHeight="1">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2.75" customHeight="1">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12.75" customHeight="1">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2.75" customHeight="1">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2.75" customHeight="1">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12.75" customHeight="1">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2.75" customHeight="1">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2.75" customHeight="1">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2.75" customHeight="1">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2.75" customHeight="1">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2.75" customHeight="1">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2.75" customHeight="1">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2.75" customHeight="1">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2.75" customHeight="1">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2.75" customHeight="1">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2.75" customHeight="1">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2.75" customHeight="1">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2.75" customHeight="1">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2.75" customHeight="1">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2.75" customHeight="1">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2.75" customHeight="1">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2.75" customHeight="1">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2.75" customHeight="1">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12.75" customHeight="1">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2.75" customHeight="1">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2.75" customHeight="1">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2.75" customHeight="1">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2.75" customHeight="1">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2.75" customHeight="1">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2.75" customHeight="1">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2.75" customHeight="1">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2.75" customHeight="1">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2.75" customHeight="1">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2.75" customHeight="1">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12.75" customHeight="1">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2.75" customHeight="1">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2.75" customHeight="1">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2.75" customHeight="1">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2.75" customHeight="1">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2.75" customHeight="1">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2.75" customHeight="1">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2.75" customHeight="1">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2.75" customHeight="1">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2.75" customHeight="1">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2.75" customHeight="1">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2.75" customHeight="1">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2.75" customHeight="1">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2.75" customHeight="1">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2.75" customHeight="1">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2.75" customHeight="1">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2.75" customHeight="1">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2.75" customHeight="1">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2.75" customHeight="1">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2.75" customHeight="1">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2.75" customHeight="1">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2.75" customHeight="1">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12.75" customHeight="1">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2.75" customHeight="1">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2.75" customHeight="1">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2.75" customHeight="1">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2.75" customHeight="1">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2.75" customHeight="1">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2.75" customHeight="1">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2.75" customHeight="1">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2.75" customHeight="1">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2.75" customHeight="1">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2.75" customHeight="1">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2.75" customHeight="1">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2.75" customHeight="1">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2.75" customHeight="1">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2.75" customHeight="1">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2.75" customHeight="1">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2.75" customHeight="1">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2.75" customHeight="1">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2.75" customHeight="1">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12.75" customHeight="1">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2.75" customHeight="1">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2.75" customHeight="1">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2.75" customHeight="1">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2.75" customHeight="1">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2.75" customHeight="1">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2.75" customHeight="1">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2.75" customHeight="1">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2.7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2.7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2.7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2.7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2.7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2.7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2.7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2.7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2.7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12.7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2.7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2.7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2.7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12.7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2.7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2.7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2.7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2.7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2.7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2.7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2.7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2.7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2.7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2.7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2.7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2.7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2.7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2.7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2.7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2.7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2.7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2.7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2.7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2.7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2.7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2.7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2.7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2.7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2.7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2.7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2.7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2.7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2.7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2.7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2.7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2.7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2.7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2.7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2.7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2.7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2.7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2.7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2.7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2.7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2.7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2.7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2.7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2.7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2.7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2.7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2.7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2.7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2.7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2.7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2.7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2.7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2.7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2.7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2.7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2.7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2.7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2.7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2.7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2.7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2.7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2.7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2.7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2.7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2.7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2.7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2.7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2.7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2.7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2.7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2.7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2.7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2.7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2.7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2.7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2.7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2.7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2.7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2.7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2.7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2.7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2.7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2.7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2.7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2.7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2.7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2.7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2.7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2.7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2.7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2.7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2.7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2.7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2.7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2.7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2.7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2.7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2.7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2.7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2.7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2.7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2.7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2.7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2.7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2.7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2.7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2.7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2.7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2.7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2.7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2.7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2.7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2.7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2.7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2.7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2.7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2.7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2.7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2.7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2.7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2.7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2.7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2.7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2.7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2.7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2.7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2.7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2.7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2.7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2.7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2.7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2.7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2.7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2.7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2.7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2.7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2.7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2.7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2.7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2.7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2.7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2.7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2.7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2.7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2.7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2.7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2.7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2.7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2.7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2.7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2.7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2.7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2.7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2.7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2.7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2.7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2.7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2.7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2.7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2.7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2.7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2.7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2.7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2.7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2.7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2.7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2.7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2.7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2.7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2.7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2.7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2.7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2.7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2.7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2.7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2.7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2.7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2.7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2.7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2.7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2.7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2.7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2.7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2.7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2.7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2.7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2.7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2.7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2.7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2.7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2.7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2.7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2.7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2.7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2.7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2.7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2.7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2.7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2.7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2.7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2.7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2.7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2.7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2.7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2.7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2.7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2.7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2.7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2.7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2.7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2.7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2.7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2.7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2.7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2.7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2.7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2.7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2.7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2.7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2.7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2.7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2.7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2.7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2.7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2.7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2.7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2.7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2.7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2.7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2.7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2.7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2.7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2.7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2.7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2.7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2.7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2.7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2.7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2.7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2.7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2.7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2.7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2.7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2.7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2.7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2.7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2.7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2.7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2.7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2.7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2.7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2.7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2.7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2.7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2.7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2.7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2.7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2.7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2.7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2.7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2.7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2.7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2.7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2.7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2.7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2.7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2.7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2.7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2.7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2.7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2.7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2.7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2.7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2.7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2.7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2.7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2.7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2.7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2.7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2.7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2.7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2.7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2.7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2.7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2.7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2.7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2.7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2.7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2.7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2.7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2.7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2.7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2.7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2.7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2.7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2.7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2.7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2.7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2.7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2.7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2.7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2.7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2.7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2.7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2.7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2.7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2.7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2.7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2.7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2.7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2.7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2.7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2.7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2.7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2.7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2.7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2.7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2.7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2.7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2.7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2.7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2.7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2.7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2.7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2.7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2.7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2.7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2.7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2.7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2.7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2.7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2.7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2.7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2.7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2.7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2.7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2.7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2.7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2.7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2.7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2.7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2.7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2.7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2.7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2.7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2.7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2.7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2.7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2.7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2.7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2.7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2.7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2.7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2.7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2.7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2.7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2.7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2.7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2.7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2.7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2.7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2.7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2.7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2.7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2.7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2.7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2.7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2.7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2.7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2.7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2.7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2.7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2.7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2.7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2.7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2.7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2.7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2.7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2.7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2.7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2.7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2.7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2.7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2.7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2.7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2.7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2.7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2.7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2.7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2.7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2.7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2.7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2.7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2.7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2.7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2.7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2.7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2.7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2.7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2.7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2.7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2.7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2.7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2.7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2.7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2.7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2.7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2.7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2.7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2.7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2.7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2.7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2.7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2.7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2.7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2.7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2.7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2.7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2.7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2.7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2.7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2.7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2.7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2.7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2.7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2.7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2.7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2.7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2.7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2.7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2.7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2.7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2.7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2.7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2.7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2.7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2.7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2.7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2.7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2.7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2.7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2.7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2.7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2.7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2.7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2.7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2.7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2.7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2.7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2.7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2.7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2.7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2.7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2.7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2.7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2.7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2.7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2.7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2.7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2.7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2.7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2.7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2.7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2.7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2.7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2.7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2.7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2.7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2.7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2.7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2.7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2.7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2.7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2.7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2.7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2.7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2.7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2.7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2.7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2.7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2.7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2.7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2.7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2.7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2.7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2.7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2.7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2.7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2.7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2.7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2.7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2.7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2.7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2.7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2.7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2.7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2.7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2.7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2.7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2.7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2.7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2.7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2.7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2.7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2.7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2.7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2.7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2.7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2.7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2.7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2.7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2.7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2.7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2.7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2.7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2.7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2.7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2.7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2.7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2.7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2.7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2.7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2.7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2.7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2.7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2.7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2.7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2.7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2.7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2.7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2.7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2.7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2.7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2.7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2.7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2.7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2.7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2.7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2.7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2.7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2.7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2.7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2.7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2.7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2.7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2.7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2.7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2.7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2.7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2.7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2.7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2.7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2.7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2.7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2.7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2.7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2.7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2.7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2.7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2.7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2.7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2.7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2.7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2.7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2.7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2.7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2.7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2.7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2.7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2.7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2.7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2.7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2.7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2.7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2.7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2.7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2.7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2.7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2.7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2.7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2.7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2.7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2.7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2.7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2.7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2.7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2.7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2.7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2.7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2.7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2.7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2.7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2.7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2.7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2.7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2.7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2.7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2.7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2.7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2.7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2.7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2.7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2.7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2.7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2.7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2.7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2.7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2.7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2.7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2.7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2.7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2.7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2.7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2.7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2.7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2.7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2.7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2.7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2.7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12.7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12.7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12.7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12.7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12.7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12.7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12.7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12.7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12.7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12.7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12.7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mergeCells count="4">
    <mergeCell ref="D146:J146"/>
    <mergeCell ref="D149:J149"/>
    <mergeCell ref="D153:J153"/>
    <mergeCell ref="D156:J156"/>
  </mergeCells>
  <printOptions/>
  <pageMargins bottom="1.0" footer="0.0" header="0.0" left="0.75" right="0.75" top="1.0"/>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0.0"/>
    <col customWidth="1" min="3" max="147" width="8.71"/>
  </cols>
  <sheetData>
    <row r="1" ht="12.0" customHeight="1">
      <c r="A1" s="87" t="s">
        <v>290</v>
      </c>
      <c r="B1" s="87" t="s">
        <v>291</v>
      </c>
      <c r="C1" s="87" t="s">
        <v>292</v>
      </c>
      <c r="D1" s="87" t="s">
        <v>293</v>
      </c>
      <c r="E1" s="87" t="s">
        <v>294</v>
      </c>
      <c r="F1" s="87" t="s">
        <v>295</v>
      </c>
      <c r="G1" s="87" t="s">
        <v>296</v>
      </c>
      <c r="H1" s="87" t="s">
        <v>297</v>
      </c>
      <c r="I1" s="87" t="s">
        <v>298</v>
      </c>
      <c r="J1" s="87" t="s">
        <v>299</v>
      </c>
      <c r="K1" s="87" t="s">
        <v>300</v>
      </c>
      <c r="L1" s="87" t="s">
        <v>301</v>
      </c>
      <c r="M1" s="87" t="s">
        <v>302</v>
      </c>
      <c r="N1" s="87" t="s">
        <v>303</v>
      </c>
      <c r="O1" s="87" t="s">
        <v>304</v>
      </c>
      <c r="P1" s="87" t="s">
        <v>305</v>
      </c>
      <c r="Q1" s="87" t="s">
        <v>306</v>
      </c>
      <c r="R1" s="87" t="s">
        <v>307</v>
      </c>
      <c r="S1" s="87" t="s">
        <v>308</v>
      </c>
      <c r="T1" s="87" t="s">
        <v>309</v>
      </c>
      <c r="U1" s="87" t="s">
        <v>310</v>
      </c>
      <c r="V1" s="87" t="s">
        <v>311</v>
      </c>
      <c r="W1" s="87" t="s">
        <v>312</v>
      </c>
      <c r="X1" s="87" t="s">
        <v>313</v>
      </c>
      <c r="Y1" s="87" t="s">
        <v>314</v>
      </c>
      <c r="Z1" s="87" t="s">
        <v>315</v>
      </c>
      <c r="AA1" s="87" t="s">
        <v>316</v>
      </c>
      <c r="AB1" s="87" t="s">
        <v>317</v>
      </c>
      <c r="AC1" s="87" t="s">
        <v>318</v>
      </c>
      <c r="AD1" s="87" t="s">
        <v>319</v>
      </c>
      <c r="AE1" s="87" t="s">
        <v>320</v>
      </c>
      <c r="AF1" s="87" t="s">
        <v>321</v>
      </c>
      <c r="AG1" s="87" t="s">
        <v>322</v>
      </c>
      <c r="AH1" s="87" t="s">
        <v>323</v>
      </c>
      <c r="AI1" s="87" t="s">
        <v>324</v>
      </c>
      <c r="AJ1" s="87" t="s">
        <v>325</v>
      </c>
      <c r="AK1" s="87" t="s">
        <v>326</v>
      </c>
      <c r="AL1" s="87" t="s">
        <v>327</v>
      </c>
      <c r="AM1" s="87" t="s">
        <v>328</v>
      </c>
      <c r="AN1" s="87" t="s">
        <v>329</v>
      </c>
      <c r="AO1" s="87" t="s">
        <v>330</v>
      </c>
      <c r="AP1" s="87" t="s">
        <v>331</v>
      </c>
      <c r="AQ1" s="87" t="s">
        <v>332</v>
      </c>
      <c r="AR1" s="87" t="s">
        <v>333</v>
      </c>
      <c r="AS1" s="87" t="s">
        <v>334</v>
      </c>
      <c r="AT1" s="87" t="s">
        <v>335</v>
      </c>
      <c r="AU1" s="87" t="s">
        <v>336</v>
      </c>
      <c r="AV1" s="87" t="s">
        <v>337</v>
      </c>
      <c r="AW1" s="87" t="s">
        <v>338</v>
      </c>
      <c r="AX1" s="87" t="s">
        <v>339</v>
      </c>
      <c r="AY1" s="87" t="s">
        <v>340</v>
      </c>
      <c r="AZ1" s="87" t="s">
        <v>341</v>
      </c>
      <c r="BA1" s="87" t="s">
        <v>342</v>
      </c>
      <c r="BB1" s="87" t="s">
        <v>343</v>
      </c>
      <c r="BC1" s="87" t="s">
        <v>344</v>
      </c>
      <c r="BD1" s="87" t="s">
        <v>345</v>
      </c>
      <c r="BE1" s="87" t="s">
        <v>346</v>
      </c>
      <c r="BF1" s="87" t="s">
        <v>347</v>
      </c>
      <c r="BG1" s="87" t="s">
        <v>348</v>
      </c>
      <c r="BH1" s="87" t="s">
        <v>349</v>
      </c>
      <c r="BI1" s="87" t="s">
        <v>350</v>
      </c>
      <c r="BJ1" s="87" t="s">
        <v>351</v>
      </c>
      <c r="BK1" s="87" t="s">
        <v>352</v>
      </c>
      <c r="BL1" s="87" t="s">
        <v>353</v>
      </c>
      <c r="BM1" s="87" t="s">
        <v>354</v>
      </c>
      <c r="BN1" s="87" t="s">
        <v>355</v>
      </c>
      <c r="BO1" s="87" t="s">
        <v>356</v>
      </c>
      <c r="BP1" s="87" t="s">
        <v>357</v>
      </c>
      <c r="BQ1" s="87" t="s">
        <v>358</v>
      </c>
      <c r="BR1" s="87" t="s">
        <v>359</v>
      </c>
      <c r="BS1" s="87" t="s">
        <v>360</v>
      </c>
      <c r="BT1" s="87" t="s">
        <v>361</v>
      </c>
      <c r="BU1" s="87" t="s">
        <v>362</v>
      </c>
      <c r="BV1" s="87" t="s">
        <v>363</v>
      </c>
      <c r="BW1" s="87" t="s">
        <v>364</v>
      </c>
      <c r="BX1" s="87" t="s">
        <v>365</v>
      </c>
      <c r="BY1" s="87" t="s">
        <v>366</v>
      </c>
      <c r="BZ1" s="87" t="s">
        <v>367</v>
      </c>
      <c r="CA1" s="87" t="s">
        <v>368</v>
      </c>
      <c r="CB1" s="87" t="s">
        <v>369</v>
      </c>
      <c r="CC1" s="87" t="s">
        <v>370</v>
      </c>
      <c r="CD1" s="87" t="s">
        <v>371</v>
      </c>
      <c r="CE1" s="87" t="s">
        <v>372</v>
      </c>
      <c r="CF1" s="87" t="s">
        <v>373</v>
      </c>
      <c r="CG1" s="87" t="s">
        <v>374</v>
      </c>
      <c r="CH1" s="87" t="s">
        <v>375</v>
      </c>
      <c r="CI1" s="87" t="s">
        <v>376</v>
      </c>
      <c r="CJ1" s="87" t="s">
        <v>377</v>
      </c>
      <c r="CK1" s="87" t="s">
        <v>378</v>
      </c>
      <c r="CL1" s="87" t="s">
        <v>379</v>
      </c>
      <c r="CM1" s="87" t="s">
        <v>380</v>
      </c>
      <c r="CN1" s="87" t="s">
        <v>381</v>
      </c>
      <c r="CO1" s="87" t="s">
        <v>382</v>
      </c>
      <c r="CP1" s="87" t="s">
        <v>383</v>
      </c>
      <c r="CQ1" s="87" t="s">
        <v>384</v>
      </c>
      <c r="CR1" s="87" t="s">
        <v>385</v>
      </c>
      <c r="CS1" s="87" t="s">
        <v>386</v>
      </c>
      <c r="CT1" s="87" t="s">
        <v>387</v>
      </c>
      <c r="CU1" s="87" t="s">
        <v>388</v>
      </c>
      <c r="CV1" s="87" t="s">
        <v>389</v>
      </c>
      <c r="CW1" s="87" t="s">
        <v>390</v>
      </c>
      <c r="CX1" s="87" t="s">
        <v>391</v>
      </c>
      <c r="CY1" s="87" t="s">
        <v>392</v>
      </c>
      <c r="CZ1" s="87" t="s">
        <v>393</v>
      </c>
      <c r="DA1" s="87" t="s">
        <v>394</v>
      </c>
      <c r="DB1" s="87" t="s">
        <v>395</v>
      </c>
      <c r="DC1" s="87" t="s">
        <v>396</v>
      </c>
      <c r="DD1" s="87" t="s">
        <v>397</v>
      </c>
      <c r="DE1" s="87" t="s">
        <v>398</v>
      </c>
      <c r="DF1" s="87" t="s">
        <v>399</v>
      </c>
      <c r="DG1" s="87" t="s">
        <v>400</v>
      </c>
      <c r="DH1" s="87" t="s">
        <v>401</v>
      </c>
      <c r="DI1" s="87" t="s">
        <v>402</v>
      </c>
      <c r="DJ1" s="87" t="s">
        <v>403</v>
      </c>
      <c r="DK1" s="87" t="s">
        <v>404</v>
      </c>
      <c r="DL1" s="87" t="s">
        <v>405</v>
      </c>
      <c r="DM1" s="87" t="s">
        <v>406</v>
      </c>
      <c r="DN1" s="87" t="s">
        <v>407</v>
      </c>
      <c r="DO1" s="87" t="s">
        <v>408</v>
      </c>
      <c r="DP1" s="87" t="s">
        <v>409</v>
      </c>
      <c r="DQ1" s="87" t="s">
        <v>410</v>
      </c>
      <c r="DR1" s="87" t="s">
        <v>411</v>
      </c>
      <c r="DS1" s="87" t="s">
        <v>412</v>
      </c>
      <c r="DT1" s="87" t="s">
        <v>413</v>
      </c>
      <c r="DU1" s="87" t="s">
        <v>414</v>
      </c>
      <c r="DV1" s="87" t="s">
        <v>415</v>
      </c>
      <c r="DW1" s="87" t="s">
        <v>416</v>
      </c>
      <c r="DX1" s="87" t="s">
        <v>417</v>
      </c>
      <c r="DY1" s="87" t="s">
        <v>418</v>
      </c>
      <c r="DZ1" s="87" t="s">
        <v>419</v>
      </c>
      <c r="EA1" s="87" t="s">
        <v>420</v>
      </c>
      <c r="EB1" s="87" t="s">
        <v>421</v>
      </c>
      <c r="EC1" s="87" t="s">
        <v>422</v>
      </c>
      <c r="ED1" s="87" t="s">
        <v>423</v>
      </c>
      <c r="EE1" s="87" t="s">
        <v>424</v>
      </c>
      <c r="EF1" s="87" t="s">
        <v>425</v>
      </c>
      <c r="EG1" s="87" t="s">
        <v>426</v>
      </c>
      <c r="EH1" s="87" t="s">
        <v>427</v>
      </c>
      <c r="EI1" s="87" t="s">
        <v>428</v>
      </c>
      <c r="EJ1" s="87" t="s">
        <v>429</v>
      </c>
      <c r="EK1" s="88"/>
      <c r="EL1" s="88"/>
      <c r="EM1" s="88"/>
      <c r="EN1" s="88"/>
      <c r="EO1" s="88"/>
      <c r="EP1" s="88"/>
      <c r="EQ1" s="88"/>
    </row>
    <row r="2" ht="12.0" customHeight="1">
      <c r="A2" s="89">
        <v>1.06010735E8</v>
      </c>
      <c r="B2" s="89" t="s">
        <v>430</v>
      </c>
      <c r="C2" s="89" t="s">
        <v>431</v>
      </c>
      <c r="D2" s="89" t="s">
        <v>432</v>
      </c>
      <c r="E2" s="89" t="s">
        <v>433</v>
      </c>
      <c r="F2" s="89" t="s">
        <v>431</v>
      </c>
      <c r="G2" s="89" t="s">
        <v>434</v>
      </c>
      <c r="H2" s="89" t="s">
        <v>435</v>
      </c>
      <c r="I2" s="89" t="s">
        <v>436</v>
      </c>
      <c r="J2" s="89" t="s">
        <v>437</v>
      </c>
      <c r="K2" s="89" t="s">
        <v>438</v>
      </c>
      <c r="L2" s="89" t="s">
        <v>439</v>
      </c>
      <c r="M2" s="89" t="s">
        <v>440</v>
      </c>
      <c r="N2" s="89" t="s">
        <v>441</v>
      </c>
      <c r="O2" s="87">
        <v>2646.0</v>
      </c>
      <c r="P2" s="87">
        <v>130.0</v>
      </c>
      <c r="Q2" s="87"/>
      <c r="R2" s="87"/>
      <c r="S2" s="87">
        <v>1.0</v>
      </c>
      <c r="T2" s="87">
        <v>1.0</v>
      </c>
      <c r="U2" s="87">
        <v>1409.0</v>
      </c>
      <c r="V2" s="87">
        <v>1368.0</v>
      </c>
      <c r="W2" s="87">
        <v>1.0</v>
      </c>
      <c r="X2" s="87"/>
      <c r="Y2" s="87"/>
      <c r="Z2" s="87">
        <v>104.0</v>
      </c>
      <c r="AA2" s="87">
        <v>187.0</v>
      </c>
      <c r="AB2" s="87">
        <v>296.0</v>
      </c>
      <c r="AC2" s="87">
        <v>408.0</v>
      </c>
      <c r="AD2" s="87">
        <v>590.0</v>
      </c>
      <c r="AE2" s="87">
        <v>570.0</v>
      </c>
      <c r="AF2" s="87">
        <v>619.0</v>
      </c>
      <c r="AG2" s="87">
        <v>4.0</v>
      </c>
      <c r="AH2" s="87">
        <v>487.0</v>
      </c>
      <c r="AI2" s="87">
        <v>2230.0</v>
      </c>
      <c r="AJ2" s="87">
        <v>61.0</v>
      </c>
      <c r="AK2" s="87"/>
      <c r="AL2" s="87">
        <v>480.0</v>
      </c>
      <c r="AM2" s="87">
        <v>19.0</v>
      </c>
      <c r="AN2" s="87">
        <v>727.0</v>
      </c>
      <c r="AO2" s="87">
        <v>943.0</v>
      </c>
      <c r="AP2" s="87">
        <v>30.0</v>
      </c>
      <c r="AQ2" s="87">
        <v>513.0</v>
      </c>
      <c r="AR2" s="87">
        <v>66.0</v>
      </c>
      <c r="AS2" s="87">
        <v>1823.0</v>
      </c>
      <c r="AT2" s="87">
        <v>5.0</v>
      </c>
      <c r="AU2" s="87">
        <v>461.0</v>
      </c>
      <c r="AV2" s="87">
        <v>380.0</v>
      </c>
      <c r="AW2" s="87">
        <v>12.0</v>
      </c>
      <c r="AX2" s="87">
        <v>94.0</v>
      </c>
      <c r="AY2" s="87"/>
      <c r="AZ2" s="87"/>
      <c r="BA2" s="87"/>
      <c r="BB2" s="87">
        <v>3.0</v>
      </c>
      <c r="BC2" s="87"/>
      <c r="BD2" s="87"/>
      <c r="BE2" s="87">
        <v>2116.0</v>
      </c>
      <c r="BF2" s="87">
        <v>327.0</v>
      </c>
      <c r="BG2" s="87">
        <v>335.0</v>
      </c>
      <c r="BH2" s="87"/>
      <c r="BI2" s="87">
        <v>85839.0</v>
      </c>
      <c r="BJ2" s="87">
        <v>2119.0</v>
      </c>
      <c r="BK2" s="87">
        <v>379.0</v>
      </c>
      <c r="BL2" s="87">
        <v>279.0</v>
      </c>
      <c r="BM2" s="87"/>
      <c r="BN2" s="87"/>
      <c r="BO2" s="87">
        <v>1.0</v>
      </c>
      <c r="BP2" s="87">
        <v>1166.0</v>
      </c>
      <c r="BQ2" s="87">
        <v>204.0</v>
      </c>
      <c r="BR2" s="87">
        <v>60.0</v>
      </c>
      <c r="BS2" s="87">
        <v>574.0</v>
      </c>
      <c r="BT2" s="87"/>
      <c r="BU2" s="87"/>
      <c r="BV2" s="87">
        <v>119.0</v>
      </c>
      <c r="BW2" s="87">
        <v>102.0</v>
      </c>
      <c r="BX2" s="87">
        <v>500.0</v>
      </c>
      <c r="BY2" s="87"/>
      <c r="BZ2" s="87"/>
      <c r="CA2" s="87">
        <v>46.0</v>
      </c>
      <c r="CB2" s="87">
        <v>6.0</v>
      </c>
      <c r="CC2" s="87"/>
      <c r="CD2" s="87">
        <v>1.0</v>
      </c>
      <c r="CE2" s="87"/>
      <c r="CF2" s="87"/>
      <c r="CG2" s="87">
        <v>109.0</v>
      </c>
      <c r="CH2" s="87">
        <v>2669.0</v>
      </c>
      <c r="CI2" s="87"/>
      <c r="CJ2" s="87">
        <v>1478.0</v>
      </c>
      <c r="CK2" s="87">
        <v>973.0</v>
      </c>
      <c r="CL2" s="87">
        <v>204.0</v>
      </c>
      <c r="CM2" s="87">
        <v>1.0</v>
      </c>
      <c r="CN2" s="87">
        <v>48.0</v>
      </c>
      <c r="CO2" s="87">
        <v>19.0</v>
      </c>
      <c r="CP2" s="87"/>
      <c r="CQ2" s="87">
        <v>55.0</v>
      </c>
      <c r="CR2" s="87"/>
      <c r="CS2" s="87"/>
      <c r="CT2" s="87">
        <v>460.0</v>
      </c>
      <c r="CU2" s="87">
        <v>49.0</v>
      </c>
      <c r="CV2" s="87">
        <v>52.0</v>
      </c>
      <c r="CW2" s="87">
        <v>138.0</v>
      </c>
      <c r="CX2" s="87">
        <v>79.0</v>
      </c>
      <c r="CY2" s="87">
        <v>181.0</v>
      </c>
      <c r="CZ2" s="87">
        <v>4.0</v>
      </c>
      <c r="DA2" s="87">
        <v>6.0</v>
      </c>
      <c r="DB2" s="87">
        <v>470.0</v>
      </c>
      <c r="DC2" s="87">
        <v>272.0</v>
      </c>
      <c r="DD2" s="87">
        <v>343.0</v>
      </c>
      <c r="DE2" s="87">
        <v>73.0</v>
      </c>
      <c r="DF2" s="87">
        <v>135.0</v>
      </c>
      <c r="DG2" s="87">
        <v>151.0</v>
      </c>
      <c r="DH2" s="87"/>
      <c r="DI2" s="87"/>
      <c r="DJ2" s="87"/>
      <c r="DK2" s="87">
        <v>128.0</v>
      </c>
      <c r="DL2" s="87">
        <v>217.0</v>
      </c>
      <c r="DM2" s="87">
        <v>17.0</v>
      </c>
      <c r="DN2" s="87">
        <v>3.0</v>
      </c>
      <c r="DO2" s="87">
        <v>321.0</v>
      </c>
      <c r="DP2" s="87"/>
      <c r="DQ2" s="87">
        <v>221.0</v>
      </c>
      <c r="DR2" s="87">
        <v>168.0</v>
      </c>
      <c r="DS2" s="87"/>
      <c r="DT2" s="87"/>
      <c r="DU2" s="87">
        <v>1.0</v>
      </c>
      <c r="DV2" s="87">
        <v>19.0</v>
      </c>
      <c r="DW2" s="87"/>
      <c r="DX2" s="87">
        <v>39.0</v>
      </c>
      <c r="DY2" s="87">
        <v>123.0</v>
      </c>
      <c r="DZ2" s="87">
        <v>28.0</v>
      </c>
      <c r="EA2" s="87">
        <v>3.0</v>
      </c>
      <c r="EB2" s="87">
        <v>78.0</v>
      </c>
      <c r="EC2" s="87">
        <v>11.0</v>
      </c>
      <c r="ED2" s="87">
        <v>1743.0</v>
      </c>
      <c r="EE2" s="87">
        <v>23.0</v>
      </c>
      <c r="EF2" s="87">
        <v>1.0</v>
      </c>
      <c r="EG2" s="87">
        <v>141.0</v>
      </c>
      <c r="EH2" s="87"/>
      <c r="EI2" s="87">
        <v>27.0</v>
      </c>
      <c r="EJ2" s="87">
        <v>2609.0</v>
      </c>
      <c r="EK2" s="88"/>
      <c r="EL2" s="88"/>
      <c r="EM2" s="88"/>
      <c r="EN2" s="88"/>
      <c r="EO2" s="88"/>
      <c r="EP2" s="88"/>
      <c r="EQ2" s="90"/>
    </row>
    <row r="3" ht="12.0" customHeight="1">
      <c r="A3" s="89">
        <v>1.06010739E8</v>
      </c>
      <c r="B3" s="89" t="s">
        <v>442</v>
      </c>
      <c r="C3" s="89" t="s">
        <v>431</v>
      </c>
      <c r="D3" s="89" t="s">
        <v>443</v>
      </c>
      <c r="E3" s="89" t="s">
        <v>444</v>
      </c>
      <c r="F3" s="89" t="s">
        <v>445</v>
      </c>
      <c r="G3" s="89" t="s">
        <v>446</v>
      </c>
      <c r="H3" s="89" t="s">
        <v>447</v>
      </c>
      <c r="I3" s="89" t="s">
        <v>436</v>
      </c>
      <c r="J3" s="89" t="s">
        <v>448</v>
      </c>
      <c r="K3" s="89" t="s">
        <v>438</v>
      </c>
      <c r="L3" s="89" t="s">
        <v>449</v>
      </c>
      <c r="M3" s="89" t="s">
        <v>450</v>
      </c>
      <c r="N3" s="89" t="s">
        <v>441</v>
      </c>
      <c r="O3" s="87">
        <v>15007.0</v>
      </c>
      <c r="P3" s="87"/>
      <c r="Q3" s="87"/>
      <c r="R3" s="87"/>
      <c r="S3" s="87"/>
      <c r="T3" s="87"/>
      <c r="U3" s="87">
        <v>5171.0</v>
      </c>
      <c r="V3" s="87">
        <v>9836.0</v>
      </c>
      <c r="W3" s="87"/>
      <c r="X3" s="87">
        <v>4314.0</v>
      </c>
      <c r="Y3" s="87">
        <v>188.0</v>
      </c>
      <c r="Z3" s="87">
        <v>1720.0</v>
      </c>
      <c r="AA3" s="87">
        <v>3212.0</v>
      </c>
      <c r="AB3" s="87">
        <v>931.0</v>
      </c>
      <c r="AC3" s="87">
        <v>788.0</v>
      </c>
      <c r="AD3" s="87">
        <v>1104.0</v>
      </c>
      <c r="AE3" s="87">
        <v>1436.0</v>
      </c>
      <c r="AF3" s="87">
        <v>1314.0</v>
      </c>
      <c r="AG3" s="87"/>
      <c r="AH3" s="87">
        <v>4211.0</v>
      </c>
      <c r="AI3" s="87">
        <v>10314.0</v>
      </c>
      <c r="AJ3" s="87">
        <v>482.0</v>
      </c>
      <c r="AK3" s="87">
        <v>44.0</v>
      </c>
      <c r="AL3" s="87">
        <v>1873.0</v>
      </c>
      <c r="AM3" s="87">
        <v>389.0</v>
      </c>
      <c r="AN3" s="87">
        <v>3099.0</v>
      </c>
      <c r="AO3" s="87">
        <v>5072.0</v>
      </c>
      <c r="AP3" s="87">
        <v>320.0</v>
      </c>
      <c r="AQ3" s="87">
        <v>3941.0</v>
      </c>
      <c r="AR3" s="87">
        <v>269.0</v>
      </c>
      <c r="AS3" s="87">
        <v>9681.0</v>
      </c>
      <c r="AT3" s="87">
        <v>107.0</v>
      </c>
      <c r="AU3" s="87">
        <v>829.0</v>
      </c>
      <c r="AV3" s="87">
        <v>150.0</v>
      </c>
      <c r="AW3" s="87">
        <v>20.0</v>
      </c>
      <c r="AX3" s="87">
        <v>3.0</v>
      </c>
      <c r="AY3" s="87">
        <v>3.0</v>
      </c>
      <c r="AZ3" s="87">
        <v>1.0</v>
      </c>
      <c r="BA3" s="87"/>
      <c r="BB3" s="87">
        <v>1.0</v>
      </c>
      <c r="BC3" s="87">
        <v>4212.0</v>
      </c>
      <c r="BD3" s="87"/>
      <c r="BE3" s="87">
        <v>4758.0</v>
      </c>
      <c r="BF3" s="87">
        <v>547.0</v>
      </c>
      <c r="BG3" s="87">
        <v>9702.0</v>
      </c>
      <c r="BH3" s="87"/>
      <c r="BI3" s="87">
        <v>60441.0</v>
      </c>
      <c r="BJ3" s="87">
        <v>3534.0</v>
      </c>
      <c r="BK3" s="87">
        <v>4666.0</v>
      </c>
      <c r="BL3" s="87">
        <v>2595.0</v>
      </c>
      <c r="BM3" s="87">
        <v>4212.0</v>
      </c>
      <c r="BN3" s="87"/>
      <c r="BO3" s="87"/>
      <c r="BP3" s="87">
        <v>11358.0</v>
      </c>
      <c r="BQ3" s="87">
        <v>274.0</v>
      </c>
      <c r="BR3" s="87">
        <v>118.0</v>
      </c>
      <c r="BS3" s="87">
        <v>922.0</v>
      </c>
      <c r="BT3" s="87">
        <v>40.0</v>
      </c>
      <c r="BU3" s="87">
        <v>2.0</v>
      </c>
      <c r="BV3" s="87">
        <v>260.0</v>
      </c>
      <c r="BW3" s="87">
        <v>189.0</v>
      </c>
      <c r="BX3" s="87">
        <v>1590.0</v>
      </c>
      <c r="BY3" s="87"/>
      <c r="BZ3" s="87">
        <v>22.0</v>
      </c>
      <c r="CA3" s="87">
        <v>122.0</v>
      </c>
      <c r="CB3" s="87">
        <v>101.0</v>
      </c>
      <c r="CC3" s="87"/>
      <c r="CD3" s="87">
        <v>9.0</v>
      </c>
      <c r="CE3" s="87"/>
      <c r="CF3" s="87"/>
      <c r="CG3" s="87">
        <v>645.0</v>
      </c>
      <c r="CH3" s="87">
        <v>14362.0</v>
      </c>
      <c r="CI3" s="87"/>
      <c r="CJ3" s="87">
        <v>3074.0</v>
      </c>
      <c r="CK3" s="87">
        <v>6095.0</v>
      </c>
      <c r="CL3" s="87">
        <v>5174.0</v>
      </c>
      <c r="CM3" s="87">
        <v>12.0</v>
      </c>
      <c r="CN3" s="87"/>
      <c r="CO3" s="87">
        <v>396.0</v>
      </c>
      <c r="CP3" s="87"/>
      <c r="CQ3" s="87">
        <v>247.0</v>
      </c>
      <c r="CR3" s="87">
        <v>9.0</v>
      </c>
      <c r="CS3" s="87"/>
      <c r="CT3" s="87">
        <v>1322.0</v>
      </c>
      <c r="CU3" s="87">
        <v>241.0</v>
      </c>
      <c r="CV3" s="87">
        <v>139.0</v>
      </c>
      <c r="CW3" s="87">
        <v>269.0</v>
      </c>
      <c r="CX3" s="87">
        <v>128.0</v>
      </c>
      <c r="CY3" s="87">
        <v>222.0</v>
      </c>
      <c r="CZ3" s="87">
        <v>11.0</v>
      </c>
      <c r="DA3" s="87">
        <v>15.0</v>
      </c>
      <c r="DB3" s="87">
        <v>773.0</v>
      </c>
      <c r="DC3" s="87">
        <v>277.0</v>
      </c>
      <c r="DD3" s="87">
        <v>801.0</v>
      </c>
      <c r="DE3" s="87">
        <v>161.0</v>
      </c>
      <c r="DF3" s="87">
        <v>562.0</v>
      </c>
      <c r="DG3" s="87">
        <v>317.0</v>
      </c>
      <c r="DH3" s="87">
        <v>4719.0</v>
      </c>
      <c r="DI3" s="87">
        <v>4309.0</v>
      </c>
      <c r="DJ3" s="87">
        <v>6.0</v>
      </c>
      <c r="DK3" s="87">
        <v>136.0</v>
      </c>
      <c r="DL3" s="87">
        <v>584.0</v>
      </c>
      <c r="DM3" s="87">
        <v>15.0</v>
      </c>
      <c r="DN3" s="87"/>
      <c r="DO3" s="87">
        <v>1265.0</v>
      </c>
      <c r="DP3" s="87">
        <v>4209.0</v>
      </c>
      <c r="DQ3" s="87">
        <v>401.0</v>
      </c>
      <c r="DR3" s="87">
        <v>698.0</v>
      </c>
      <c r="DS3" s="87">
        <v>3.0</v>
      </c>
      <c r="DT3" s="87">
        <v>5.0</v>
      </c>
      <c r="DU3" s="87">
        <v>4.0</v>
      </c>
      <c r="DV3" s="87">
        <v>227.0</v>
      </c>
      <c r="DW3" s="87">
        <v>17.0</v>
      </c>
      <c r="DX3" s="87">
        <v>189.0</v>
      </c>
      <c r="DY3" s="87">
        <v>663.0</v>
      </c>
      <c r="DZ3" s="87">
        <v>247.0</v>
      </c>
      <c r="EA3" s="87">
        <v>33.0</v>
      </c>
      <c r="EB3" s="87">
        <v>167.0</v>
      </c>
      <c r="EC3" s="87">
        <v>122.0</v>
      </c>
      <c r="ED3" s="87">
        <v>6484.0</v>
      </c>
      <c r="EE3" s="87">
        <v>273.0</v>
      </c>
      <c r="EF3" s="87">
        <v>32.0</v>
      </c>
      <c r="EG3" s="87">
        <v>381.0</v>
      </c>
      <c r="EH3" s="87">
        <v>6.0</v>
      </c>
      <c r="EI3" s="87">
        <v>69.0</v>
      </c>
      <c r="EJ3" s="87">
        <v>14519.0</v>
      </c>
      <c r="EK3" s="88"/>
      <c r="EL3" s="88"/>
      <c r="EM3" s="88"/>
      <c r="EN3" s="88"/>
      <c r="EO3" s="88"/>
      <c r="EP3" s="88"/>
      <c r="EQ3" s="90"/>
    </row>
    <row r="4" ht="12.0" customHeight="1">
      <c r="A4" s="89">
        <v>1.06010776E8</v>
      </c>
      <c r="B4" s="89" t="s">
        <v>451</v>
      </c>
      <c r="C4" s="89" t="s">
        <v>431</v>
      </c>
      <c r="D4" s="89" t="s">
        <v>452</v>
      </c>
      <c r="E4" s="89" t="s">
        <v>453</v>
      </c>
      <c r="F4" s="89" t="s">
        <v>454</v>
      </c>
      <c r="G4" s="89" t="s">
        <v>455</v>
      </c>
      <c r="H4" s="89" t="s">
        <v>447</v>
      </c>
      <c r="I4" s="89" t="s">
        <v>456</v>
      </c>
      <c r="J4" s="89" t="s">
        <v>457</v>
      </c>
      <c r="K4" s="89" t="s">
        <v>438</v>
      </c>
      <c r="L4" s="89" t="s">
        <v>449</v>
      </c>
      <c r="M4" s="89" t="s">
        <v>458</v>
      </c>
      <c r="N4" s="89" t="s">
        <v>441</v>
      </c>
      <c r="O4" s="87">
        <v>7240.0</v>
      </c>
      <c r="P4" s="87"/>
      <c r="Q4" s="87"/>
      <c r="R4" s="87"/>
      <c r="S4" s="87">
        <v>92.0</v>
      </c>
      <c r="T4" s="87"/>
      <c r="U4" s="87">
        <v>3962.0</v>
      </c>
      <c r="V4" s="87">
        <v>3369.0</v>
      </c>
      <c r="W4" s="87">
        <v>1.0</v>
      </c>
      <c r="X4" s="87">
        <v>4770.0</v>
      </c>
      <c r="Y4" s="87">
        <v>2379.0</v>
      </c>
      <c r="Z4" s="87">
        <v>179.0</v>
      </c>
      <c r="AA4" s="87"/>
      <c r="AB4" s="87"/>
      <c r="AC4" s="87"/>
      <c r="AD4" s="87"/>
      <c r="AE4" s="87"/>
      <c r="AF4" s="87"/>
      <c r="AG4" s="87">
        <v>4.0</v>
      </c>
      <c r="AH4" s="87">
        <v>3194.0</v>
      </c>
      <c r="AI4" s="87">
        <v>4075.0</v>
      </c>
      <c r="AJ4" s="87">
        <v>63.0</v>
      </c>
      <c r="AK4" s="87">
        <v>29.0</v>
      </c>
      <c r="AL4" s="87">
        <v>604.0</v>
      </c>
      <c r="AM4" s="87">
        <v>96.0</v>
      </c>
      <c r="AN4" s="87">
        <v>1053.0</v>
      </c>
      <c r="AO4" s="87">
        <v>1437.0</v>
      </c>
      <c r="AP4" s="87">
        <v>66.0</v>
      </c>
      <c r="AQ4" s="87">
        <v>3617.0</v>
      </c>
      <c r="AR4" s="87">
        <v>430.0</v>
      </c>
      <c r="AS4" s="87">
        <v>4553.0</v>
      </c>
      <c r="AT4" s="87">
        <v>869.0</v>
      </c>
      <c r="AU4" s="87">
        <v>1766.0</v>
      </c>
      <c r="AV4" s="87"/>
      <c r="AW4" s="87">
        <v>84.0</v>
      </c>
      <c r="AX4" s="87">
        <v>58.0</v>
      </c>
      <c r="AY4" s="87">
        <v>1.0</v>
      </c>
      <c r="AZ4" s="87"/>
      <c r="BA4" s="87"/>
      <c r="BB4" s="87">
        <v>1.0</v>
      </c>
      <c r="BC4" s="87"/>
      <c r="BD4" s="87"/>
      <c r="BE4" s="87">
        <v>5028.0</v>
      </c>
      <c r="BF4" s="87">
        <v>123.0</v>
      </c>
      <c r="BG4" s="87">
        <v>2181.0</v>
      </c>
      <c r="BH4" s="87"/>
      <c r="BI4" s="87">
        <v>41285.0</v>
      </c>
      <c r="BJ4" s="87">
        <v>3862.0</v>
      </c>
      <c r="BK4" s="87">
        <v>1711.0</v>
      </c>
      <c r="BL4" s="87">
        <v>1536.0</v>
      </c>
      <c r="BM4" s="87"/>
      <c r="BN4" s="87">
        <v>218.0</v>
      </c>
      <c r="BO4" s="87">
        <v>5.0</v>
      </c>
      <c r="BP4" s="87">
        <v>7059.0</v>
      </c>
      <c r="BQ4" s="87">
        <v>79.0</v>
      </c>
      <c r="BR4" s="87">
        <v>72.0</v>
      </c>
      <c r="BS4" s="87">
        <v>1.0</v>
      </c>
      <c r="BT4" s="87">
        <v>2.0</v>
      </c>
      <c r="BU4" s="87">
        <v>1.0</v>
      </c>
      <c r="BV4" s="87">
        <v>15.0</v>
      </c>
      <c r="BW4" s="87">
        <v>47.0</v>
      </c>
      <c r="BX4" s="87">
        <v>6.0</v>
      </c>
      <c r="BY4" s="87"/>
      <c r="BZ4" s="87">
        <v>5.0</v>
      </c>
      <c r="CA4" s="87">
        <v>5.0</v>
      </c>
      <c r="CB4" s="87">
        <v>40.0</v>
      </c>
      <c r="CC4" s="87"/>
      <c r="CD4" s="87"/>
      <c r="CE4" s="87"/>
      <c r="CF4" s="87"/>
      <c r="CG4" s="87">
        <v>24.0</v>
      </c>
      <c r="CH4" s="87">
        <v>7308.0</v>
      </c>
      <c r="CI4" s="87"/>
      <c r="CJ4" s="87">
        <v>18.0</v>
      </c>
      <c r="CK4" s="87">
        <v>3274.0</v>
      </c>
      <c r="CL4" s="87">
        <v>1919.0</v>
      </c>
      <c r="CM4" s="87"/>
      <c r="CN4" s="87"/>
      <c r="CO4" s="87">
        <v>2030.0</v>
      </c>
      <c r="CP4" s="87"/>
      <c r="CQ4" s="87">
        <v>82.0</v>
      </c>
      <c r="CR4" s="87">
        <v>9.0</v>
      </c>
      <c r="CS4" s="87"/>
      <c r="CT4" s="87">
        <v>630.0</v>
      </c>
      <c r="CU4" s="87">
        <v>202.0</v>
      </c>
      <c r="CV4" s="87">
        <v>253.0</v>
      </c>
      <c r="CW4" s="87">
        <v>326.0</v>
      </c>
      <c r="CX4" s="87">
        <v>79.0</v>
      </c>
      <c r="CY4" s="87">
        <v>568.0</v>
      </c>
      <c r="CZ4" s="87">
        <v>24.0</v>
      </c>
      <c r="DA4" s="87">
        <v>23.0</v>
      </c>
      <c r="DB4" s="87">
        <v>65.0</v>
      </c>
      <c r="DC4" s="87">
        <v>1353.0</v>
      </c>
      <c r="DD4" s="87">
        <v>757.0</v>
      </c>
      <c r="DE4" s="87">
        <v>149.0</v>
      </c>
      <c r="DF4" s="87">
        <v>294.0</v>
      </c>
      <c r="DG4" s="87">
        <v>209.0</v>
      </c>
      <c r="DH4" s="87"/>
      <c r="DI4" s="87">
        <v>410.0</v>
      </c>
      <c r="DJ4" s="87">
        <v>405.0</v>
      </c>
      <c r="DK4" s="87">
        <v>243.0</v>
      </c>
      <c r="DL4" s="87">
        <v>924.0</v>
      </c>
      <c r="DM4" s="87">
        <v>416.0</v>
      </c>
      <c r="DN4" s="87">
        <v>2.0</v>
      </c>
      <c r="DO4" s="87">
        <v>1311.0</v>
      </c>
      <c r="DP4" s="87"/>
      <c r="DQ4" s="87">
        <v>209.0</v>
      </c>
      <c r="DR4" s="87">
        <v>693.0</v>
      </c>
      <c r="DS4" s="87">
        <v>30.0</v>
      </c>
      <c r="DT4" s="87">
        <v>14.0</v>
      </c>
      <c r="DU4" s="87">
        <v>16.0</v>
      </c>
      <c r="DV4" s="87">
        <v>62.0</v>
      </c>
      <c r="DW4" s="87">
        <v>60.0</v>
      </c>
      <c r="DX4" s="87">
        <v>154.0</v>
      </c>
      <c r="DY4" s="87">
        <v>518.0</v>
      </c>
      <c r="DZ4" s="87">
        <v>338.0</v>
      </c>
      <c r="EA4" s="87">
        <v>199.0</v>
      </c>
      <c r="EB4" s="87">
        <v>94.0</v>
      </c>
      <c r="EC4" s="87">
        <v>31.0</v>
      </c>
      <c r="ED4" s="87">
        <v>3415.0</v>
      </c>
      <c r="EE4" s="87">
        <v>188.0</v>
      </c>
      <c r="EF4" s="87"/>
      <c r="EG4" s="87">
        <v>22.0</v>
      </c>
      <c r="EH4" s="87">
        <v>1.0</v>
      </c>
      <c r="EI4" s="87">
        <v>72.0</v>
      </c>
      <c r="EJ4" s="87">
        <v>7237.0</v>
      </c>
      <c r="EK4" s="88"/>
      <c r="EL4" s="88"/>
      <c r="EM4" s="88"/>
      <c r="EN4" s="88"/>
      <c r="EO4" s="88"/>
      <c r="EP4" s="88"/>
      <c r="EQ4" s="90"/>
    </row>
    <row r="5" ht="12.0" customHeight="1">
      <c r="A5" s="89">
        <v>1.06010844E8</v>
      </c>
      <c r="B5" s="89" t="s">
        <v>459</v>
      </c>
      <c r="C5" s="89" t="s">
        <v>431</v>
      </c>
      <c r="D5" s="89" t="s">
        <v>460</v>
      </c>
      <c r="E5" s="89" t="s">
        <v>461</v>
      </c>
      <c r="F5" s="89" t="s">
        <v>445</v>
      </c>
      <c r="G5" s="89" t="s">
        <v>462</v>
      </c>
      <c r="H5" s="89" t="s">
        <v>447</v>
      </c>
      <c r="I5" s="89" t="s">
        <v>456</v>
      </c>
      <c r="J5" s="89" t="s">
        <v>463</v>
      </c>
      <c r="K5" s="89" t="s">
        <v>438</v>
      </c>
      <c r="L5" s="89" t="s">
        <v>449</v>
      </c>
      <c r="M5" s="89" t="s">
        <v>464</v>
      </c>
      <c r="N5" s="89" t="s">
        <v>441</v>
      </c>
      <c r="O5" s="87"/>
      <c r="P5" s="87"/>
      <c r="Q5" s="87">
        <v>1609.0</v>
      </c>
      <c r="R5" s="87"/>
      <c r="S5" s="87"/>
      <c r="T5" s="87"/>
      <c r="U5" s="87">
        <v>629.0</v>
      </c>
      <c r="V5" s="87">
        <v>980.0</v>
      </c>
      <c r="W5" s="87"/>
      <c r="X5" s="87"/>
      <c r="Y5" s="87">
        <v>532.0</v>
      </c>
      <c r="Z5" s="87">
        <v>324.0</v>
      </c>
      <c r="AA5" s="87">
        <v>241.0</v>
      </c>
      <c r="AB5" s="87">
        <v>159.0</v>
      </c>
      <c r="AC5" s="87">
        <v>120.0</v>
      </c>
      <c r="AD5" s="87">
        <v>140.0</v>
      </c>
      <c r="AE5" s="87">
        <v>60.0</v>
      </c>
      <c r="AF5" s="87">
        <v>33.0</v>
      </c>
      <c r="AG5" s="87"/>
      <c r="AH5" s="87">
        <v>194.0</v>
      </c>
      <c r="AI5" s="87">
        <v>1350.0</v>
      </c>
      <c r="AJ5" s="87">
        <v>65.0</v>
      </c>
      <c r="AK5" s="87">
        <v>11.0</v>
      </c>
      <c r="AL5" s="87">
        <v>153.0</v>
      </c>
      <c r="AM5" s="87">
        <v>21.0</v>
      </c>
      <c r="AN5" s="87">
        <v>323.0</v>
      </c>
      <c r="AO5" s="87">
        <v>800.0</v>
      </c>
      <c r="AP5" s="87">
        <v>43.0</v>
      </c>
      <c r="AQ5" s="87">
        <v>193.0</v>
      </c>
      <c r="AR5" s="87">
        <v>65.0</v>
      </c>
      <c r="AS5" s="87">
        <v>429.0</v>
      </c>
      <c r="AT5" s="87">
        <v>9.0</v>
      </c>
      <c r="AU5" s="87">
        <v>1076.0</v>
      </c>
      <c r="AV5" s="87">
        <v>3.0</v>
      </c>
      <c r="AW5" s="87">
        <v>12.0</v>
      </c>
      <c r="AX5" s="87">
        <v>80.0</v>
      </c>
      <c r="AY5" s="87"/>
      <c r="AZ5" s="87"/>
      <c r="BA5" s="87"/>
      <c r="BB5" s="87"/>
      <c r="BC5" s="87"/>
      <c r="BD5" s="87"/>
      <c r="BE5" s="87"/>
      <c r="BF5" s="87">
        <v>953.0</v>
      </c>
      <c r="BG5" s="87">
        <v>656.0</v>
      </c>
      <c r="BH5" s="87"/>
      <c r="BI5" s="87">
        <v>16229.0</v>
      </c>
      <c r="BJ5" s="87">
        <v>6.0</v>
      </c>
      <c r="BK5" s="87">
        <v>1593.0</v>
      </c>
      <c r="BL5" s="87">
        <v>10.0</v>
      </c>
      <c r="BM5" s="87"/>
      <c r="BN5" s="87"/>
      <c r="BO5" s="87"/>
      <c r="BP5" s="87">
        <v>1384.0</v>
      </c>
      <c r="BQ5" s="87">
        <v>38.0</v>
      </c>
      <c r="BR5" s="87">
        <v>5.0</v>
      </c>
      <c r="BS5" s="87">
        <v>25.0</v>
      </c>
      <c r="BT5" s="87">
        <v>100.0</v>
      </c>
      <c r="BU5" s="87">
        <v>6.0</v>
      </c>
      <c r="BV5" s="87">
        <v>29.0</v>
      </c>
      <c r="BW5" s="87"/>
      <c r="BX5" s="87">
        <v>1.0</v>
      </c>
      <c r="BY5" s="87"/>
      <c r="BZ5" s="87">
        <v>1.0</v>
      </c>
      <c r="CA5" s="87"/>
      <c r="CB5" s="87">
        <v>8.0</v>
      </c>
      <c r="CC5" s="87"/>
      <c r="CD5" s="87">
        <v>12.0</v>
      </c>
      <c r="CE5" s="87"/>
      <c r="CF5" s="87"/>
      <c r="CG5" s="87">
        <v>1.0</v>
      </c>
      <c r="CH5" s="87">
        <v>1608.0</v>
      </c>
      <c r="CI5" s="87"/>
      <c r="CJ5" s="87">
        <v>312.0</v>
      </c>
      <c r="CK5" s="87">
        <v>637.0</v>
      </c>
      <c r="CL5" s="87">
        <v>600.0</v>
      </c>
      <c r="CM5" s="87">
        <v>2.0</v>
      </c>
      <c r="CN5" s="87"/>
      <c r="CO5" s="87">
        <v>23.0</v>
      </c>
      <c r="CP5" s="87"/>
      <c r="CQ5" s="87">
        <v>34.0</v>
      </c>
      <c r="CR5" s="87">
        <v>1.0</v>
      </c>
      <c r="CS5" s="87"/>
      <c r="CT5" s="87">
        <v>1.0</v>
      </c>
      <c r="CU5" s="87"/>
      <c r="CV5" s="87"/>
      <c r="CW5" s="87"/>
      <c r="CX5" s="87">
        <v>1600.0</v>
      </c>
      <c r="CY5" s="87"/>
      <c r="CZ5" s="87"/>
      <c r="DA5" s="87"/>
      <c r="DB5" s="87"/>
      <c r="DC5" s="87"/>
      <c r="DD5" s="87"/>
      <c r="DE5" s="87"/>
      <c r="DF5" s="87"/>
      <c r="DG5" s="87"/>
      <c r="DH5" s="87"/>
      <c r="DI5" s="87"/>
      <c r="DJ5" s="87"/>
      <c r="DK5" s="87"/>
      <c r="DL5" s="87"/>
      <c r="DM5" s="87"/>
      <c r="DN5" s="87">
        <v>8.0</v>
      </c>
      <c r="DO5" s="87">
        <v>302.0</v>
      </c>
      <c r="DP5" s="87"/>
      <c r="DQ5" s="87">
        <v>1.0</v>
      </c>
      <c r="DR5" s="87">
        <v>2.0</v>
      </c>
      <c r="DS5" s="87"/>
      <c r="DT5" s="87"/>
      <c r="DU5" s="87"/>
      <c r="DV5" s="87"/>
      <c r="DW5" s="87"/>
      <c r="DX5" s="87">
        <v>2.0</v>
      </c>
      <c r="DY5" s="87">
        <v>1.0</v>
      </c>
      <c r="DZ5" s="87"/>
      <c r="EA5" s="87">
        <v>1.0</v>
      </c>
      <c r="EB5" s="87"/>
      <c r="EC5" s="87"/>
      <c r="ED5" s="87">
        <v>1265.0</v>
      </c>
      <c r="EE5" s="87">
        <v>35.0</v>
      </c>
      <c r="EF5" s="87">
        <v>5.0</v>
      </c>
      <c r="EG5" s="87">
        <v>270.0</v>
      </c>
      <c r="EH5" s="87"/>
      <c r="EI5" s="87">
        <v>17.0</v>
      </c>
      <c r="EJ5" s="87">
        <v>1317.0</v>
      </c>
      <c r="EK5" s="88"/>
      <c r="EL5" s="88"/>
      <c r="EM5" s="88"/>
      <c r="EN5" s="88"/>
      <c r="EO5" s="88"/>
      <c r="EP5" s="88"/>
      <c r="EQ5" s="90"/>
    </row>
    <row r="6" ht="12.0" customHeight="1">
      <c r="A6" s="89">
        <v>1.06010846E8</v>
      </c>
      <c r="B6" s="89" t="s">
        <v>465</v>
      </c>
      <c r="C6" s="89" t="s">
        <v>431</v>
      </c>
      <c r="D6" s="89" t="s">
        <v>466</v>
      </c>
      <c r="E6" s="89" t="s">
        <v>467</v>
      </c>
      <c r="F6" s="89" t="s">
        <v>454</v>
      </c>
      <c r="G6" s="89" t="s">
        <v>468</v>
      </c>
      <c r="H6" s="89" t="s">
        <v>435</v>
      </c>
      <c r="I6" s="89" t="s">
        <v>456</v>
      </c>
      <c r="J6" s="89" t="s">
        <v>469</v>
      </c>
      <c r="K6" s="89" t="s">
        <v>438</v>
      </c>
      <c r="L6" s="89" t="s">
        <v>439</v>
      </c>
      <c r="M6" s="89" t="s">
        <v>458</v>
      </c>
      <c r="N6" s="89" t="s">
        <v>441</v>
      </c>
      <c r="O6" s="87">
        <v>14681.0</v>
      </c>
      <c r="P6" s="87">
        <v>87.0</v>
      </c>
      <c r="Q6" s="87">
        <v>2479.0</v>
      </c>
      <c r="R6" s="87"/>
      <c r="S6" s="87">
        <v>566.0</v>
      </c>
      <c r="T6" s="87">
        <v>11.0</v>
      </c>
      <c r="U6" s="87">
        <v>9475.0</v>
      </c>
      <c r="V6" s="87">
        <v>8345.0</v>
      </c>
      <c r="W6" s="87">
        <v>4.0</v>
      </c>
      <c r="X6" s="87">
        <v>1439.0</v>
      </c>
      <c r="Y6" s="87">
        <v>302.0</v>
      </c>
      <c r="Z6" s="87">
        <v>2413.0</v>
      </c>
      <c r="AA6" s="87">
        <v>2851.0</v>
      </c>
      <c r="AB6" s="87">
        <v>2151.0</v>
      </c>
      <c r="AC6" s="87">
        <v>2719.0</v>
      </c>
      <c r="AD6" s="87">
        <v>3083.0</v>
      </c>
      <c r="AE6" s="87">
        <v>1758.0</v>
      </c>
      <c r="AF6" s="87">
        <v>1104.0</v>
      </c>
      <c r="AG6" s="87">
        <v>4.0</v>
      </c>
      <c r="AH6" s="87">
        <v>5291.0</v>
      </c>
      <c r="AI6" s="87">
        <v>12348.0</v>
      </c>
      <c r="AJ6" s="87">
        <v>185.0</v>
      </c>
      <c r="AK6" s="87">
        <v>61.0</v>
      </c>
      <c r="AL6" s="87">
        <v>1914.0</v>
      </c>
      <c r="AM6" s="87">
        <v>186.0</v>
      </c>
      <c r="AN6" s="87">
        <v>6297.0</v>
      </c>
      <c r="AO6" s="87">
        <v>3048.0</v>
      </c>
      <c r="AP6" s="87">
        <v>120.0</v>
      </c>
      <c r="AQ6" s="87">
        <v>5733.0</v>
      </c>
      <c r="AR6" s="87">
        <v>465.0</v>
      </c>
      <c r="AS6" s="87">
        <v>12615.0</v>
      </c>
      <c r="AT6" s="87">
        <v>637.0</v>
      </c>
      <c r="AU6" s="87">
        <v>1380.0</v>
      </c>
      <c r="AV6" s="87">
        <v>358.0</v>
      </c>
      <c r="AW6" s="87">
        <v>198.0</v>
      </c>
      <c r="AX6" s="87">
        <v>906.0</v>
      </c>
      <c r="AY6" s="87">
        <v>10.0</v>
      </c>
      <c r="AZ6" s="87"/>
      <c r="BA6" s="87">
        <v>105.0</v>
      </c>
      <c r="BB6" s="87">
        <v>227.0</v>
      </c>
      <c r="BC6" s="87">
        <v>1388.0</v>
      </c>
      <c r="BD6" s="87"/>
      <c r="BE6" s="87">
        <v>10805.0</v>
      </c>
      <c r="BF6" s="87">
        <v>26.0</v>
      </c>
      <c r="BG6" s="87">
        <v>6979.0</v>
      </c>
      <c r="BH6" s="87">
        <v>14.0</v>
      </c>
      <c r="BI6" s="87">
        <v>133268.0</v>
      </c>
      <c r="BJ6" s="87">
        <v>8981.0</v>
      </c>
      <c r="BK6" s="87">
        <v>4053.0</v>
      </c>
      <c r="BL6" s="87">
        <v>1919.0</v>
      </c>
      <c r="BM6" s="87">
        <v>1388.0</v>
      </c>
      <c r="BN6" s="87">
        <v>1460.0</v>
      </c>
      <c r="BO6" s="87">
        <v>23.0</v>
      </c>
      <c r="BP6" s="87">
        <v>11568.0</v>
      </c>
      <c r="BQ6" s="87">
        <v>822.0</v>
      </c>
      <c r="BR6" s="87">
        <v>333.0</v>
      </c>
      <c r="BS6" s="87">
        <v>1586.0</v>
      </c>
      <c r="BT6" s="87"/>
      <c r="BU6" s="87">
        <v>325.0</v>
      </c>
      <c r="BV6" s="87">
        <v>725.0</v>
      </c>
      <c r="BW6" s="87">
        <v>399.0</v>
      </c>
      <c r="BX6" s="87">
        <v>1338.0</v>
      </c>
      <c r="BY6" s="87"/>
      <c r="BZ6" s="87">
        <v>28.0</v>
      </c>
      <c r="CA6" s="87">
        <v>121.0</v>
      </c>
      <c r="CB6" s="87">
        <v>221.0</v>
      </c>
      <c r="CC6" s="87"/>
      <c r="CD6" s="87">
        <v>358.0</v>
      </c>
      <c r="CE6" s="87"/>
      <c r="CF6" s="87"/>
      <c r="CG6" s="87">
        <v>668.0</v>
      </c>
      <c r="CH6" s="87">
        <v>17155.0</v>
      </c>
      <c r="CI6" s="87">
        <v>1.0</v>
      </c>
      <c r="CJ6" s="87">
        <v>4991.0</v>
      </c>
      <c r="CK6" s="87">
        <v>11147.0</v>
      </c>
      <c r="CL6" s="87">
        <v>895.0</v>
      </c>
      <c r="CM6" s="87">
        <v>58.0</v>
      </c>
      <c r="CN6" s="87">
        <v>238.0</v>
      </c>
      <c r="CO6" s="87">
        <v>152.0</v>
      </c>
      <c r="CP6" s="87"/>
      <c r="CQ6" s="87">
        <v>343.0</v>
      </c>
      <c r="CR6" s="87"/>
      <c r="CS6" s="87"/>
      <c r="CT6" s="87">
        <v>1502.0</v>
      </c>
      <c r="CU6" s="87">
        <v>552.0</v>
      </c>
      <c r="CV6" s="87">
        <v>115.0</v>
      </c>
      <c r="CW6" s="87">
        <v>770.0</v>
      </c>
      <c r="CX6" s="87">
        <v>2950.0</v>
      </c>
      <c r="CY6" s="87">
        <v>477.0</v>
      </c>
      <c r="CZ6" s="87">
        <v>32.0</v>
      </c>
      <c r="DA6" s="87">
        <v>14.0</v>
      </c>
      <c r="DB6" s="87">
        <v>1681.0</v>
      </c>
      <c r="DC6" s="87">
        <v>736.0</v>
      </c>
      <c r="DD6" s="87">
        <v>1393.0</v>
      </c>
      <c r="DE6" s="87">
        <v>291.0</v>
      </c>
      <c r="DF6" s="87">
        <v>374.0</v>
      </c>
      <c r="DG6" s="87">
        <v>592.0</v>
      </c>
      <c r="DH6" s="87">
        <v>1634.0</v>
      </c>
      <c r="DI6" s="87">
        <v>1438.0</v>
      </c>
      <c r="DJ6" s="87">
        <v>8.0</v>
      </c>
      <c r="DK6" s="87">
        <v>332.0</v>
      </c>
      <c r="DL6" s="87">
        <v>2680.0</v>
      </c>
      <c r="DM6" s="87">
        <v>249.0</v>
      </c>
      <c r="DN6" s="87">
        <v>4.0</v>
      </c>
      <c r="DO6" s="87">
        <v>2731.0</v>
      </c>
      <c r="DP6" s="87">
        <v>1476.0</v>
      </c>
      <c r="DQ6" s="87">
        <v>1211.0</v>
      </c>
      <c r="DR6" s="87">
        <v>1087.0</v>
      </c>
      <c r="DS6" s="87">
        <v>20.0</v>
      </c>
      <c r="DT6" s="87">
        <v>18.0</v>
      </c>
      <c r="DU6" s="87">
        <v>16.0</v>
      </c>
      <c r="DV6" s="87">
        <v>154.0</v>
      </c>
      <c r="DW6" s="87">
        <v>46.0</v>
      </c>
      <c r="DX6" s="87">
        <v>614.0</v>
      </c>
      <c r="DY6" s="87">
        <v>914.0</v>
      </c>
      <c r="DZ6" s="87">
        <v>400.0</v>
      </c>
      <c r="EA6" s="87">
        <v>85.0</v>
      </c>
      <c r="EB6" s="87">
        <v>291.0</v>
      </c>
      <c r="EC6" s="87">
        <v>209.0</v>
      </c>
      <c r="ED6" s="87">
        <v>8098.0</v>
      </c>
      <c r="EE6" s="87">
        <v>454.0</v>
      </c>
      <c r="EF6" s="87">
        <v>1.0</v>
      </c>
      <c r="EG6" s="87">
        <v>1937.0</v>
      </c>
      <c r="EH6" s="87">
        <v>3.0</v>
      </c>
      <c r="EI6" s="87">
        <v>95.0</v>
      </c>
      <c r="EJ6" s="87">
        <v>15788.0</v>
      </c>
      <c r="EK6" s="88"/>
      <c r="EL6" s="88"/>
      <c r="EM6" s="88"/>
      <c r="EN6" s="88"/>
      <c r="EO6" s="88"/>
      <c r="EP6" s="88"/>
      <c r="EQ6" s="90"/>
    </row>
    <row r="7" ht="12.0" customHeight="1">
      <c r="A7" s="89">
        <v>1.06010887E8</v>
      </c>
      <c r="B7" s="89" t="s">
        <v>470</v>
      </c>
      <c r="C7" s="89" t="s">
        <v>431</v>
      </c>
      <c r="D7" s="89" t="s">
        <v>471</v>
      </c>
      <c r="E7" s="89" t="s">
        <v>472</v>
      </c>
      <c r="F7" s="89" t="s">
        <v>473</v>
      </c>
      <c r="G7" s="89" t="s">
        <v>474</v>
      </c>
      <c r="H7" s="89" t="s">
        <v>475</v>
      </c>
      <c r="I7" s="89" t="s">
        <v>456</v>
      </c>
      <c r="J7" s="89" t="s">
        <v>463</v>
      </c>
      <c r="K7" s="89" t="s">
        <v>438</v>
      </c>
      <c r="L7" s="89" t="s">
        <v>439</v>
      </c>
      <c r="M7" s="89" t="s">
        <v>476</v>
      </c>
      <c r="N7" s="89" t="s">
        <v>441</v>
      </c>
      <c r="O7" s="87">
        <v>331.0</v>
      </c>
      <c r="P7" s="87"/>
      <c r="Q7" s="87"/>
      <c r="R7" s="87"/>
      <c r="S7" s="87"/>
      <c r="T7" s="87"/>
      <c r="U7" s="87">
        <v>209.0</v>
      </c>
      <c r="V7" s="87">
        <v>122.0</v>
      </c>
      <c r="W7" s="87"/>
      <c r="X7" s="87"/>
      <c r="Y7" s="87"/>
      <c r="Z7" s="87"/>
      <c r="AA7" s="87">
        <v>28.0</v>
      </c>
      <c r="AB7" s="87">
        <v>40.0</v>
      </c>
      <c r="AC7" s="87">
        <v>91.0</v>
      </c>
      <c r="AD7" s="87">
        <v>70.0</v>
      </c>
      <c r="AE7" s="87">
        <v>67.0</v>
      </c>
      <c r="AF7" s="87">
        <v>26.0</v>
      </c>
      <c r="AG7" s="87">
        <v>9.0</v>
      </c>
      <c r="AH7" s="87">
        <v>66.0</v>
      </c>
      <c r="AI7" s="87">
        <v>224.0</v>
      </c>
      <c r="AJ7" s="87">
        <v>41.0</v>
      </c>
      <c r="AK7" s="87"/>
      <c r="AL7" s="87">
        <v>53.0</v>
      </c>
      <c r="AM7" s="87"/>
      <c r="AN7" s="87">
        <v>63.0</v>
      </c>
      <c r="AO7" s="87">
        <v>99.0</v>
      </c>
      <c r="AP7" s="87">
        <v>7.0</v>
      </c>
      <c r="AQ7" s="87">
        <v>109.0</v>
      </c>
      <c r="AR7" s="87"/>
      <c r="AS7" s="87"/>
      <c r="AT7" s="87"/>
      <c r="AU7" s="87">
        <v>331.0</v>
      </c>
      <c r="AV7" s="87"/>
      <c r="AW7" s="87"/>
      <c r="AX7" s="87"/>
      <c r="AY7" s="87"/>
      <c r="AZ7" s="87"/>
      <c r="BA7" s="87"/>
      <c r="BB7" s="87"/>
      <c r="BC7" s="87"/>
      <c r="BD7" s="87"/>
      <c r="BE7" s="87"/>
      <c r="BF7" s="87"/>
      <c r="BG7" s="87">
        <v>331.0</v>
      </c>
      <c r="BH7" s="87"/>
      <c r="BI7" s="87">
        <v>23259.0</v>
      </c>
      <c r="BJ7" s="87"/>
      <c r="BK7" s="87"/>
      <c r="BL7" s="87">
        <v>331.0</v>
      </c>
      <c r="BM7" s="87"/>
      <c r="BN7" s="87"/>
      <c r="BO7" s="87"/>
      <c r="BP7" s="87">
        <v>10.0</v>
      </c>
      <c r="BQ7" s="87">
        <v>117.0</v>
      </c>
      <c r="BR7" s="87">
        <v>19.0</v>
      </c>
      <c r="BS7" s="87">
        <v>103.0</v>
      </c>
      <c r="BT7" s="87">
        <v>1.0</v>
      </c>
      <c r="BU7" s="87"/>
      <c r="BV7" s="87">
        <v>5.0</v>
      </c>
      <c r="BW7" s="87">
        <v>34.0</v>
      </c>
      <c r="BX7" s="87">
        <v>41.0</v>
      </c>
      <c r="BY7" s="87"/>
      <c r="BZ7" s="87"/>
      <c r="CA7" s="87">
        <v>1.0</v>
      </c>
      <c r="CB7" s="87"/>
      <c r="CC7" s="87"/>
      <c r="CD7" s="87"/>
      <c r="CE7" s="87"/>
      <c r="CF7" s="87"/>
      <c r="CG7" s="87">
        <v>16.0</v>
      </c>
      <c r="CH7" s="87">
        <v>315.0</v>
      </c>
      <c r="CI7" s="87"/>
      <c r="CJ7" s="87">
        <v>77.0</v>
      </c>
      <c r="CK7" s="87">
        <v>163.0</v>
      </c>
      <c r="CL7" s="87">
        <v>83.0</v>
      </c>
      <c r="CM7" s="87">
        <v>2.0</v>
      </c>
      <c r="CN7" s="87"/>
      <c r="CO7" s="87">
        <v>6.0</v>
      </c>
      <c r="CP7" s="87"/>
      <c r="CQ7" s="87"/>
      <c r="CR7" s="87"/>
      <c r="CS7" s="87"/>
      <c r="CT7" s="87">
        <v>11.0</v>
      </c>
      <c r="CU7" s="87">
        <v>1.0</v>
      </c>
      <c r="CV7" s="87"/>
      <c r="CW7" s="87">
        <v>2.0</v>
      </c>
      <c r="CX7" s="87"/>
      <c r="CY7" s="87">
        <v>1.0</v>
      </c>
      <c r="CZ7" s="87"/>
      <c r="DA7" s="87"/>
      <c r="DB7" s="87">
        <v>5.0</v>
      </c>
      <c r="DC7" s="87">
        <v>230.0</v>
      </c>
      <c r="DD7" s="87">
        <v>10.0</v>
      </c>
      <c r="DE7" s="87">
        <v>15.0</v>
      </c>
      <c r="DF7" s="87">
        <v>13.0</v>
      </c>
      <c r="DG7" s="87">
        <v>10.0</v>
      </c>
      <c r="DH7" s="87"/>
      <c r="DI7" s="87"/>
      <c r="DJ7" s="87"/>
      <c r="DK7" s="87"/>
      <c r="DL7" s="87">
        <v>22.0</v>
      </c>
      <c r="DM7" s="87">
        <v>11.0</v>
      </c>
      <c r="DN7" s="87"/>
      <c r="DO7" s="87">
        <v>145.0</v>
      </c>
      <c r="DP7" s="87"/>
      <c r="DQ7" s="87">
        <v>33.0</v>
      </c>
      <c r="DR7" s="87">
        <v>19.0</v>
      </c>
      <c r="DS7" s="87">
        <v>1.0</v>
      </c>
      <c r="DT7" s="87"/>
      <c r="DU7" s="87"/>
      <c r="DV7" s="87"/>
      <c r="DW7" s="87"/>
      <c r="DX7" s="87">
        <v>13.0</v>
      </c>
      <c r="DY7" s="87">
        <v>10.0</v>
      </c>
      <c r="DZ7" s="87"/>
      <c r="EA7" s="87">
        <v>2.0</v>
      </c>
      <c r="EB7" s="87">
        <v>3.0</v>
      </c>
      <c r="EC7" s="87">
        <v>1.0</v>
      </c>
      <c r="ED7" s="87">
        <v>100.0</v>
      </c>
      <c r="EE7" s="87">
        <v>4.0</v>
      </c>
      <c r="EF7" s="87">
        <v>1.0</v>
      </c>
      <c r="EG7" s="87">
        <v>8.0</v>
      </c>
      <c r="EH7" s="87"/>
      <c r="EI7" s="87">
        <v>2.0</v>
      </c>
      <c r="EJ7" s="87">
        <v>320.0</v>
      </c>
      <c r="EK7" s="88"/>
      <c r="EL7" s="88"/>
      <c r="EM7" s="88"/>
      <c r="EN7" s="88"/>
      <c r="EO7" s="88"/>
      <c r="EP7" s="88"/>
      <c r="EQ7" s="90"/>
    </row>
    <row r="8" ht="12.0" customHeight="1">
      <c r="A8" s="89">
        <v>1.06010937E8</v>
      </c>
      <c r="B8" s="89" t="s">
        <v>477</v>
      </c>
      <c r="C8" s="89" t="s">
        <v>431</v>
      </c>
      <c r="D8" s="89" t="s">
        <v>478</v>
      </c>
      <c r="E8" s="89" t="s">
        <v>479</v>
      </c>
      <c r="F8" s="89" t="s">
        <v>454</v>
      </c>
      <c r="G8" s="89" t="s">
        <v>455</v>
      </c>
      <c r="H8" s="89" t="s">
        <v>447</v>
      </c>
      <c r="I8" s="89" t="s">
        <v>456</v>
      </c>
      <c r="J8" s="89" t="s">
        <v>448</v>
      </c>
      <c r="K8" s="89" t="s">
        <v>438</v>
      </c>
      <c r="L8" s="89" t="s">
        <v>439</v>
      </c>
      <c r="M8" s="89" t="s">
        <v>480</v>
      </c>
      <c r="N8" s="89" t="s">
        <v>441</v>
      </c>
      <c r="O8" s="87">
        <v>9656.0</v>
      </c>
      <c r="P8" s="87"/>
      <c r="Q8" s="87"/>
      <c r="R8" s="87"/>
      <c r="S8" s="87">
        <v>724.0</v>
      </c>
      <c r="T8" s="87"/>
      <c r="U8" s="87">
        <v>5219.0</v>
      </c>
      <c r="V8" s="87">
        <v>5161.0</v>
      </c>
      <c r="W8" s="87"/>
      <c r="X8" s="87"/>
      <c r="Y8" s="87">
        <v>30.0</v>
      </c>
      <c r="Z8" s="87">
        <v>256.0</v>
      </c>
      <c r="AA8" s="87">
        <v>650.0</v>
      </c>
      <c r="AB8" s="87">
        <v>845.0</v>
      </c>
      <c r="AC8" s="87">
        <v>1437.0</v>
      </c>
      <c r="AD8" s="87">
        <v>2316.0</v>
      </c>
      <c r="AE8" s="87">
        <v>2470.0</v>
      </c>
      <c r="AF8" s="87">
        <v>2376.0</v>
      </c>
      <c r="AG8" s="87"/>
      <c r="AH8" s="87">
        <v>1129.0</v>
      </c>
      <c r="AI8" s="87">
        <v>9091.0</v>
      </c>
      <c r="AJ8" s="87">
        <v>160.0</v>
      </c>
      <c r="AK8" s="87">
        <v>23.0</v>
      </c>
      <c r="AL8" s="87">
        <v>1664.0</v>
      </c>
      <c r="AM8" s="87">
        <v>226.0</v>
      </c>
      <c r="AN8" s="87">
        <v>3786.0</v>
      </c>
      <c r="AO8" s="87">
        <v>3300.0</v>
      </c>
      <c r="AP8" s="87">
        <v>118.0</v>
      </c>
      <c r="AQ8" s="87">
        <v>1192.0</v>
      </c>
      <c r="AR8" s="87">
        <v>71.0</v>
      </c>
      <c r="AS8" s="87">
        <v>8563.0</v>
      </c>
      <c r="AT8" s="87">
        <v>129.0</v>
      </c>
      <c r="AU8" s="87">
        <v>1170.0</v>
      </c>
      <c r="AV8" s="87">
        <v>364.0</v>
      </c>
      <c r="AW8" s="87">
        <v>12.0</v>
      </c>
      <c r="AX8" s="87">
        <v>127.0</v>
      </c>
      <c r="AY8" s="87">
        <v>14.0</v>
      </c>
      <c r="AZ8" s="87">
        <v>1.0</v>
      </c>
      <c r="BA8" s="87"/>
      <c r="BB8" s="87"/>
      <c r="BC8" s="87"/>
      <c r="BD8" s="87"/>
      <c r="BE8" s="87">
        <v>7612.0</v>
      </c>
      <c r="BF8" s="87">
        <v>288.0</v>
      </c>
      <c r="BG8" s="87">
        <v>2480.0</v>
      </c>
      <c r="BH8" s="87"/>
      <c r="BI8" s="87">
        <v>63533.0</v>
      </c>
      <c r="BJ8" s="87">
        <v>5688.0</v>
      </c>
      <c r="BK8" s="87">
        <v>2611.0</v>
      </c>
      <c r="BL8" s="87">
        <v>2081.0</v>
      </c>
      <c r="BM8" s="87"/>
      <c r="BN8" s="87"/>
      <c r="BO8" s="87"/>
      <c r="BP8" s="87">
        <v>4267.0</v>
      </c>
      <c r="BQ8" s="87">
        <v>297.0</v>
      </c>
      <c r="BR8" s="87">
        <v>253.0</v>
      </c>
      <c r="BS8" s="87">
        <v>1517.0</v>
      </c>
      <c r="BT8" s="87">
        <v>73.0</v>
      </c>
      <c r="BU8" s="87">
        <v>1.0</v>
      </c>
      <c r="BV8" s="87">
        <v>266.0</v>
      </c>
      <c r="BW8" s="87">
        <v>382.0</v>
      </c>
      <c r="BX8" s="87">
        <v>3053.0</v>
      </c>
      <c r="BY8" s="87"/>
      <c r="BZ8" s="87">
        <v>1.0</v>
      </c>
      <c r="CA8" s="87">
        <v>261.0</v>
      </c>
      <c r="CB8" s="87">
        <v>8.0</v>
      </c>
      <c r="CC8" s="87"/>
      <c r="CD8" s="87">
        <v>1.0</v>
      </c>
      <c r="CE8" s="87"/>
      <c r="CF8" s="87"/>
      <c r="CG8" s="87">
        <v>1059.0</v>
      </c>
      <c r="CH8" s="87">
        <v>9321.0</v>
      </c>
      <c r="CI8" s="87"/>
      <c r="CJ8" s="87">
        <v>5512.0</v>
      </c>
      <c r="CK8" s="87">
        <v>2415.0</v>
      </c>
      <c r="CL8" s="87">
        <v>2131.0</v>
      </c>
      <c r="CM8" s="87">
        <v>24.0</v>
      </c>
      <c r="CN8" s="87"/>
      <c r="CO8" s="87">
        <v>141.0</v>
      </c>
      <c r="CP8" s="87"/>
      <c r="CQ8" s="87">
        <v>142.0</v>
      </c>
      <c r="CR8" s="87">
        <v>15.0</v>
      </c>
      <c r="CS8" s="87"/>
      <c r="CT8" s="87">
        <v>1825.0</v>
      </c>
      <c r="CU8" s="87">
        <v>617.0</v>
      </c>
      <c r="CV8" s="87">
        <v>213.0</v>
      </c>
      <c r="CW8" s="87">
        <v>688.0</v>
      </c>
      <c r="CX8" s="87">
        <v>116.0</v>
      </c>
      <c r="CY8" s="87">
        <v>376.0</v>
      </c>
      <c r="CZ8" s="87">
        <v>15.0</v>
      </c>
      <c r="DA8" s="87">
        <v>10.0</v>
      </c>
      <c r="DB8" s="87">
        <v>2828.0</v>
      </c>
      <c r="DC8" s="87">
        <v>492.0</v>
      </c>
      <c r="DD8" s="87">
        <v>989.0</v>
      </c>
      <c r="DE8" s="87">
        <v>89.0</v>
      </c>
      <c r="DF8" s="87">
        <v>372.0</v>
      </c>
      <c r="DG8" s="87">
        <v>513.0</v>
      </c>
      <c r="DH8" s="87">
        <v>14.0</v>
      </c>
      <c r="DI8" s="87"/>
      <c r="DJ8" s="87">
        <v>15.0</v>
      </c>
      <c r="DK8" s="87">
        <v>198.0</v>
      </c>
      <c r="DL8" s="87">
        <v>812.0</v>
      </c>
      <c r="DM8" s="87">
        <v>198.0</v>
      </c>
      <c r="DN8" s="87"/>
      <c r="DO8" s="87">
        <v>1555.0</v>
      </c>
      <c r="DP8" s="87"/>
      <c r="DQ8" s="87">
        <v>1740.0</v>
      </c>
      <c r="DR8" s="87">
        <v>1227.0</v>
      </c>
      <c r="DS8" s="87">
        <v>3.0</v>
      </c>
      <c r="DT8" s="87">
        <v>23.0</v>
      </c>
      <c r="DU8" s="87"/>
      <c r="DV8" s="87">
        <v>82.0</v>
      </c>
      <c r="DW8" s="87">
        <v>81.0</v>
      </c>
      <c r="DX8" s="87">
        <v>293.0</v>
      </c>
      <c r="DY8" s="87">
        <v>509.0</v>
      </c>
      <c r="DZ8" s="87">
        <v>98.0</v>
      </c>
      <c r="EA8" s="87">
        <v>22.0</v>
      </c>
      <c r="EB8" s="87">
        <v>332.0</v>
      </c>
      <c r="EC8" s="87">
        <v>134.0</v>
      </c>
      <c r="ED8" s="87">
        <v>4016.0</v>
      </c>
      <c r="EE8" s="87">
        <v>265.0</v>
      </c>
      <c r="EF8" s="87">
        <v>4.0</v>
      </c>
      <c r="EG8" s="87">
        <v>549.0</v>
      </c>
      <c r="EH8" s="87">
        <v>6.0</v>
      </c>
      <c r="EI8" s="87">
        <v>76.0</v>
      </c>
      <c r="EJ8" s="87">
        <v>9745.0</v>
      </c>
      <c r="EK8" s="88"/>
      <c r="EL8" s="88"/>
      <c r="EM8" s="88"/>
      <c r="EN8" s="88"/>
      <c r="EO8" s="88"/>
      <c r="EP8" s="88"/>
      <c r="EQ8" s="90"/>
    </row>
    <row r="9" ht="12.0" customHeight="1">
      <c r="A9" s="89">
        <v>1.06010967E8</v>
      </c>
      <c r="B9" s="89" t="s">
        <v>481</v>
      </c>
      <c r="C9" s="89" t="s">
        <v>431</v>
      </c>
      <c r="D9" s="89" t="s">
        <v>482</v>
      </c>
      <c r="E9" s="89" t="s">
        <v>483</v>
      </c>
      <c r="F9" s="89" t="s">
        <v>484</v>
      </c>
      <c r="G9" s="89" t="s">
        <v>485</v>
      </c>
      <c r="H9" s="89" t="s">
        <v>447</v>
      </c>
      <c r="I9" s="89" t="s">
        <v>456</v>
      </c>
      <c r="J9" s="89" t="s">
        <v>457</v>
      </c>
      <c r="K9" s="89" t="s">
        <v>486</v>
      </c>
      <c r="L9" s="89" t="s">
        <v>487</v>
      </c>
      <c r="M9" s="89" t="s">
        <v>488</v>
      </c>
      <c r="N9" s="89" t="s">
        <v>441</v>
      </c>
      <c r="O9" s="87">
        <v>4209.0</v>
      </c>
      <c r="P9" s="87"/>
      <c r="Q9" s="87"/>
      <c r="R9" s="87"/>
      <c r="S9" s="87"/>
      <c r="T9" s="87"/>
      <c r="U9" s="87">
        <v>2084.0</v>
      </c>
      <c r="V9" s="87">
        <v>2125.0</v>
      </c>
      <c r="W9" s="87"/>
      <c r="X9" s="87">
        <v>315.0</v>
      </c>
      <c r="Y9" s="87">
        <v>52.0</v>
      </c>
      <c r="Z9" s="87">
        <v>331.0</v>
      </c>
      <c r="AA9" s="87">
        <v>368.0</v>
      </c>
      <c r="AB9" s="87">
        <v>361.0</v>
      </c>
      <c r="AC9" s="87">
        <v>534.0</v>
      </c>
      <c r="AD9" s="87">
        <v>878.0</v>
      </c>
      <c r="AE9" s="87">
        <v>690.0</v>
      </c>
      <c r="AF9" s="87">
        <v>680.0</v>
      </c>
      <c r="AG9" s="87"/>
      <c r="AH9" s="87">
        <v>1346.0</v>
      </c>
      <c r="AI9" s="87">
        <v>2835.0</v>
      </c>
      <c r="AJ9" s="87">
        <v>28.0</v>
      </c>
      <c r="AK9" s="87"/>
      <c r="AL9" s="87">
        <v>879.0</v>
      </c>
      <c r="AM9" s="87">
        <v>140.0</v>
      </c>
      <c r="AN9" s="87">
        <v>612.0</v>
      </c>
      <c r="AO9" s="87">
        <v>1048.0</v>
      </c>
      <c r="AP9" s="87">
        <v>39.0</v>
      </c>
      <c r="AQ9" s="87">
        <v>1451.0</v>
      </c>
      <c r="AR9" s="87">
        <v>40.0</v>
      </c>
      <c r="AS9" s="87">
        <v>3206.0</v>
      </c>
      <c r="AT9" s="87">
        <v>37.0</v>
      </c>
      <c r="AU9" s="87">
        <v>152.0</v>
      </c>
      <c r="AV9" s="87">
        <v>489.0</v>
      </c>
      <c r="AW9" s="87">
        <v>3.0</v>
      </c>
      <c r="AX9" s="87"/>
      <c r="AY9" s="87"/>
      <c r="AZ9" s="87">
        <v>2.0</v>
      </c>
      <c r="BA9" s="87">
        <v>4.0</v>
      </c>
      <c r="BB9" s="87">
        <v>1.0</v>
      </c>
      <c r="BC9" s="87">
        <v>315.0</v>
      </c>
      <c r="BD9" s="87"/>
      <c r="BE9" s="87">
        <v>3260.0</v>
      </c>
      <c r="BF9" s="87">
        <v>51.0</v>
      </c>
      <c r="BG9" s="87">
        <v>898.0</v>
      </c>
      <c r="BH9" s="87"/>
      <c r="BI9" s="87">
        <v>17227.0</v>
      </c>
      <c r="BJ9" s="87">
        <v>3274.0</v>
      </c>
      <c r="BK9" s="87">
        <v>272.0</v>
      </c>
      <c r="BL9" s="87">
        <v>348.0</v>
      </c>
      <c r="BM9" s="87">
        <v>315.0</v>
      </c>
      <c r="BN9" s="87"/>
      <c r="BO9" s="87"/>
      <c r="BP9" s="87">
        <v>2424.0</v>
      </c>
      <c r="BQ9" s="87">
        <v>171.0</v>
      </c>
      <c r="BR9" s="87">
        <v>11.0</v>
      </c>
      <c r="BS9" s="87">
        <v>640.0</v>
      </c>
      <c r="BT9" s="87">
        <v>75.0</v>
      </c>
      <c r="BU9" s="87"/>
      <c r="BV9" s="87">
        <v>123.0</v>
      </c>
      <c r="BW9" s="87">
        <v>163.0</v>
      </c>
      <c r="BX9" s="87">
        <v>530.0</v>
      </c>
      <c r="BY9" s="87"/>
      <c r="BZ9" s="87">
        <v>5.0</v>
      </c>
      <c r="CA9" s="87">
        <v>50.0</v>
      </c>
      <c r="CB9" s="87">
        <v>17.0</v>
      </c>
      <c r="CC9" s="87"/>
      <c r="CD9" s="87"/>
      <c r="CE9" s="87"/>
      <c r="CF9" s="87"/>
      <c r="CG9" s="87">
        <v>277.0</v>
      </c>
      <c r="CH9" s="87">
        <v>3932.0</v>
      </c>
      <c r="CI9" s="87"/>
      <c r="CJ9" s="87">
        <v>1615.0</v>
      </c>
      <c r="CK9" s="87">
        <v>2125.0</v>
      </c>
      <c r="CL9" s="87">
        <v>348.0</v>
      </c>
      <c r="CM9" s="87">
        <v>6.0</v>
      </c>
      <c r="CN9" s="87"/>
      <c r="CO9" s="87">
        <v>14.0</v>
      </c>
      <c r="CP9" s="87">
        <v>26.0</v>
      </c>
      <c r="CQ9" s="87">
        <v>75.0</v>
      </c>
      <c r="CR9" s="87"/>
      <c r="CS9" s="87"/>
      <c r="CT9" s="87">
        <v>586.0</v>
      </c>
      <c r="CU9" s="87">
        <v>54.0</v>
      </c>
      <c r="CV9" s="87">
        <v>35.0</v>
      </c>
      <c r="CW9" s="87">
        <v>243.0</v>
      </c>
      <c r="CX9" s="87">
        <v>83.0</v>
      </c>
      <c r="CY9" s="87">
        <v>105.0</v>
      </c>
      <c r="CZ9" s="87">
        <v>3.0</v>
      </c>
      <c r="DA9" s="87">
        <v>9.0</v>
      </c>
      <c r="DB9" s="87">
        <v>794.0</v>
      </c>
      <c r="DC9" s="87">
        <v>283.0</v>
      </c>
      <c r="DD9" s="87">
        <v>514.0</v>
      </c>
      <c r="DE9" s="87">
        <v>57.0</v>
      </c>
      <c r="DF9" s="87">
        <v>209.0</v>
      </c>
      <c r="DG9" s="87">
        <v>248.0</v>
      </c>
      <c r="DH9" s="87">
        <v>352.0</v>
      </c>
      <c r="DI9" s="87">
        <v>315.0</v>
      </c>
      <c r="DJ9" s="87"/>
      <c r="DK9" s="87">
        <v>115.0</v>
      </c>
      <c r="DL9" s="87">
        <v>197.0</v>
      </c>
      <c r="DM9" s="87">
        <v>6.0</v>
      </c>
      <c r="DN9" s="87">
        <v>1.0</v>
      </c>
      <c r="DO9" s="87">
        <v>728.0</v>
      </c>
      <c r="DP9" s="87">
        <v>309.0</v>
      </c>
      <c r="DQ9" s="87">
        <v>579.0</v>
      </c>
      <c r="DR9" s="87">
        <v>480.0</v>
      </c>
      <c r="DS9" s="87"/>
      <c r="DT9" s="87"/>
      <c r="DU9" s="87"/>
      <c r="DV9" s="87">
        <v>41.0</v>
      </c>
      <c r="DW9" s="87">
        <v>7.0</v>
      </c>
      <c r="DX9" s="87">
        <v>52.0</v>
      </c>
      <c r="DY9" s="87">
        <v>255.0</v>
      </c>
      <c r="DZ9" s="87">
        <v>13.0</v>
      </c>
      <c r="EA9" s="87">
        <v>12.0</v>
      </c>
      <c r="EB9" s="87">
        <v>45.0</v>
      </c>
      <c r="EC9" s="87">
        <v>25.0</v>
      </c>
      <c r="ED9" s="87">
        <v>1587.0</v>
      </c>
      <c r="EE9" s="87">
        <v>76.0</v>
      </c>
      <c r="EF9" s="87">
        <v>5.0</v>
      </c>
      <c r="EG9" s="87">
        <v>126.0</v>
      </c>
      <c r="EH9" s="87">
        <v>1.0</v>
      </c>
      <c r="EI9" s="87">
        <v>11.0</v>
      </c>
      <c r="EJ9" s="87">
        <v>4066.0</v>
      </c>
      <c r="EK9" s="88"/>
      <c r="EL9" s="88"/>
      <c r="EM9" s="88"/>
      <c r="EN9" s="88"/>
      <c r="EO9" s="88"/>
      <c r="EP9" s="88"/>
      <c r="EQ9" s="90"/>
    </row>
    <row r="10" ht="12.0" customHeight="1">
      <c r="A10" s="89">
        <v>1.06010987E8</v>
      </c>
      <c r="B10" s="89" t="s">
        <v>489</v>
      </c>
      <c r="C10" s="89" t="s">
        <v>431</v>
      </c>
      <c r="D10" s="89" t="s">
        <v>490</v>
      </c>
      <c r="E10" s="89" t="s">
        <v>491</v>
      </c>
      <c r="F10" s="89" t="s">
        <v>492</v>
      </c>
      <c r="G10" s="89" t="s">
        <v>493</v>
      </c>
      <c r="H10" s="89" t="s">
        <v>494</v>
      </c>
      <c r="I10" s="89" t="s">
        <v>456</v>
      </c>
      <c r="J10" s="89" t="s">
        <v>448</v>
      </c>
      <c r="K10" s="89" t="s">
        <v>486</v>
      </c>
      <c r="L10" s="89" t="s">
        <v>487</v>
      </c>
      <c r="M10" s="89" t="s">
        <v>495</v>
      </c>
      <c r="N10" s="89" t="s">
        <v>441</v>
      </c>
      <c r="O10" s="87">
        <v>11205.0</v>
      </c>
      <c r="P10" s="87">
        <v>302.0</v>
      </c>
      <c r="Q10" s="87"/>
      <c r="R10" s="87"/>
      <c r="S10" s="87"/>
      <c r="T10" s="87"/>
      <c r="U10" s="87">
        <v>4981.0</v>
      </c>
      <c r="V10" s="87">
        <v>6526.0</v>
      </c>
      <c r="W10" s="87"/>
      <c r="X10" s="87">
        <v>1639.0</v>
      </c>
      <c r="Y10" s="87">
        <v>46.0</v>
      </c>
      <c r="Z10" s="87">
        <v>433.0</v>
      </c>
      <c r="AA10" s="87">
        <v>1464.0</v>
      </c>
      <c r="AB10" s="87">
        <v>649.0</v>
      </c>
      <c r="AC10" s="87">
        <v>1000.0</v>
      </c>
      <c r="AD10" s="87">
        <v>1763.0</v>
      </c>
      <c r="AE10" s="87">
        <v>2008.0</v>
      </c>
      <c r="AF10" s="87">
        <v>2505.0</v>
      </c>
      <c r="AG10" s="87"/>
      <c r="AH10" s="87">
        <v>1483.0</v>
      </c>
      <c r="AI10" s="87">
        <v>9855.0</v>
      </c>
      <c r="AJ10" s="87">
        <v>169.0</v>
      </c>
      <c r="AK10" s="87">
        <v>13.0</v>
      </c>
      <c r="AL10" s="87">
        <v>5295.0</v>
      </c>
      <c r="AM10" s="87">
        <v>105.0</v>
      </c>
      <c r="AN10" s="87">
        <v>543.0</v>
      </c>
      <c r="AO10" s="87">
        <v>3352.0</v>
      </c>
      <c r="AP10" s="87">
        <v>152.0</v>
      </c>
      <c r="AQ10" s="87">
        <v>1818.0</v>
      </c>
      <c r="AR10" s="87">
        <v>229.0</v>
      </c>
      <c r="AS10" s="87">
        <v>7405.0</v>
      </c>
      <c r="AT10" s="87">
        <v>2109.0</v>
      </c>
      <c r="AU10" s="87"/>
      <c r="AV10" s="87">
        <v>399.0</v>
      </c>
      <c r="AW10" s="87">
        <v>68.0</v>
      </c>
      <c r="AX10" s="87"/>
      <c r="AY10" s="87"/>
      <c r="AZ10" s="87">
        <v>74.0</v>
      </c>
      <c r="BA10" s="87">
        <v>2.0</v>
      </c>
      <c r="BB10" s="87"/>
      <c r="BC10" s="87">
        <v>1450.0</v>
      </c>
      <c r="BD10" s="87"/>
      <c r="BE10" s="87">
        <v>7807.0</v>
      </c>
      <c r="BF10" s="87">
        <v>48.0</v>
      </c>
      <c r="BG10" s="87">
        <v>3652.0</v>
      </c>
      <c r="BH10" s="87"/>
      <c r="BI10" s="87">
        <v>58714.0</v>
      </c>
      <c r="BJ10" s="87">
        <v>7749.0</v>
      </c>
      <c r="BK10" s="87">
        <v>1400.0</v>
      </c>
      <c r="BL10" s="87">
        <v>906.0</v>
      </c>
      <c r="BM10" s="87">
        <v>1450.0</v>
      </c>
      <c r="BN10" s="87">
        <v>2.0</v>
      </c>
      <c r="BO10" s="87"/>
      <c r="BP10" s="87">
        <v>6596.0</v>
      </c>
      <c r="BQ10" s="87">
        <v>153.0</v>
      </c>
      <c r="BR10" s="87">
        <v>69.0</v>
      </c>
      <c r="BS10" s="87">
        <v>1460.0</v>
      </c>
      <c r="BT10" s="87"/>
      <c r="BU10" s="87"/>
      <c r="BV10" s="87"/>
      <c r="BW10" s="87">
        <v>408.0</v>
      </c>
      <c r="BX10" s="87">
        <v>2622.0</v>
      </c>
      <c r="BY10" s="87"/>
      <c r="BZ10" s="87">
        <v>6.0</v>
      </c>
      <c r="CA10" s="87">
        <v>160.0</v>
      </c>
      <c r="CB10" s="87">
        <v>22.0</v>
      </c>
      <c r="CC10" s="87">
        <v>3.0</v>
      </c>
      <c r="CD10" s="87">
        <v>5.0</v>
      </c>
      <c r="CE10" s="87">
        <v>2.0</v>
      </c>
      <c r="CF10" s="87">
        <v>1.0</v>
      </c>
      <c r="CG10" s="87">
        <v>1173.0</v>
      </c>
      <c r="CH10" s="87">
        <v>10334.0</v>
      </c>
      <c r="CI10" s="87"/>
      <c r="CJ10" s="87">
        <v>4961.0</v>
      </c>
      <c r="CK10" s="87">
        <v>2104.0</v>
      </c>
      <c r="CL10" s="87">
        <v>4170.0</v>
      </c>
      <c r="CM10" s="87">
        <v>56.0</v>
      </c>
      <c r="CN10" s="87"/>
      <c r="CO10" s="87">
        <v>57.0</v>
      </c>
      <c r="CP10" s="87"/>
      <c r="CQ10" s="87">
        <v>71.0</v>
      </c>
      <c r="CR10" s="87"/>
      <c r="CS10" s="87">
        <v>88.0</v>
      </c>
      <c r="CT10" s="87">
        <v>1386.0</v>
      </c>
      <c r="CU10" s="87">
        <v>342.0</v>
      </c>
      <c r="CV10" s="87">
        <v>47.0</v>
      </c>
      <c r="CW10" s="87">
        <v>474.0</v>
      </c>
      <c r="CX10" s="87">
        <v>95.0</v>
      </c>
      <c r="CY10" s="87">
        <v>178.0</v>
      </c>
      <c r="CZ10" s="87">
        <v>8.0</v>
      </c>
      <c r="DA10" s="87">
        <v>20.0</v>
      </c>
      <c r="DB10" s="87">
        <v>1821.0</v>
      </c>
      <c r="DC10" s="87">
        <v>770.0</v>
      </c>
      <c r="DD10" s="87">
        <v>1076.0</v>
      </c>
      <c r="DE10" s="87">
        <v>252.0</v>
      </c>
      <c r="DF10" s="87">
        <v>419.0</v>
      </c>
      <c r="DG10" s="87">
        <v>607.0</v>
      </c>
      <c r="DH10" s="87">
        <v>1532.0</v>
      </c>
      <c r="DI10" s="87">
        <v>1537.0</v>
      </c>
      <c r="DJ10" s="87">
        <v>9.0</v>
      </c>
      <c r="DK10" s="87">
        <v>55.0</v>
      </c>
      <c r="DL10" s="87">
        <v>837.0</v>
      </c>
      <c r="DM10" s="87">
        <v>38.0</v>
      </c>
      <c r="DN10" s="87">
        <v>4.0</v>
      </c>
      <c r="DO10" s="87">
        <v>2949.0</v>
      </c>
      <c r="DP10" s="87">
        <v>1433.0</v>
      </c>
      <c r="DQ10" s="87">
        <v>1218.0</v>
      </c>
      <c r="DR10" s="87">
        <v>850.0</v>
      </c>
      <c r="DS10" s="87">
        <v>6.0</v>
      </c>
      <c r="DT10" s="87">
        <v>18.0</v>
      </c>
      <c r="DU10" s="87"/>
      <c r="DV10" s="87">
        <v>95.0</v>
      </c>
      <c r="DW10" s="87">
        <v>26.0</v>
      </c>
      <c r="DX10" s="87">
        <v>220.0</v>
      </c>
      <c r="DY10" s="87">
        <v>743.0</v>
      </c>
      <c r="DZ10" s="87">
        <v>181.0</v>
      </c>
      <c r="EA10" s="87">
        <v>19.0</v>
      </c>
      <c r="EB10" s="87">
        <v>247.0</v>
      </c>
      <c r="EC10" s="87">
        <v>143.0</v>
      </c>
      <c r="ED10" s="87">
        <v>3108.0</v>
      </c>
      <c r="EE10" s="87">
        <v>251.0</v>
      </c>
      <c r="EF10" s="87">
        <v>11.0</v>
      </c>
      <c r="EG10" s="87">
        <v>149.0</v>
      </c>
      <c r="EH10" s="87">
        <v>30.0</v>
      </c>
      <c r="EI10" s="87">
        <v>59.0</v>
      </c>
      <c r="EJ10" s="87">
        <v>11258.0</v>
      </c>
      <c r="EK10" s="88"/>
      <c r="EL10" s="88"/>
      <c r="EM10" s="88"/>
      <c r="EN10" s="88"/>
      <c r="EO10" s="88"/>
      <c r="EP10" s="88"/>
      <c r="EQ10" s="90"/>
    </row>
    <row r="11" ht="12.0" customHeight="1">
      <c r="A11" s="89">
        <v>1.06013687E8</v>
      </c>
      <c r="B11" s="89" t="s">
        <v>496</v>
      </c>
      <c r="C11" s="89" t="s">
        <v>431</v>
      </c>
      <c r="D11" s="89" t="s">
        <v>497</v>
      </c>
      <c r="E11" s="89" t="s">
        <v>498</v>
      </c>
      <c r="F11" s="89" t="s">
        <v>454</v>
      </c>
      <c r="G11" s="89" t="s">
        <v>455</v>
      </c>
      <c r="H11" s="89" t="s">
        <v>447</v>
      </c>
      <c r="I11" s="89" t="s">
        <v>456</v>
      </c>
      <c r="J11" s="89" t="s">
        <v>499</v>
      </c>
      <c r="K11" s="89" t="s">
        <v>438</v>
      </c>
      <c r="L11" s="89" t="s">
        <v>439</v>
      </c>
      <c r="M11" s="89" t="s">
        <v>480</v>
      </c>
      <c r="N11" s="89" t="s">
        <v>441</v>
      </c>
      <c r="O11" s="87"/>
      <c r="P11" s="87"/>
      <c r="Q11" s="87"/>
      <c r="R11" s="87">
        <v>343.0</v>
      </c>
      <c r="S11" s="87"/>
      <c r="T11" s="87"/>
      <c r="U11" s="87">
        <v>221.0</v>
      </c>
      <c r="V11" s="87">
        <v>122.0</v>
      </c>
      <c r="W11" s="87"/>
      <c r="X11" s="87"/>
      <c r="Y11" s="87"/>
      <c r="Z11" s="87">
        <v>64.0</v>
      </c>
      <c r="AA11" s="87">
        <v>102.0</v>
      </c>
      <c r="AB11" s="87">
        <v>55.0</v>
      </c>
      <c r="AC11" s="87">
        <v>76.0</v>
      </c>
      <c r="AD11" s="87">
        <v>32.0</v>
      </c>
      <c r="AE11" s="87"/>
      <c r="AF11" s="87"/>
      <c r="AG11" s="87">
        <v>14.0</v>
      </c>
      <c r="AH11" s="87">
        <v>45.0</v>
      </c>
      <c r="AI11" s="87">
        <v>279.0</v>
      </c>
      <c r="AJ11" s="87">
        <v>19.0</v>
      </c>
      <c r="AK11" s="87"/>
      <c r="AL11" s="87">
        <v>17.0</v>
      </c>
      <c r="AM11" s="87"/>
      <c r="AN11" s="87">
        <v>40.0</v>
      </c>
      <c r="AO11" s="87">
        <v>227.0</v>
      </c>
      <c r="AP11" s="87">
        <v>29.0</v>
      </c>
      <c r="AQ11" s="87">
        <v>30.0</v>
      </c>
      <c r="AR11" s="87"/>
      <c r="AS11" s="87">
        <v>322.0</v>
      </c>
      <c r="AT11" s="87"/>
      <c r="AU11" s="87">
        <v>18.0</v>
      </c>
      <c r="AV11" s="87">
        <v>1.0</v>
      </c>
      <c r="AW11" s="87">
        <v>2.0</v>
      </c>
      <c r="AX11" s="87"/>
      <c r="AY11" s="87"/>
      <c r="AZ11" s="87"/>
      <c r="BA11" s="87"/>
      <c r="BB11" s="87"/>
      <c r="BC11" s="87"/>
      <c r="BD11" s="87"/>
      <c r="BE11" s="87"/>
      <c r="BF11" s="87">
        <v>12.0</v>
      </c>
      <c r="BG11" s="87">
        <v>331.0</v>
      </c>
      <c r="BH11" s="87"/>
      <c r="BI11" s="87">
        <v>3747.0</v>
      </c>
      <c r="BJ11" s="87"/>
      <c r="BK11" s="87">
        <v>17.0</v>
      </c>
      <c r="BL11" s="87">
        <v>326.0</v>
      </c>
      <c r="BM11" s="87"/>
      <c r="BN11" s="87"/>
      <c r="BO11" s="87"/>
      <c r="BP11" s="87">
        <v>304.0</v>
      </c>
      <c r="BQ11" s="87">
        <v>6.0</v>
      </c>
      <c r="BR11" s="87"/>
      <c r="BS11" s="87">
        <v>2.0</v>
      </c>
      <c r="BT11" s="87">
        <v>6.0</v>
      </c>
      <c r="BU11" s="87"/>
      <c r="BV11" s="87">
        <v>20.0</v>
      </c>
      <c r="BW11" s="87">
        <v>1.0</v>
      </c>
      <c r="BX11" s="87"/>
      <c r="BY11" s="87"/>
      <c r="BZ11" s="87"/>
      <c r="CA11" s="87"/>
      <c r="CB11" s="87">
        <v>3.0</v>
      </c>
      <c r="CC11" s="87"/>
      <c r="CD11" s="87">
        <v>1.0</v>
      </c>
      <c r="CE11" s="87"/>
      <c r="CF11" s="87"/>
      <c r="CG11" s="87">
        <v>2.0</v>
      </c>
      <c r="CH11" s="87">
        <v>341.0</v>
      </c>
      <c r="CI11" s="87"/>
      <c r="CJ11" s="87">
        <v>4.0</v>
      </c>
      <c r="CK11" s="87">
        <v>1.0</v>
      </c>
      <c r="CL11" s="87">
        <v>304.0</v>
      </c>
      <c r="CM11" s="87"/>
      <c r="CN11" s="87"/>
      <c r="CO11" s="87">
        <v>27.0</v>
      </c>
      <c r="CP11" s="87"/>
      <c r="CQ11" s="87">
        <v>7.0</v>
      </c>
      <c r="CR11" s="87"/>
      <c r="CS11" s="87"/>
      <c r="CT11" s="87"/>
      <c r="CU11" s="87"/>
      <c r="CV11" s="87"/>
      <c r="CW11" s="87"/>
      <c r="CX11" s="87">
        <v>341.0</v>
      </c>
      <c r="CY11" s="87"/>
      <c r="CZ11" s="87"/>
      <c r="DA11" s="87"/>
      <c r="DB11" s="87"/>
      <c r="DC11" s="87"/>
      <c r="DD11" s="87"/>
      <c r="DE11" s="87"/>
      <c r="DF11" s="87"/>
      <c r="DG11" s="87"/>
      <c r="DH11" s="87"/>
      <c r="DI11" s="87"/>
      <c r="DJ11" s="87"/>
      <c r="DK11" s="87"/>
      <c r="DL11" s="87"/>
      <c r="DM11" s="87"/>
      <c r="DN11" s="87">
        <v>2.0</v>
      </c>
      <c r="DO11" s="87">
        <v>309.0</v>
      </c>
      <c r="DP11" s="87"/>
      <c r="DQ11" s="87"/>
      <c r="DR11" s="87"/>
      <c r="DS11" s="87"/>
      <c r="DT11" s="87"/>
      <c r="DU11" s="87"/>
      <c r="DV11" s="87"/>
      <c r="DW11" s="87"/>
      <c r="DX11" s="87"/>
      <c r="DY11" s="87"/>
      <c r="DZ11" s="87"/>
      <c r="EA11" s="87"/>
      <c r="EB11" s="87"/>
      <c r="EC11" s="87"/>
      <c r="ED11" s="87">
        <v>33.0</v>
      </c>
      <c r="EE11" s="87">
        <v>1.0</v>
      </c>
      <c r="EF11" s="87">
        <v>1.0</v>
      </c>
      <c r="EG11" s="87">
        <v>18.0</v>
      </c>
      <c r="EH11" s="87"/>
      <c r="EI11" s="87">
        <v>4.0</v>
      </c>
      <c r="EJ11" s="87">
        <v>320.0</v>
      </c>
      <c r="EK11" s="88"/>
      <c r="EL11" s="88"/>
      <c r="EM11" s="88"/>
      <c r="EN11" s="88"/>
      <c r="EO11" s="88"/>
      <c r="EP11" s="88"/>
      <c r="EQ11" s="90"/>
    </row>
    <row r="12" ht="12.0" customHeight="1">
      <c r="A12" s="89">
        <v>1.06014034E8</v>
      </c>
      <c r="B12" s="89" t="s">
        <v>500</v>
      </c>
      <c r="C12" s="89" t="s">
        <v>431</v>
      </c>
      <c r="D12" s="89" t="s">
        <v>501</v>
      </c>
      <c r="E12" s="89" t="s">
        <v>502</v>
      </c>
      <c r="F12" s="89" t="s">
        <v>492</v>
      </c>
      <c r="G12" s="89" t="s">
        <v>493</v>
      </c>
      <c r="H12" s="89" t="s">
        <v>503</v>
      </c>
      <c r="I12" s="89" t="s">
        <v>456</v>
      </c>
      <c r="J12" s="89" t="s">
        <v>437</v>
      </c>
      <c r="K12" s="89" t="s">
        <v>486</v>
      </c>
      <c r="L12" s="89" t="s">
        <v>504</v>
      </c>
      <c r="M12" s="89" t="s">
        <v>505</v>
      </c>
      <c r="N12" s="89" t="s">
        <v>441</v>
      </c>
      <c r="O12" s="87"/>
      <c r="P12" s="87"/>
      <c r="Q12" s="87">
        <v>5412.0</v>
      </c>
      <c r="R12" s="87"/>
      <c r="S12" s="87"/>
      <c r="T12" s="87"/>
      <c r="U12" s="87">
        <v>2169.0</v>
      </c>
      <c r="V12" s="87">
        <v>3241.0</v>
      </c>
      <c r="W12" s="87">
        <v>2.0</v>
      </c>
      <c r="X12" s="87"/>
      <c r="Y12" s="87">
        <v>2631.0</v>
      </c>
      <c r="Z12" s="87">
        <v>1118.0</v>
      </c>
      <c r="AA12" s="87">
        <v>706.0</v>
      </c>
      <c r="AB12" s="87">
        <v>461.0</v>
      </c>
      <c r="AC12" s="87">
        <v>312.0</v>
      </c>
      <c r="AD12" s="87">
        <v>135.0</v>
      </c>
      <c r="AE12" s="87">
        <v>47.0</v>
      </c>
      <c r="AF12" s="87"/>
      <c r="AG12" s="87">
        <v>2.0</v>
      </c>
      <c r="AH12" s="87">
        <v>828.0</v>
      </c>
      <c r="AI12" s="87">
        <v>4584.0</v>
      </c>
      <c r="AJ12" s="87"/>
      <c r="AK12" s="87"/>
      <c r="AL12" s="87">
        <v>472.0</v>
      </c>
      <c r="AM12" s="87"/>
      <c r="AN12" s="87">
        <v>206.0</v>
      </c>
      <c r="AO12" s="87">
        <v>1455.0</v>
      </c>
      <c r="AP12" s="87">
        <v>29.0</v>
      </c>
      <c r="AQ12" s="87">
        <v>3250.0</v>
      </c>
      <c r="AR12" s="87"/>
      <c r="AS12" s="87">
        <v>63.0</v>
      </c>
      <c r="AT12" s="87"/>
      <c r="AU12" s="87">
        <v>4629.0</v>
      </c>
      <c r="AV12" s="87"/>
      <c r="AW12" s="87">
        <v>720.0</v>
      </c>
      <c r="AX12" s="87"/>
      <c r="AY12" s="87"/>
      <c r="AZ12" s="87"/>
      <c r="BA12" s="87"/>
      <c r="BB12" s="87"/>
      <c r="BC12" s="87"/>
      <c r="BD12" s="87"/>
      <c r="BE12" s="87"/>
      <c r="BF12" s="87">
        <v>4631.0</v>
      </c>
      <c r="BG12" s="87">
        <v>781.0</v>
      </c>
      <c r="BH12" s="87"/>
      <c r="BI12" s="87">
        <v>42792.0</v>
      </c>
      <c r="BJ12" s="87"/>
      <c r="BK12" s="87">
        <v>5412.0</v>
      </c>
      <c r="BL12" s="87"/>
      <c r="BM12" s="87"/>
      <c r="BN12" s="87"/>
      <c r="BO12" s="87"/>
      <c r="BP12" s="87">
        <v>5122.0</v>
      </c>
      <c r="BQ12" s="87">
        <v>14.0</v>
      </c>
      <c r="BR12" s="87"/>
      <c r="BS12" s="87"/>
      <c r="BT12" s="87">
        <v>64.0</v>
      </c>
      <c r="BU12" s="87">
        <v>1.0</v>
      </c>
      <c r="BV12" s="87">
        <v>205.0</v>
      </c>
      <c r="BW12" s="87"/>
      <c r="BX12" s="87"/>
      <c r="BY12" s="87"/>
      <c r="BZ12" s="87"/>
      <c r="CA12" s="87"/>
      <c r="CB12" s="87"/>
      <c r="CC12" s="87"/>
      <c r="CD12" s="87"/>
      <c r="CE12" s="87">
        <v>6.0</v>
      </c>
      <c r="CF12" s="87"/>
      <c r="CG12" s="87"/>
      <c r="CH12" s="87">
        <v>5412.0</v>
      </c>
      <c r="CI12" s="87"/>
      <c r="CJ12" s="87">
        <v>516.0</v>
      </c>
      <c r="CK12" s="87">
        <v>1304.0</v>
      </c>
      <c r="CL12" s="87">
        <v>2575.0</v>
      </c>
      <c r="CM12" s="87">
        <v>1.0</v>
      </c>
      <c r="CN12" s="87"/>
      <c r="CO12" s="87">
        <v>1016.0</v>
      </c>
      <c r="CP12" s="87"/>
      <c r="CQ12" s="87"/>
      <c r="CR12" s="87"/>
      <c r="CS12" s="87"/>
      <c r="CT12" s="87"/>
      <c r="CU12" s="87"/>
      <c r="CV12" s="87"/>
      <c r="CW12" s="87"/>
      <c r="CX12" s="87">
        <v>5404.0</v>
      </c>
      <c r="CY12" s="87"/>
      <c r="CZ12" s="87"/>
      <c r="DA12" s="87"/>
      <c r="DB12" s="87"/>
      <c r="DC12" s="87"/>
      <c r="DD12" s="87"/>
      <c r="DE12" s="87"/>
      <c r="DF12" s="87"/>
      <c r="DG12" s="87"/>
      <c r="DH12" s="87"/>
      <c r="DI12" s="87"/>
      <c r="DJ12" s="87"/>
      <c r="DK12" s="87"/>
      <c r="DL12" s="87"/>
      <c r="DM12" s="87"/>
      <c r="DN12" s="87">
        <v>8.0</v>
      </c>
      <c r="DO12" s="87">
        <v>776.0</v>
      </c>
      <c r="DP12" s="87"/>
      <c r="DQ12" s="87"/>
      <c r="DR12" s="87"/>
      <c r="DS12" s="87"/>
      <c r="DT12" s="87"/>
      <c r="DU12" s="87"/>
      <c r="DV12" s="87"/>
      <c r="DW12" s="87"/>
      <c r="DX12" s="87"/>
      <c r="DY12" s="87"/>
      <c r="DZ12" s="87"/>
      <c r="EA12" s="87"/>
      <c r="EB12" s="87"/>
      <c r="EC12" s="87"/>
      <c r="ED12" s="87">
        <v>4636.0</v>
      </c>
      <c r="EE12" s="87"/>
      <c r="EF12" s="87">
        <v>35.0</v>
      </c>
      <c r="EG12" s="87">
        <v>548.0</v>
      </c>
      <c r="EH12" s="87"/>
      <c r="EI12" s="87">
        <v>17.0</v>
      </c>
      <c r="EJ12" s="87">
        <v>4812.0</v>
      </c>
      <c r="EK12" s="88"/>
      <c r="EL12" s="88"/>
      <c r="EM12" s="88"/>
      <c r="EN12" s="88"/>
      <c r="EO12" s="88"/>
      <c r="EP12" s="88"/>
      <c r="EQ12" s="90"/>
    </row>
    <row r="13" ht="12.0" customHeight="1">
      <c r="A13" s="89">
        <v>1.0601405E8</v>
      </c>
      <c r="B13" s="89" t="s">
        <v>506</v>
      </c>
      <c r="C13" s="89" t="s">
        <v>431</v>
      </c>
      <c r="D13" s="89" t="s">
        <v>507</v>
      </c>
      <c r="E13" s="89" t="s">
        <v>508</v>
      </c>
      <c r="F13" s="89" t="s">
        <v>509</v>
      </c>
      <c r="G13" s="89" t="s">
        <v>510</v>
      </c>
      <c r="H13" s="89" t="s">
        <v>447</v>
      </c>
      <c r="I13" s="89" t="s">
        <v>456</v>
      </c>
      <c r="J13" s="89" t="s">
        <v>457</v>
      </c>
      <c r="K13" s="89" t="s">
        <v>511</v>
      </c>
      <c r="L13" s="89" t="s">
        <v>512</v>
      </c>
      <c r="M13" s="89" t="s">
        <v>513</v>
      </c>
      <c r="N13" s="89" t="s">
        <v>441</v>
      </c>
      <c r="O13" s="87">
        <v>8050.0</v>
      </c>
      <c r="P13" s="87"/>
      <c r="Q13" s="87"/>
      <c r="R13" s="87"/>
      <c r="S13" s="87"/>
      <c r="T13" s="87"/>
      <c r="U13" s="87">
        <v>3449.0</v>
      </c>
      <c r="V13" s="87">
        <v>4600.0</v>
      </c>
      <c r="W13" s="87">
        <v>1.0</v>
      </c>
      <c r="X13" s="87">
        <v>1353.0</v>
      </c>
      <c r="Y13" s="87">
        <v>34.0</v>
      </c>
      <c r="Z13" s="87">
        <v>400.0</v>
      </c>
      <c r="AA13" s="87">
        <v>1305.0</v>
      </c>
      <c r="AB13" s="87">
        <v>486.0</v>
      </c>
      <c r="AC13" s="87">
        <v>701.0</v>
      </c>
      <c r="AD13" s="87">
        <v>1014.0</v>
      </c>
      <c r="AE13" s="87">
        <v>1329.0</v>
      </c>
      <c r="AF13" s="87">
        <v>1428.0</v>
      </c>
      <c r="AG13" s="87"/>
      <c r="AH13" s="87">
        <v>993.0</v>
      </c>
      <c r="AI13" s="87">
        <v>6986.0</v>
      </c>
      <c r="AJ13" s="87">
        <v>71.0</v>
      </c>
      <c r="AK13" s="87">
        <v>31.0</v>
      </c>
      <c r="AL13" s="87">
        <v>1550.0</v>
      </c>
      <c r="AM13" s="87">
        <v>41.0</v>
      </c>
      <c r="AN13" s="87">
        <v>319.0</v>
      </c>
      <c r="AO13" s="87">
        <v>3673.0</v>
      </c>
      <c r="AP13" s="87">
        <v>48.0</v>
      </c>
      <c r="AQ13" s="87">
        <v>2213.0</v>
      </c>
      <c r="AR13" s="87">
        <v>175.0</v>
      </c>
      <c r="AS13" s="87">
        <v>6147.0</v>
      </c>
      <c r="AT13" s="87">
        <v>162.0</v>
      </c>
      <c r="AU13" s="87">
        <v>225.0</v>
      </c>
      <c r="AV13" s="87">
        <v>163.0</v>
      </c>
      <c r="AW13" s="87">
        <v>7.0</v>
      </c>
      <c r="AX13" s="87">
        <v>1.0</v>
      </c>
      <c r="AY13" s="87">
        <v>6.0</v>
      </c>
      <c r="AZ13" s="87">
        <v>3.0</v>
      </c>
      <c r="BA13" s="87">
        <v>33.0</v>
      </c>
      <c r="BB13" s="87"/>
      <c r="BC13" s="87">
        <v>1303.0</v>
      </c>
      <c r="BD13" s="87"/>
      <c r="BE13" s="87">
        <v>4280.0</v>
      </c>
      <c r="BF13" s="87">
        <v>34.0</v>
      </c>
      <c r="BG13" s="87">
        <v>3736.0</v>
      </c>
      <c r="BH13" s="87"/>
      <c r="BI13" s="87">
        <v>35608.0</v>
      </c>
      <c r="BJ13" s="87">
        <v>4441.0</v>
      </c>
      <c r="BK13" s="87">
        <v>256.0</v>
      </c>
      <c r="BL13" s="87">
        <v>2050.0</v>
      </c>
      <c r="BM13" s="87">
        <v>1303.0</v>
      </c>
      <c r="BN13" s="87"/>
      <c r="BO13" s="87"/>
      <c r="BP13" s="87">
        <v>4978.0</v>
      </c>
      <c r="BQ13" s="87">
        <v>173.0</v>
      </c>
      <c r="BR13" s="87">
        <v>40.0</v>
      </c>
      <c r="BS13" s="87">
        <v>986.0</v>
      </c>
      <c r="BT13" s="87"/>
      <c r="BU13" s="87">
        <v>36.0</v>
      </c>
      <c r="BV13" s="87"/>
      <c r="BW13" s="87">
        <v>244.0</v>
      </c>
      <c r="BX13" s="87">
        <v>1430.0</v>
      </c>
      <c r="BY13" s="87"/>
      <c r="BZ13" s="87">
        <v>1.0</v>
      </c>
      <c r="CA13" s="87">
        <v>149.0</v>
      </c>
      <c r="CB13" s="87">
        <v>9.0</v>
      </c>
      <c r="CC13" s="87"/>
      <c r="CD13" s="87"/>
      <c r="CE13" s="87">
        <v>4.0</v>
      </c>
      <c r="CF13" s="87"/>
      <c r="CG13" s="87">
        <v>491.0</v>
      </c>
      <c r="CH13" s="87">
        <v>7559.0</v>
      </c>
      <c r="CI13" s="87"/>
      <c r="CJ13" s="87">
        <v>3120.0</v>
      </c>
      <c r="CK13" s="87">
        <v>788.0</v>
      </c>
      <c r="CL13" s="87">
        <v>3193.0</v>
      </c>
      <c r="CM13" s="87">
        <v>34.0</v>
      </c>
      <c r="CN13" s="87"/>
      <c r="CO13" s="87">
        <v>96.0</v>
      </c>
      <c r="CP13" s="87"/>
      <c r="CQ13" s="87">
        <v>179.0</v>
      </c>
      <c r="CR13" s="87">
        <v>640.0</v>
      </c>
      <c r="CS13" s="87"/>
      <c r="CT13" s="87">
        <v>917.0</v>
      </c>
      <c r="CU13" s="87">
        <v>223.0</v>
      </c>
      <c r="CV13" s="87">
        <v>42.0</v>
      </c>
      <c r="CW13" s="87">
        <v>393.0</v>
      </c>
      <c r="CX13" s="87">
        <v>86.0</v>
      </c>
      <c r="CY13" s="87">
        <v>118.0</v>
      </c>
      <c r="CZ13" s="87">
        <v>4.0</v>
      </c>
      <c r="DA13" s="87">
        <v>6.0</v>
      </c>
      <c r="DB13" s="87">
        <v>1185.0</v>
      </c>
      <c r="DC13" s="87">
        <v>379.0</v>
      </c>
      <c r="DD13" s="87">
        <v>742.0</v>
      </c>
      <c r="DE13" s="87">
        <v>66.0</v>
      </c>
      <c r="DF13" s="87">
        <v>312.0</v>
      </c>
      <c r="DG13" s="87">
        <v>283.0</v>
      </c>
      <c r="DH13" s="87">
        <v>1376.0</v>
      </c>
      <c r="DI13" s="87">
        <v>1347.0</v>
      </c>
      <c r="DJ13" s="87">
        <v>11.0</v>
      </c>
      <c r="DK13" s="87">
        <v>59.0</v>
      </c>
      <c r="DL13" s="87">
        <v>492.0</v>
      </c>
      <c r="DM13" s="87">
        <v>9.0</v>
      </c>
      <c r="DN13" s="87"/>
      <c r="DO13" s="87">
        <v>875.0</v>
      </c>
      <c r="DP13" s="87">
        <v>1268.0</v>
      </c>
      <c r="DQ13" s="87">
        <v>932.0</v>
      </c>
      <c r="DR13" s="87">
        <v>741.0</v>
      </c>
      <c r="DS13" s="87"/>
      <c r="DT13" s="87">
        <v>1.0</v>
      </c>
      <c r="DU13" s="87"/>
      <c r="DV13" s="87">
        <v>56.0</v>
      </c>
      <c r="DW13" s="87">
        <v>23.0</v>
      </c>
      <c r="DX13" s="87">
        <v>102.0</v>
      </c>
      <c r="DY13" s="87">
        <v>472.0</v>
      </c>
      <c r="DZ13" s="87">
        <v>82.0</v>
      </c>
      <c r="EA13" s="87">
        <v>11.0</v>
      </c>
      <c r="EB13" s="87">
        <v>219.0</v>
      </c>
      <c r="EC13" s="87">
        <v>99.0</v>
      </c>
      <c r="ED13" s="87">
        <v>3008.0</v>
      </c>
      <c r="EE13" s="87">
        <v>161.0</v>
      </c>
      <c r="EF13" s="87"/>
      <c r="EG13" s="87">
        <v>90.0</v>
      </c>
      <c r="EH13" s="87">
        <v>5.0</v>
      </c>
      <c r="EI13" s="87">
        <v>64.0</v>
      </c>
      <c r="EJ13" s="87">
        <v>7891.0</v>
      </c>
      <c r="EK13" s="88"/>
      <c r="EL13" s="88"/>
      <c r="EM13" s="88"/>
      <c r="EN13" s="88"/>
      <c r="EO13" s="88"/>
      <c r="EP13" s="88"/>
      <c r="EQ13" s="90"/>
    </row>
    <row r="14" ht="12.0" customHeight="1">
      <c r="A14" s="89">
        <v>1.06014132E8</v>
      </c>
      <c r="B14" s="89" t="s">
        <v>514</v>
      </c>
      <c r="C14" s="89" t="s">
        <v>431</v>
      </c>
      <c r="D14" s="89" t="s">
        <v>515</v>
      </c>
      <c r="E14" s="89" t="s">
        <v>516</v>
      </c>
      <c r="F14" s="89" t="s">
        <v>492</v>
      </c>
      <c r="G14" s="89" t="s">
        <v>493</v>
      </c>
      <c r="H14" s="89" t="s">
        <v>447</v>
      </c>
      <c r="I14" s="89" t="s">
        <v>456</v>
      </c>
      <c r="J14" s="89" t="s">
        <v>437</v>
      </c>
      <c r="K14" s="89" t="s">
        <v>486</v>
      </c>
      <c r="L14" s="89" t="s">
        <v>504</v>
      </c>
      <c r="M14" s="89" t="s">
        <v>495</v>
      </c>
      <c r="N14" s="89" t="s">
        <v>441</v>
      </c>
      <c r="O14" s="87">
        <v>4364.0</v>
      </c>
      <c r="P14" s="87"/>
      <c r="Q14" s="87">
        <v>272.0</v>
      </c>
      <c r="R14" s="87"/>
      <c r="S14" s="87"/>
      <c r="T14" s="87"/>
      <c r="U14" s="87">
        <v>2337.0</v>
      </c>
      <c r="V14" s="87">
        <v>2299.0</v>
      </c>
      <c r="W14" s="87"/>
      <c r="X14" s="87"/>
      <c r="Y14" s="87">
        <v>24.0</v>
      </c>
      <c r="Z14" s="87">
        <v>138.0</v>
      </c>
      <c r="AA14" s="87">
        <v>210.0</v>
      </c>
      <c r="AB14" s="87">
        <v>308.0</v>
      </c>
      <c r="AC14" s="87">
        <v>564.0</v>
      </c>
      <c r="AD14" s="87">
        <v>865.0</v>
      </c>
      <c r="AE14" s="87">
        <v>1052.0</v>
      </c>
      <c r="AF14" s="87">
        <v>1472.0</v>
      </c>
      <c r="AG14" s="87">
        <v>3.0</v>
      </c>
      <c r="AH14" s="87">
        <v>607.0</v>
      </c>
      <c r="AI14" s="87">
        <v>4023.0</v>
      </c>
      <c r="AJ14" s="87">
        <v>6.0</v>
      </c>
      <c r="AK14" s="87"/>
      <c r="AL14" s="87">
        <v>1385.0</v>
      </c>
      <c r="AM14" s="87">
        <v>33.0</v>
      </c>
      <c r="AN14" s="87">
        <v>330.0</v>
      </c>
      <c r="AO14" s="87">
        <v>2234.0</v>
      </c>
      <c r="AP14" s="87">
        <v>29.0</v>
      </c>
      <c r="AQ14" s="87">
        <v>625.0</v>
      </c>
      <c r="AR14" s="87"/>
      <c r="AS14" s="87">
        <v>3723.0</v>
      </c>
      <c r="AT14" s="87">
        <v>117.0</v>
      </c>
      <c r="AU14" s="87">
        <v>427.0</v>
      </c>
      <c r="AV14" s="87">
        <v>200.0</v>
      </c>
      <c r="AW14" s="87">
        <v>166.0</v>
      </c>
      <c r="AX14" s="87">
        <v>1.0</v>
      </c>
      <c r="AY14" s="87">
        <v>1.0</v>
      </c>
      <c r="AZ14" s="87"/>
      <c r="BA14" s="87"/>
      <c r="BB14" s="87">
        <v>1.0</v>
      </c>
      <c r="BC14" s="87"/>
      <c r="BD14" s="87"/>
      <c r="BE14" s="87">
        <v>4064.0</v>
      </c>
      <c r="BF14" s="87">
        <v>243.0</v>
      </c>
      <c r="BG14" s="87">
        <v>329.0</v>
      </c>
      <c r="BH14" s="87"/>
      <c r="BI14" s="87">
        <v>23540.0</v>
      </c>
      <c r="BJ14" s="87">
        <v>565.0</v>
      </c>
      <c r="BK14" s="87">
        <v>3986.0</v>
      </c>
      <c r="BL14" s="87">
        <v>85.0</v>
      </c>
      <c r="BM14" s="87"/>
      <c r="BN14" s="87"/>
      <c r="BO14" s="87"/>
      <c r="BP14" s="87">
        <v>1977.0</v>
      </c>
      <c r="BQ14" s="87">
        <v>285.0</v>
      </c>
      <c r="BR14" s="87">
        <v>29.0</v>
      </c>
      <c r="BS14" s="87">
        <v>524.0</v>
      </c>
      <c r="BT14" s="87">
        <v>1.0</v>
      </c>
      <c r="BU14" s="87"/>
      <c r="BV14" s="87">
        <v>48.0</v>
      </c>
      <c r="BW14" s="87">
        <v>216.0</v>
      </c>
      <c r="BX14" s="87">
        <v>1346.0</v>
      </c>
      <c r="BY14" s="87"/>
      <c r="BZ14" s="87"/>
      <c r="CA14" s="87">
        <v>172.0</v>
      </c>
      <c r="CB14" s="87">
        <v>29.0</v>
      </c>
      <c r="CC14" s="87"/>
      <c r="CD14" s="87">
        <v>3.0</v>
      </c>
      <c r="CE14" s="87">
        <v>6.0</v>
      </c>
      <c r="CF14" s="87"/>
      <c r="CG14" s="87">
        <v>869.0</v>
      </c>
      <c r="CH14" s="87">
        <v>3767.0</v>
      </c>
      <c r="CI14" s="87"/>
      <c r="CJ14" s="87">
        <v>2957.0</v>
      </c>
      <c r="CK14" s="87">
        <v>218.0</v>
      </c>
      <c r="CL14" s="87">
        <v>1391.0</v>
      </c>
      <c r="CM14" s="87">
        <v>16.0</v>
      </c>
      <c r="CN14" s="87"/>
      <c r="CO14" s="87">
        <v>2.0</v>
      </c>
      <c r="CP14" s="87"/>
      <c r="CQ14" s="87">
        <v>52.0</v>
      </c>
      <c r="CR14" s="87"/>
      <c r="CS14" s="87"/>
      <c r="CT14" s="87">
        <v>1292.0</v>
      </c>
      <c r="CU14" s="87">
        <v>106.0</v>
      </c>
      <c r="CV14" s="87">
        <v>49.0</v>
      </c>
      <c r="CW14" s="87">
        <v>236.0</v>
      </c>
      <c r="CX14" s="87">
        <v>331.0</v>
      </c>
      <c r="CY14" s="87">
        <v>106.0</v>
      </c>
      <c r="CZ14" s="87">
        <v>1.0</v>
      </c>
      <c r="DA14" s="87">
        <v>5.0</v>
      </c>
      <c r="DB14" s="87">
        <v>886.0</v>
      </c>
      <c r="DC14" s="87">
        <v>274.0</v>
      </c>
      <c r="DD14" s="87">
        <v>510.0</v>
      </c>
      <c r="DE14" s="87">
        <v>69.0</v>
      </c>
      <c r="DF14" s="87">
        <v>51.0</v>
      </c>
      <c r="DG14" s="87">
        <v>233.0</v>
      </c>
      <c r="DH14" s="87">
        <v>15.0</v>
      </c>
      <c r="DI14" s="87"/>
      <c r="DJ14" s="87">
        <v>1.0</v>
      </c>
      <c r="DK14" s="87">
        <v>135.0</v>
      </c>
      <c r="DL14" s="87">
        <v>322.0</v>
      </c>
      <c r="DM14" s="87">
        <v>14.0</v>
      </c>
      <c r="DN14" s="87"/>
      <c r="DO14" s="87">
        <v>1222.0</v>
      </c>
      <c r="DP14" s="87"/>
      <c r="DQ14" s="87">
        <v>318.0</v>
      </c>
      <c r="DR14" s="87">
        <v>538.0</v>
      </c>
      <c r="DS14" s="87">
        <v>2.0</v>
      </c>
      <c r="DT14" s="87">
        <v>6.0</v>
      </c>
      <c r="DU14" s="87"/>
      <c r="DV14" s="87">
        <v>19.0</v>
      </c>
      <c r="DW14" s="87">
        <v>11.0</v>
      </c>
      <c r="DX14" s="87">
        <v>106.0</v>
      </c>
      <c r="DY14" s="87">
        <v>200.0</v>
      </c>
      <c r="DZ14" s="87">
        <v>42.0</v>
      </c>
      <c r="EA14" s="87">
        <v>20.0</v>
      </c>
      <c r="EB14" s="87">
        <v>89.0</v>
      </c>
      <c r="EC14" s="87">
        <v>185.0</v>
      </c>
      <c r="ED14" s="87">
        <v>1675.0</v>
      </c>
      <c r="EE14" s="87">
        <v>203.0</v>
      </c>
      <c r="EF14" s="87"/>
      <c r="EG14" s="87">
        <v>55.0</v>
      </c>
      <c r="EH14" s="87"/>
      <c r="EI14" s="87">
        <v>15.0</v>
      </c>
      <c r="EJ14" s="87">
        <v>4566.0</v>
      </c>
      <c r="EK14" s="88"/>
      <c r="EL14" s="88"/>
      <c r="EM14" s="88"/>
      <c r="EN14" s="88"/>
      <c r="EO14" s="88"/>
      <c r="EP14" s="88"/>
      <c r="EQ14" s="90"/>
    </row>
    <row r="15" ht="12.0" customHeight="1">
      <c r="A15" s="89">
        <v>1.06014207E8</v>
      </c>
      <c r="B15" s="89" t="s">
        <v>517</v>
      </c>
      <c r="C15" s="89" t="s">
        <v>431</v>
      </c>
      <c r="D15" s="89" t="s">
        <v>518</v>
      </c>
      <c r="E15" s="89" t="s">
        <v>519</v>
      </c>
      <c r="F15" s="89" t="s">
        <v>454</v>
      </c>
      <c r="G15" s="89" t="s">
        <v>520</v>
      </c>
      <c r="H15" s="89" t="s">
        <v>503</v>
      </c>
      <c r="I15" s="89" t="s">
        <v>456</v>
      </c>
      <c r="J15" s="89" t="s">
        <v>499</v>
      </c>
      <c r="K15" s="89" t="s">
        <v>438</v>
      </c>
      <c r="L15" s="89" t="s">
        <v>439</v>
      </c>
      <c r="M15" s="89" t="s">
        <v>458</v>
      </c>
      <c r="N15" s="89" t="s">
        <v>441</v>
      </c>
      <c r="O15" s="87"/>
      <c r="P15" s="87"/>
      <c r="Q15" s="87">
        <v>1149.0</v>
      </c>
      <c r="R15" s="87"/>
      <c r="S15" s="87"/>
      <c r="T15" s="87"/>
      <c r="U15" s="87">
        <v>523.0</v>
      </c>
      <c r="V15" s="87">
        <v>626.0</v>
      </c>
      <c r="W15" s="87"/>
      <c r="X15" s="87"/>
      <c r="Y15" s="87">
        <v>115.0</v>
      </c>
      <c r="Z15" s="87">
        <v>388.0</v>
      </c>
      <c r="AA15" s="87">
        <v>239.0</v>
      </c>
      <c r="AB15" s="87">
        <v>164.0</v>
      </c>
      <c r="AC15" s="87">
        <v>122.0</v>
      </c>
      <c r="AD15" s="87">
        <v>86.0</v>
      </c>
      <c r="AE15" s="87">
        <v>32.0</v>
      </c>
      <c r="AF15" s="87"/>
      <c r="AG15" s="87">
        <v>3.0</v>
      </c>
      <c r="AH15" s="87">
        <v>218.0</v>
      </c>
      <c r="AI15" s="87">
        <v>863.0</v>
      </c>
      <c r="AJ15" s="87">
        <v>68.0</v>
      </c>
      <c r="AK15" s="87"/>
      <c r="AL15" s="87">
        <v>86.0</v>
      </c>
      <c r="AM15" s="87"/>
      <c r="AN15" s="87">
        <v>164.0</v>
      </c>
      <c r="AO15" s="87">
        <v>517.0</v>
      </c>
      <c r="AP15" s="87">
        <v>33.0</v>
      </c>
      <c r="AQ15" s="87">
        <v>349.0</v>
      </c>
      <c r="AR15" s="87"/>
      <c r="AS15" s="87">
        <v>807.0</v>
      </c>
      <c r="AT15" s="87"/>
      <c r="AU15" s="87">
        <v>314.0</v>
      </c>
      <c r="AV15" s="87"/>
      <c r="AW15" s="87">
        <v>25.0</v>
      </c>
      <c r="AX15" s="87"/>
      <c r="AY15" s="87"/>
      <c r="AZ15" s="87"/>
      <c r="BA15" s="87"/>
      <c r="BB15" s="87">
        <v>3.0</v>
      </c>
      <c r="BC15" s="87"/>
      <c r="BD15" s="87"/>
      <c r="BE15" s="87"/>
      <c r="BF15" s="87"/>
      <c r="BG15" s="87">
        <v>1149.0</v>
      </c>
      <c r="BH15" s="87"/>
      <c r="BI15" s="87">
        <v>6275.0</v>
      </c>
      <c r="BJ15" s="87"/>
      <c r="BK15" s="87">
        <v>1149.0</v>
      </c>
      <c r="BL15" s="87"/>
      <c r="BM15" s="87"/>
      <c r="BN15" s="87"/>
      <c r="BO15" s="87"/>
      <c r="BP15" s="87">
        <v>1024.0</v>
      </c>
      <c r="BQ15" s="87">
        <v>16.0</v>
      </c>
      <c r="BR15" s="87"/>
      <c r="BS15" s="87">
        <v>2.0</v>
      </c>
      <c r="BT15" s="87">
        <v>57.0</v>
      </c>
      <c r="BU15" s="87">
        <v>2.0</v>
      </c>
      <c r="BV15" s="87">
        <v>48.0</v>
      </c>
      <c r="BW15" s="87"/>
      <c r="BX15" s="87"/>
      <c r="BY15" s="87"/>
      <c r="BZ15" s="87"/>
      <c r="CA15" s="87"/>
      <c r="CB15" s="87"/>
      <c r="CC15" s="87"/>
      <c r="CD15" s="87"/>
      <c r="CE15" s="87"/>
      <c r="CF15" s="87"/>
      <c r="CG15" s="87"/>
      <c r="CH15" s="87">
        <v>1149.0</v>
      </c>
      <c r="CI15" s="87"/>
      <c r="CJ15" s="87">
        <v>202.0</v>
      </c>
      <c r="CK15" s="87">
        <v>47.0</v>
      </c>
      <c r="CL15" s="87">
        <v>885.0</v>
      </c>
      <c r="CM15" s="87"/>
      <c r="CN15" s="87"/>
      <c r="CO15" s="87"/>
      <c r="CP15" s="87"/>
      <c r="CQ15" s="87">
        <v>1.0</v>
      </c>
      <c r="CR15" s="87">
        <v>14.0</v>
      </c>
      <c r="CS15" s="87"/>
      <c r="CT15" s="87"/>
      <c r="CU15" s="87"/>
      <c r="CV15" s="87"/>
      <c r="CW15" s="87"/>
      <c r="CX15" s="87">
        <v>1149.0</v>
      </c>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v>1149.0</v>
      </c>
      <c r="EE15" s="87"/>
      <c r="EF15" s="87">
        <v>4.0</v>
      </c>
      <c r="EG15" s="87">
        <v>3.0</v>
      </c>
      <c r="EH15" s="87"/>
      <c r="EI15" s="87"/>
      <c r="EJ15" s="87">
        <v>1142.0</v>
      </c>
      <c r="EK15" s="88"/>
      <c r="EL15" s="88"/>
      <c r="EM15" s="88"/>
      <c r="EN15" s="88"/>
      <c r="EO15" s="88"/>
      <c r="EP15" s="88"/>
      <c r="EQ15" s="90"/>
    </row>
    <row r="16" ht="12.0" customHeight="1">
      <c r="A16" s="89">
        <v>1.06014226E8</v>
      </c>
      <c r="B16" s="89" t="s">
        <v>521</v>
      </c>
      <c r="C16" s="89" t="s">
        <v>431</v>
      </c>
      <c r="D16" s="89" t="s">
        <v>522</v>
      </c>
      <c r="E16" s="89" t="s">
        <v>523</v>
      </c>
      <c r="F16" s="89" t="s">
        <v>473</v>
      </c>
      <c r="G16" s="89" t="s">
        <v>524</v>
      </c>
      <c r="H16" s="89" t="s">
        <v>503</v>
      </c>
      <c r="I16" s="89" t="s">
        <v>456</v>
      </c>
      <c r="J16" s="89" t="s">
        <v>499</v>
      </c>
      <c r="K16" s="89" t="s">
        <v>486</v>
      </c>
      <c r="L16" s="89" t="s">
        <v>487</v>
      </c>
      <c r="M16" s="89" t="s">
        <v>476</v>
      </c>
      <c r="N16" s="89" t="s">
        <v>441</v>
      </c>
      <c r="O16" s="87"/>
      <c r="P16" s="87"/>
      <c r="Q16" s="87">
        <v>447.0</v>
      </c>
      <c r="R16" s="87"/>
      <c r="S16" s="87"/>
      <c r="T16" s="87"/>
      <c r="U16" s="87">
        <v>168.0</v>
      </c>
      <c r="V16" s="87">
        <v>279.0</v>
      </c>
      <c r="W16" s="87"/>
      <c r="X16" s="87"/>
      <c r="Y16" s="87">
        <v>447.0</v>
      </c>
      <c r="Z16" s="87"/>
      <c r="AA16" s="87"/>
      <c r="AB16" s="87"/>
      <c r="AC16" s="87"/>
      <c r="AD16" s="87"/>
      <c r="AE16" s="87"/>
      <c r="AF16" s="87"/>
      <c r="AG16" s="87"/>
      <c r="AH16" s="87">
        <v>135.0</v>
      </c>
      <c r="AI16" s="87">
        <v>281.0</v>
      </c>
      <c r="AJ16" s="87">
        <v>31.0</v>
      </c>
      <c r="AK16" s="87"/>
      <c r="AL16" s="87">
        <v>14.0</v>
      </c>
      <c r="AM16" s="87"/>
      <c r="AN16" s="87">
        <v>80.0</v>
      </c>
      <c r="AO16" s="87">
        <v>148.0</v>
      </c>
      <c r="AP16" s="87">
        <v>16.0</v>
      </c>
      <c r="AQ16" s="87">
        <v>189.0</v>
      </c>
      <c r="AR16" s="87"/>
      <c r="AS16" s="87">
        <v>334.0</v>
      </c>
      <c r="AT16" s="87">
        <v>3.0</v>
      </c>
      <c r="AU16" s="87">
        <v>102.0</v>
      </c>
      <c r="AV16" s="87"/>
      <c r="AW16" s="87">
        <v>4.0</v>
      </c>
      <c r="AX16" s="87"/>
      <c r="AY16" s="87"/>
      <c r="AZ16" s="87"/>
      <c r="BA16" s="87">
        <v>2.0</v>
      </c>
      <c r="BB16" s="87">
        <v>2.0</v>
      </c>
      <c r="BC16" s="87"/>
      <c r="BD16" s="87"/>
      <c r="BE16" s="87"/>
      <c r="BF16" s="87"/>
      <c r="BG16" s="87">
        <v>447.0</v>
      </c>
      <c r="BH16" s="87"/>
      <c r="BI16" s="87">
        <v>2385.0</v>
      </c>
      <c r="BJ16" s="87"/>
      <c r="BK16" s="87">
        <v>447.0</v>
      </c>
      <c r="BL16" s="87"/>
      <c r="BM16" s="87"/>
      <c r="BN16" s="87"/>
      <c r="BO16" s="87"/>
      <c r="BP16" s="87">
        <v>431.0</v>
      </c>
      <c r="BQ16" s="87">
        <v>1.0</v>
      </c>
      <c r="BR16" s="87"/>
      <c r="BS16" s="87"/>
      <c r="BT16" s="87">
        <v>2.0</v>
      </c>
      <c r="BU16" s="87">
        <v>1.0</v>
      </c>
      <c r="BV16" s="87">
        <v>6.0</v>
      </c>
      <c r="BW16" s="87"/>
      <c r="BX16" s="87"/>
      <c r="BY16" s="87"/>
      <c r="BZ16" s="87"/>
      <c r="CA16" s="87">
        <v>6.0</v>
      </c>
      <c r="CB16" s="87"/>
      <c r="CC16" s="87"/>
      <c r="CD16" s="87"/>
      <c r="CE16" s="87"/>
      <c r="CF16" s="87"/>
      <c r="CG16" s="87"/>
      <c r="CH16" s="87">
        <v>447.0</v>
      </c>
      <c r="CI16" s="87"/>
      <c r="CJ16" s="87"/>
      <c r="CK16" s="87">
        <v>5.0</v>
      </c>
      <c r="CL16" s="87">
        <v>229.0</v>
      </c>
      <c r="CM16" s="87"/>
      <c r="CN16" s="87">
        <v>208.0</v>
      </c>
      <c r="CO16" s="87"/>
      <c r="CP16" s="87">
        <v>1.0</v>
      </c>
      <c r="CQ16" s="87"/>
      <c r="CR16" s="87">
        <v>4.0</v>
      </c>
      <c r="CS16" s="87"/>
      <c r="CT16" s="87"/>
      <c r="CU16" s="87"/>
      <c r="CV16" s="87"/>
      <c r="CW16" s="87"/>
      <c r="CX16" s="87">
        <v>447.0</v>
      </c>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v>447.0</v>
      </c>
      <c r="EE16" s="87"/>
      <c r="EF16" s="87"/>
      <c r="EG16" s="87"/>
      <c r="EH16" s="87"/>
      <c r="EI16" s="87"/>
      <c r="EJ16" s="87">
        <v>447.0</v>
      </c>
      <c r="EK16" s="88"/>
      <c r="EL16" s="88"/>
      <c r="EM16" s="88"/>
      <c r="EN16" s="88"/>
      <c r="EO16" s="88"/>
      <c r="EP16" s="88"/>
      <c r="EQ16" s="90"/>
    </row>
    <row r="17" ht="12.0" customHeight="1">
      <c r="A17" s="89">
        <v>1.06014233E8</v>
      </c>
      <c r="B17" s="89" t="s">
        <v>525</v>
      </c>
      <c r="C17" s="89" t="s">
        <v>431</v>
      </c>
      <c r="D17" s="89" t="s">
        <v>526</v>
      </c>
      <c r="E17" s="89" t="s">
        <v>527</v>
      </c>
      <c r="F17" s="89" t="s">
        <v>528</v>
      </c>
      <c r="G17" s="89" t="s">
        <v>529</v>
      </c>
      <c r="H17" s="89" t="s">
        <v>447</v>
      </c>
      <c r="I17" s="89" t="s">
        <v>456</v>
      </c>
      <c r="J17" s="89" t="s">
        <v>437</v>
      </c>
      <c r="K17" s="89" t="s">
        <v>486</v>
      </c>
      <c r="L17" s="89" t="s">
        <v>487</v>
      </c>
      <c r="M17" s="89" t="s">
        <v>476</v>
      </c>
      <c r="N17" s="89" t="s">
        <v>441</v>
      </c>
      <c r="O17" s="87">
        <v>9600.0</v>
      </c>
      <c r="P17" s="87"/>
      <c r="Q17" s="87"/>
      <c r="R17" s="87"/>
      <c r="S17" s="87"/>
      <c r="T17" s="87"/>
      <c r="U17" s="87">
        <v>4361.0</v>
      </c>
      <c r="V17" s="87">
        <v>5239.0</v>
      </c>
      <c r="W17" s="87"/>
      <c r="X17" s="87">
        <v>1194.0</v>
      </c>
      <c r="Y17" s="87">
        <v>106.0</v>
      </c>
      <c r="Z17" s="87">
        <v>713.0</v>
      </c>
      <c r="AA17" s="87">
        <v>1269.0</v>
      </c>
      <c r="AB17" s="87">
        <v>652.0</v>
      </c>
      <c r="AC17" s="87">
        <v>961.0</v>
      </c>
      <c r="AD17" s="87">
        <v>1469.0</v>
      </c>
      <c r="AE17" s="87">
        <v>1551.0</v>
      </c>
      <c r="AF17" s="87">
        <v>1685.0</v>
      </c>
      <c r="AG17" s="87"/>
      <c r="AH17" s="87">
        <v>2424.0</v>
      </c>
      <c r="AI17" s="87">
        <v>7017.0</v>
      </c>
      <c r="AJ17" s="87">
        <v>159.0</v>
      </c>
      <c r="AK17" s="87">
        <v>29.0</v>
      </c>
      <c r="AL17" s="87">
        <v>1478.0</v>
      </c>
      <c r="AM17" s="87">
        <v>517.0</v>
      </c>
      <c r="AN17" s="87">
        <v>1429.0</v>
      </c>
      <c r="AO17" s="87">
        <v>4083.0</v>
      </c>
      <c r="AP17" s="87">
        <v>120.0</v>
      </c>
      <c r="AQ17" s="87">
        <v>1797.0</v>
      </c>
      <c r="AR17" s="87">
        <v>147.0</v>
      </c>
      <c r="AS17" s="87">
        <v>7659.0</v>
      </c>
      <c r="AT17" s="87">
        <v>71.0</v>
      </c>
      <c r="AU17" s="87">
        <v>200.0</v>
      </c>
      <c r="AV17" s="87">
        <v>449.0</v>
      </c>
      <c r="AW17" s="87">
        <v>20.0</v>
      </c>
      <c r="AX17" s="87"/>
      <c r="AY17" s="87">
        <v>3.0</v>
      </c>
      <c r="AZ17" s="87"/>
      <c r="BA17" s="87">
        <v>5.0</v>
      </c>
      <c r="BB17" s="87"/>
      <c r="BC17" s="87">
        <v>1193.0</v>
      </c>
      <c r="BD17" s="87"/>
      <c r="BE17" s="87">
        <v>6574.0</v>
      </c>
      <c r="BF17" s="87">
        <v>77.0</v>
      </c>
      <c r="BG17" s="87">
        <v>2949.0</v>
      </c>
      <c r="BH17" s="87"/>
      <c r="BI17" s="87">
        <v>44615.0</v>
      </c>
      <c r="BJ17" s="87">
        <v>4183.0</v>
      </c>
      <c r="BK17" s="87">
        <v>1950.0</v>
      </c>
      <c r="BL17" s="87">
        <v>1016.0</v>
      </c>
      <c r="BM17" s="87">
        <v>1193.0</v>
      </c>
      <c r="BN17" s="87">
        <v>1258.0</v>
      </c>
      <c r="BO17" s="87"/>
      <c r="BP17" s="87">
        <v>5042.0</v>
      </c>
      <c r="BQ17" s="87">
        <v>413.0</v>
      </c>
      <c r="BR17" s="87">
        <v>162.0</v>
      </c>
      <c r="BS17" s="87">
        <v>1522.0</v>
      </c>
      <c r="BT17" s="87">
        <v>69.0</v>
      </c>
      <c r="BU17" s="87">
        <v>16.0</v>
      </c>
      <c r="BV17" s="87">
        <v>188.0</v>
      </c>
      <c r="BW17" s="87">
        <v>339.0</v>
      </c>
      <c r="BX17" s="87">
        <v>1544.0</v>
      </c>
      <c r="BY17" s="87"/>
      <c r="BZ17" s="87">
        <v>1.0</v>
      </c>
      <c r="CA17" s="87">
        <v>258.0</v>
      </c>
      <c r="CB17" s="87">
        <v>43.0</v>
      </c>
      <c r="CC17" s="87"/>
      <c r="CD17" s="87">
        <v>3.0</v>
      </c>
      <c r="CE17" s="87"/>
      <c r="CF17" s="87"/>
      <c r="CG17" s="87">
        <v>725.0</v>
      </c>
      <c r="CH17" s="87">
        <v>8875.0</v>
      </c>
      <c r="CI17" s="87"/>
      <c r="CJ17" s="87">
        <v>3597.0</v>
      </c>
      <c r="CK17" s="87">
        <v>2374.0</v>
      </c>
      <c r="CL17" s="87">
        <v>3229.0</v>
      </c>
      <c r="CM17" s="87">
        <v>62.0</v>
      </c>
      <c r="CN17" s="87"/>
      <c r="CO17" s="87">
        <v>150.0</v>
      </c>
      <c r="CP17" s="87"/>
      <c r="CQ17" s="87">
        <v>171.0</v>
      </c>
      <c r="CR17" s="87">
        <v>17.0</v>
      </c>
      <c r="CS17" s="87"/>
      <c r="CT17" s="87">
        <v>1264.0</v>
      </c>
      <c r="CU17" s="87">
        <v>259.0</v>
      </c>
      <c r="CV17" s="87">
        <v>114.0</v>
      </c>
      <c r="CW17" s="87">
        <v>358.0</v>
      </c>
      <c r="CX17" s="87">
        <v>106.0</v>
      </c>
      <c r="CY17" s="87">
        <v>269.0</v>
      </c>
      <c r="CZ17" s="87">
        <v>13.0</v>
      </c>
      <c r="DA17" s="87">
        <v>9.0</v>
      </c>
      <c r="DB17" s="87">
        <v>1208.0</v>
      </c>
      <c r="DC17" s="87">
        <v>357.0</v>
      </c>
      <c r="DD17" s="87">
        <v>739.0</v>
      </c>
      <c r="DE17" s="87">
        <v>120.0</v>
      </c>
      <c r="DF17" s="87">
        <v>291.0</v>
      </c>
      <c r="DG17" s="87">
        <v>357.0</v>
      </c>
      <c r="DH17" s="87">
        <v>1253.0</v>
      </c>
      <c r="DI17" s="87">
        <v>1194.0</v>
      </c>
      <c r="DJ17" s="87">
        <v>3.0</v>
      </c>
      <c r="DK17" s="87">
        <v>140.0</v>
      </c>
      <c r="DL17" s="87">
        <v>1523.0</v>
      </c>
      <c r="DM17" s="87">
        <v>23.0</v>
      </c>
      <c r="DN17" s="87"/>
      <c r="DO17" s="87">
        <v>1233.0</v>
      </c>
      <c r="DP17" s="87">
        <v>1185.0</v>
      </c>
      <c r="DQ17" s="87">
        <v>526.0</v>
      </c>
      <c r="DR17" s="87">
        <v>713.0</v>
      </c>
      <c r="DS17" s="87">
        <v>5.0</v>
      </c>
      <c r="DT17" s="87">
        <v>6.0</v>
      </c>
      <c r="DU17" s="87">
        <v>12.0</v>
      </c>
      <c r="DV17" s="87">
        <v>116.0</v>
      </c>
      <c r="DW17" s="87">
        <v>36.0</v>
      </c>
      <c r="DX17" s="87">
        <v>313.0</v>
      </c>
      <c r="DY17" s="87">
        <v>729.0</v>
      </c>
      <c r="DZ17" s="87">
        <v>217.0</v>
      </c>
      <c r="EA17" s="87">
        <v>21.0</v>
      </c>
      <c r="EB17" s="87">
        <v>232.0</v>
      </c>
      <c r="EC17" s="87">
        <v>123.0</v>
      </c>
      <c r="ED17" s="87">
        <v>3958.0</v>
      </c>
      <c r="EE17" s="87">
        <v>175.0</v>
      </c>
      <c r="EF17" s="87">
        <v>10.0</v>
      </c>
      <c r="EG17" s="87">
        <v>254.0</v>
      </c>
      <c r="EH17" s="87">
        <v>6.0</v>
      </c>
      <c r="EI17" s="87">
        <v>52.0</v>
      </c>
      <c r="EJ17" s="87">
        <v>9278.0</v>
      </c>
      <c r="EK17" s="88"/>
      <c r="EL17" s="88"/>
      <c r="EM17" s="88"/>
      <c r="EN17" s="88"/>
      <c r="EO17" s="88"/>
      <c r="EP17" s="88"/>
      <c r="EQ17" s="90"/>
    </row>
    <row r="18" ht="12.0" customHeight="1">
      <c r="A18" s="89">
        <v>1.06014326E8</v>
      </c>
      <c r="B18" s="89" t="s">
        <v>530</v>
      </c>
      <c r="C18" s="89" t="s">
        <v>431</v>
      </c>
      <c r="D18" s="89" t="s">
        <v>531</v>
      </c>
      <c r="E18" s="89" t="s">
        <v>532</v>
      </c>
      <c r="F18" s="89" t="s">
        <v>454</v>
      </c>
      <c r="G18" s="89" t="s">
        <v>533</v>
      </c>
      <c r="H18" s="89" t="s">
        <v>447</v>
      </c>
      <c r="I18" s="89" t="s">
        <v>456</v>
      </c>
      <c r="J18" s="89" t="s">
        <v>448</v>
      </c>
      <c r="K18" s="89" t="s">
        <v>438</v>
      </c>
      <c r="L18" s="89" t="s">
        <v>449</v>
      </c>
      <c r="M18" s="89" t="s">
        <v>480</v>
      </c>
      <c r="N18" s="89" t="s">
        <v>441</v>
      </c>
      <c r="O18" s="87">
        <v>23461.0</v>
      </c>
      <c r="P18" s="87"/>
      <c r="Q18" s="87"/>
      <c r="R18" s="87"/>
      <c r="S18" s="87"/>
      <c r="T18" s="87"/>
      <c r="U18" s="87">
        <v>10314.0</v>
      </c>
      <c r="V18" s="87">
        <v>13146.0</v>
      </c>
      <c r="W18" s="87">
        <v>1.0</v>
      </c>
      <c r="X18" s="87">
        <v>3847.0</v>
      </c>
      <c r="Y18" s="87">
        <v>903.0</v>
      </c>
      <c r="Z18" s="87">
        <v>1138.0</v>
      </c>
      <c r="AA18" s="87">
        <v>2870.0</v>
      </c>
      <c r="AB18" s="87">
        <v>1660.0</v>
      </c>
      <c r="AC18" s="87">
        <v>2190.0</v>
      </c>
      <c r="AD18" s="87">
        <v>3306.0</v>
      </c>
      <c r="AE18" s="87">
        <v>3946.0</v>
      </c>
      <c r="AF18" s="87">
        <v>3599.0</v>
      </c>
      <c r="AG18" s="87">
        <v>2.0</v>
      </c>
      <c r="AH18" s="87">
        <v>3946.0</v>
      </c>
      <c r="AI18" s="87">
        <v>19069.0</v>
      </c>
      <c r="AJ18" s="87">
        <v>446.0</v>
      </c>
      <c r="AK18" s="87">
        <v>83.0</v>
      </c>
      <c r="AL18" s="87">
        <v>3753.0</v>
      </c>
      <c r="AM18" s="87">
        <v>125.0</v>
      </c>
      <c r="AN18" s="87">
        <v>5756.0</v>
      </c>
      <c r="AO18" s="87">
        <v>8395.0</v>
      </c>
      <c r="AP18" s="87">
        <v>554.0</v>
      </c>
      <c r="AQ18" s="87">
        <v>4425.0</v>
      </c>
      <c r="AR18" s="87">
        <v>370.0</v>
      </c>
      <c r="AS18" s="87">
        <v>18889.0</v>
      </c>
      <c r="AT18" s="87">
        <v>145.0</v>
      </c>
      <c r="AU18" s="87">
        <v>1421.0</v>
      </c>
      <c r="AV18" s="87">
        <v>320.0</v>
      </c>
      <c r="AW18" s="87">
        <v>47.0</v>
      </c>
      <c r="AX18" s="87">
        <v>3.0</v>
      </c>
      <c r="AY18" s="87">
        <v>2.0</v>
      </c>
      <c r="AZ18" s="87"/>
      <c r="BA18" s="87"/>
      <c r="BB18" s="87">
        <v>66.0</v>
      </c>
      <c r="BC18" s="87">
        <v>2563.0</v>
      </c>
      <c r="BD18" s="87">
        <v>5.0</v>
      </c>
      <c r="BE18" s="87">
        <v>12023.0</v>
      </c>
      <c r="BF18" s="87">
        <v>1042.0</v>
      </c>
      <c r="BG18" s="87">
        <v>10396.0</v>
      </c>
      <c r="BH18" s="87"/>
      <c r="BI18" s="87">
        <v>104645.0</v>
      </c>
      <c r="BJ18" s="87">
        <v>2664.0</v>
      </c>
      <c r="BK18" s="87">
        <v>14312.0</v>
      </c>
      <c r="BL18" s="87">
        <v>3916.0</v>
      </c>
      <c r="BM18" s="87">
        <v>2563.0</v>
      </c>
      <c r="BN18" s="87"/>
      <c r="BO18" s="87">
        <v>6.0</v>
      </c>
      <c r="BP18" s="87">
        <v>16734.0</v>
      </c>
      <c r="BQ18" s="87">
        <v>449.0</v>
      </c>
      <c r="BR18" s="87">
        <v>117.0</v>
      </c>
      <c r="BS18" s="87">
        <v>1817.0</v>
      </c>
      <c r="BT18" s="87">
        <v>6.0</v>
      </c>
      <c r="BU18" s="87"/>
      <c r="BV18" s="87">
        <v>260.0</v>
      </c>
      <c r="BW18" s="87">
        <v>689.0</v>
      </c>
      <c r="BX18" s="87">
        <v>2979.0</v>
      </c>
      <c r="BY18" s="87"/>
      <c r="BZ18" s="87">
        <v>2.0</v>
      </c>
      <c r="CA18" s="87">
        <v>296.0</v>
      </c>
      <c r="CB18" s="87">
        <v>49.0</v>
      </c>
      <c r="CC18" s="87">
        <v>2.0</v>
      </c>
      <c r="CD18" s="87">
        <v>38.0</v>
      </c>
      <c r="CE18" s="87">
        <v>23.0</v>
      </c>
      <c r="CF18" s="87"/>
      <c r="CG18" s="87">
        <v>2257.0</v>
      </c>
      <c r="CH18" s="87">
        <v>21204.0</v>
      </c>
      <c r="CI18" s="87"/>
      <c r="CJ18" s="87">
        <v>9437.0</v>
      </c>
      <c r="CK18" s="87">
        <v>2618.0</v>
      </c>
      <c r="CL18" s="87">
        <v>10950.0</v>
      </c>
      <c r="CM18" s="87">
        <v>18.0</v>
      </c>
      <c r="CN18" s="87"/>
      <c r="CO18" s="87">
        <v>125.0</v>
      </c>
      <c r="CP18" s="87"/>
      <c r="CQ18" s="87">
        <v>312.0</v>
      </c>
      <c r="CR18" s="87"/>
      <c r="CS18" s="87">
        <v>1.0</v>
      </c>
      <c r="CT18" s="87">
        <v>2823.0</v>
      </c>
      <c r="CU18" s="87">
        <v>1513.0</v>
      </c>
      <c r="CV18" s="87">
        <v>309.0</v>
      </c>
      <c r="CW18" s="87">
        <v>863.0</v>
      </c>
      <c r="CX18" s="87">
        <v>314.0</v>
      </c>
      <c r="CY18" s="87">
        <v>641.0</v>
      </c>
      <c r="CZ18" s="87">
        <v>32.0</v>
      </c>
      <c r="DA18" s="87">
        <v>30.0</v>
      </c>
      <c r="DB18" s="87">
        <v>3080.0</v>
      </c>
      <c r="DC18" s="87">
        <v>1385.0</v>
      </c>
      <c r="DD18" s="87">
        <v>1990.0</v>
      </c>
      <c r="DE18" s="87">
        <v>233.0</v>
      </c>
      <c r="DF18" s="87">
        <v>1317.0</v>
      </c>
      <c r="DG18" s="87">
        <v>658.0</v>
      </c>
      <c r="DH18" s="87">
        <v>2816.0</v>
      </c>
      <c r="DI18" s="87">
        <v>2684.0</v>
      </c>
      <c r="DJ18" s="87">
        <v>205.0</v>
      </c>
      <c r="DK18" s="87">
        <v>553.0</v>
      </c>
      <c r="DL18" s="87">
        <v>1374.0</v>
      </c>
      <c r="DM18" s="87">
        <v>641.0</v>
      </c>
      <c r="DN18" s="87"/>
      <c r="DO18" s="87">
        <v>6449.0</v>
      </c>
      <c r="DP18" s="87">
        <v>2567.0</v>
      </c>
      <c r="DQ18" s="87">
        <v>1542.0</v>
      </c>
      <c r="DR18" s="87">
        <v>2011.0</v>
      </c>
      <c r="DS18" s="87">
        <v>28.0</v>
      </c>
      <c r="DT18" s="87">
        <v>31.0</v>
      </c>
      <c r="DU18" s="87">
        <v>7.0</v>
      </c>
      <c r="DV18" s="87">
        <v>582.0</v>
      </c>
      <c r="DW18" s="87">
        <v>158.0</v>
      </c>
      <c r="DX18" s="87">
        <v>404.0</v>
      </c>
      <c r="DY18" s="87">
        <v>1702.0</v>
      </c>
      <c r="DZ18" s="87">
        <v>697.0</v>
      </c>
      <c r="EA18" s="87">
        <v>174.0</v>
      </c>
      <c r="EB18" s="87">
        <v>793.0</v>
      </c>
      <c r="EC18" s="87">
        <v>510.0</v>
      </c>
      <c r="ED18" s="87">
        <v>5204.0</v>
      </c>
      <c r="EE18" s="87">
        <v>602.0</v>
      </c>
      <c r="EF18" s="87">
        <v>23.0</v>
      </c>
      <c r="EG18" s="87">
        <v>239.0</v>
      </c>
      <c r="EH18" s="87"/>
      <c r="EI18" s="87">
        <v>61.0</v>
      </c>
      <c r="EJ18" s="87">
        <v>23138.0</v>
      </c>
      <c r="EK18" s="88"/>
      <c r="EL18" s="88"/>
      <c r="EM18" s="88"/>
      <c r="EN18" s="88"/>
      <c r="EO18" s="88"/>
      <c r="EP18" s="88"/>
      <c r="EQ18" s="90"/>
    </row>
    <row r="19" ht="12.0" customHeight="1">
      <c r="A19" s="89">
        <v>1.06014337E8</v>
      </c>
      <c r="B19" s="89" t="s">
        <v>534</v>
      </c>
      <c r="C19" s="89" t="s">
        <v>431</v>
      </c>
      <c r="D19" s="89" t="s">
        <v>535</v>
      </c>
      <c r="E19" s="89" t="s">
        <v>536</v>
      </c>
      <c r="F19" s="89" t="s">
        <v>473</v>
      </c>
      <c r="G19" s="89" t="s">
        <v>474</v>
      </c>
      <c r="H19" s="89" t="s">
        <v>447</v>
      </c>
      <c r="I19" s="89" t="s">
        <v>456</v>
      </c>
      <c r="J19" s="89" t="s">
        <v>469</v>
      </c>
      <c r="K19" s="89" t="s">
        <v>438</v>
      </c>
      <c r="L19" s="89" t="s">
        <v>439</v>
      </c>
      <c r="M19" s="89" t="s">
        <v>488</v>
      </c>
      <c r="N19" s="89" t="s">
        <v>441</v>
      </c>
      <c r="O19" s="87">
        <v>15533.0</v>
      </c>
      <c r="P19" s="87"/>
      <c r="Q19" s="87"/>
      <c r="R19" s="87"/>
      <c r="S19" s="87"/>
      <c r="T19" s="87"/>
      <c r="U19" s="87">
        <v>5890.0</v>
      </c>
      <c r="V19" s="87">
        <v>9643.0</v>
      </c>
      <c r="W19" s="87"/>
      <c r="X19" s="87">
        <v>3916.0</v>
      </c>
      <c r="Y19" s="87">
        <v>82.0</v>
      </c>
      <c r="Z19" s="87">
        <v>1372.0</v>
      </c>
      <c r="AA19" s="87">
        <v>3085.0</v>
      </c>
      <c r="AB19" s="87">
        <v>799.0</v>
      </c>
      <c r="AC19" s="87">
        <v>1023.0</v>
      </c>
      <c r="AD19" s="87">
        <v>1606.0</v>
      </c>
      <c r="AE19" s="87">
        <v>1819.0</v>
      </c>
      <c r="AF19" s="87">
        <v>1824.0</v>
      </c>
      <c r="AG19" s="87">
        <v>7.0</v>
      </c>
      <c r="AH19" s="87">
        <v>4116.0</v>
      </c>
      <c r="AI19" s="87">
        <v>11221.0</v>
      </c>
      <c r="AJ19" s="87">
        <v>196.0</v>
      </c>
      <c r="AK19" s="87">
        <v>72.0</v>
      </c>
      <c r="AL19" s="87">
        <v>4702.0</v>
      </c>
      <c r="AM19" s="87">
        <v>285.0</v>
      </c>
      <c r="AN19" s="87">
        <v>2025.0</v>
      </c>
      <c r="AO19" s="87">
        <v>4166.0</v>
      </c>
      <c r="AP19" s="87">
        <v>188.0</v>
      </c>
      <c r="AQ19" s="87">
        <v>3528.0</v>
      </c>
      <c r="AR19" s="87">
        <v>567.0</v>
      </c>
      <c r="AS19" s="87">
        <v>10460.0</v>
      </c>
      <c r="AT19" s="87">
        <v>153.0</v>
      </c>
      <c r="AU19" s="87">
        <v>498.0</v>
      </c>
      <c r="AV19" s="87">
        <v>344.0</v>
      </c>
      <c r="AW19" s="87">
        <v>255.0</v>
      </c>
      <c r="AX19" s="87">
        <v>1.0</v>
      </c>
      <c r="AY19" s="87"/>
      <c r="AZ19" s="87">
        <v>1.0</v>
      </c>
      <c r="BA19" s="87"/>
      <c r="BB19" s="87">
        <v>1.0</v>
      </c>
      <c r="BC19" s="87">
        <v>3819.0</v>
      </c>
      <c r="BD19" s="87">
        <v>1.0</v>
      </c>
      <c r="BE19" s="87">
        <v>6179.0</v>
      </c>
      <c r="BF19" s="87">
        <v>270.0</v>
      </c>
      <c r="BG19" s="87">
        <v>9084.0</v>
      </c>
      <c r="BH19" s="87"/>
      <c r="BI19" s="87">
        <v>53205.0</v>
      </c>
      <c r="BJ19" s="87">
        <v>602.0</v>
      </c>
      <c r="BK19" s="87">
        <v>9659.0</v>
      </c>
      <c r="BL19" s="87">
        <v>1453.0</v>
      </c>
      <c r="BM19" s="87">
        <v>3819.0</v>
      </c>
      <c r="BN19" s="87"/>
      <c r="BO19" s="87"/>
      <c r="BP19" s="87">
        <v>11024.0</v>
      </c>
      <c r="BQ19" s="87">
        <v>295.0</v>
      </c>
      <c r="BR19" s="87">
        <v>24.0</v>
      </c>
      <c r="BS19" s="87">
        <v>1036.0</v>
      </c>
      <c r="BT19" s="87"/>
      <c r="BU19" s="87"/>
      <c r="BV19" s="87">
        <v>76.0</v>
      </c>
      <c r="BW19" s="87">
        <v>361.0</v>
      </c>
      <c r="BX19" s="87">
        <v>2482.0</v>
      </c>
      <c r="BY19" s="87"/>
      <c r="BZ19" s="87"/>
      <c r="CA19" s="87">
        <v>205.0</v>
      </c>
      <c r="CB19" s="87">
        <v>21.0</v>
      </c>
      <c r="CC19" s="87"/>
      <c r="CD19" s="87">
        <v>6.0</v>
      </c>
      <c r="CE19" s="87">
        <v>3.0</v>
      </c>
      <c r="CF19" s="87"/>
      <c r="CG19" s="87">
        <v>1222.0</v>
      </c>
      <c r="CH19" s="87">
        <v>14311.0</v>
      </c>
      <c r="CI19" s="87"/>
      <c r="CJ19" s="87">
        <v>4597.0</v>
      </c>
      <c r="CK19" s="87">
        <v>1247.0</v>
      </c>
      <c r="CL19" s="87">
        <v>9542.0</v>
      </c>
      <c r="CM19" s="87">
        <v>5.0</v>
      </c>
      <c r="CN19" s="87"/>
      <c r="CO19" s="87">
        <v>9.0</v>
      </c>
      <c r="CP19" s="87"/>
      <c r="CQ19" s="87">
        <v>133.0</v>
      </c>
      <c r="CR19" s="87"/>
      <c r="CS19" s="87"/>
      <c r="CT19" s="87">
        <v>2093.0</v>
      </c>
      <c r="CU19" s="87">
        <v>259.0</v>
      </c>
      <c r="CV19" s="87">
        <v>101.0</v>
      </c>
      <c r="CW19" s="87">
        <v>346.0</v>
      </c>
      <c r="CX19" s="87">
        <v>173.0</v>
      </c>
      <c r="CY19" s="87">
        <v>191.0</v>
      </c>
      <c r="CZ19" s="87">
        <v>4.0</v>
      </c>
      <c r="DA19" s="87">
        <v>6.0</v>
      </c>
      <c r="DB19" s="87">
        <v>1285.0</v>
      </c>
      <c r="DC19" s="87">
        <v>442.0</v>
      </c>
      <c r="DD19" s="87">
        <v>982.0</v>
      </c>
      <c r="DE19" s="87">
        <v>136.0</v>
      </c>
      <c r="DF19" s="87">
        <v>282.0</v>
      </c>
      <c r="DG19" s="87">
        <v>411.0</v>
      </c>
      <c r="DH19" s="87">
        <v>4047.0</v>
      </c>
      <c r="DI19" s="87">
        <v>3910.0</v>
      </c>
      <c r="DJ19" s="87">
        <v>6.0</v>
      </c>
      <c r="DK19" s="87">
        <v>152.0</v>
      </c>
      <c r="DL19" s="87">
        <v>656.0</v>
      </c>
      <c r="DM19" s="87">
        <v>49.0</v>
      </c>
      <c r="DN19" s="87">
        <v>2.0</v>
      </c>
      <c r="DO19" s="87">
        <v>4898.0</v>
      </c>
      <c r="DP19" s="87">
        <v>3797.0</v>
      </c>
      <c r="DQ19" s="87">
        <v>571.0</v>
      </c>
      <c r="DR19" s="87">
        <v>1123.0</v>
      </c>
      <c r="DS19" s="87">
        <v>6.0</v>
      </c>
      <c r="DT19" s="87">
        <v>1.0</v>
      </c>
      <c r="DU19" s="87">
        <v>3.0</v>
      </c>
      <c r="DV19" s="87">
        <v>879.0</v>
      </c>
      <c r="DW19" s="87">
        <v>17.0</v>
      </c>
      <c r="DX19" s="87">
        <v>206.0</v>
      </c>
      <c r="DY19" s="87">
        <v>715.0</v>
      </c>
      <c r="DZ19" s="87">
        <v>52.0</v>
      </c>
      <c r="EA19" s="87">
        <v>69.0</v>
      </c>
      <c r="EB19" s="87">
        <v>175.0</v>
      </c>
      <c r="EC19" s="87">
        <v>299.0</v>
      </c>
      <c r="ED19" s="87">
        <v>2412.0</v>
      </c>
      <c r="EE19" s="87">
        <v>310.0</v>
      </c>
      <c r="EF19" s="87">
        <v>3.0</v>
      </c>
      <c r="EG19" s="87">
        <v>69.0</v>
      </c>
      <c r="EH19" s="87"/>
      <c r="EI19" s="87">
        <v>26.0</v>
      </c>
      <c r="EJ19" s="87">
        <v>15435.0</v>
      </c>
      <c r="EK19" s="88"/>
      <c r="EL19" s="88"/>
      <c r="EM19" s="88"/>
      <c r="EN19" s="88"/>
      <c r="EO19" s="88"/>
      <c r="EP19" s="88"/>
      <c r="EQ19" s="90"/>
    </row>
    <row r="20" ht="12.0" customHeight="1">
      <c r="A20" s="89">
        <v>1.06034002E8</v>
      </c>
      <c r="B20" s="89" t="s">
        <v>537</v>
      </c>
      <c r="C20" s="89" t="s">
        <v>538</v>
      </c>
      <c r="D20" s="89" t="s">
        <v>539</v>
      </c>
      <c r="E20" s="89" t="s">
        <v>540</v>
      </c>
      <c r="F20" s="89" t="s">
        <v>541</v>
      </c>
      <c r="G20" s="89" t="s">
        <v>542</v>
      </c>
      <c r="H20" s="89" t="s">
        <v>447</v>
      </c>
      <c r="I20" s="89" t="s">
        <v>543</v>
      </c>
      <c r="J20" s="89" t="s">
        <v>463</v>
      </c>
      <c r="K20" s="89" t="s">
        <v>544</v>
      </c>
      <c r="L20" s="89" t="s">
        <v>545</v>
      </c>
      <c r="M20" s="89" t="s">
        <v>546</v>
      </c>
      <c r="N20" s="89" t="s">
        <v>547</v>
      </c>
      <c r="O20" s="87">
        <v>2416.0</v>
      </c>
      <c r="P20" s="87"/>
      <c r="Q20" s="87"/>
      <c r="R20" s="87"/>
      <c r="S20" s="87"/>
      <c r="T20" s="87"/>
      <c r="U20" s="87">
        <v>1031.0</v>
      </c>
      <c r="V20" s="87">
        <v>1385.0</v>
      </c>
      <c r="W20" s="87"/>
      <c r="X20" s="87">
        <v>239.0</v>
      </c>
      <c r="Y20" s="87">
        <v>16.0</v>
      </c>
      <c r="Z20" s="87">
        <v>147.0</v>
      </c>
      <c r="AA20" s="87">
        <v>185.0</v>
      </c>
      <c r="AB20" s="87">
        <v>107.0</v>
      </c>
      <c r="AC20" s="87">
        <v>209.0</v>
      </c>
      <c r="AD20" s="87">
        <v>423.0</v>
      </c>
      <c r="AE20" s="87">
        <v>535.0</v>
      </c>
      <c r="AF20" s="87">
        <v>555.0</v>
      </c>
      <c r="AG20" s="87"/>
      <c r="AH20" s="87">
        <v>213.0</v>
      </c>
      <c r="AI20" s="87">
        <v>2131.0</v>
      </c>
      <c r="AJ20" s="87">
        <v>72.0</v>
      </c>
      <c r="AK20" s="87">
        <v>32.0</v>
      </c>
      <c r="AL20" s="87">
        <v>11.0</v>
      </c>
      <c r="AM20" s="87"/>
      <c r="AN20" s="87">
        <v>18.0</v>
      </c>
      <c r="AO20" s="87">
        <v>2172.0</v>
      </c>
      <c r="AP20" s="87">
        <v>44.0</v>
      </c>
      <c r="AQ20" s="87">
        <v>98.0</v>
      </c>
      <c r="AR20" s="87">
        <v>41.0</v>
      </c>
      <c r="AS20" s="87">
        <v>2040.0</v>
      </c>
      <c r="AT20" s="87">
        <v>20.0</v>
      </c>
      <c r="AU20" s="87">
        <v>26.0</v>
      </c>
      <c r="AV20" s="87">
        <v>50.0</v>
      </c>
      <c r="AW20" s="87">
        <v>1.0</v>
      </c>
      <c r="AX20" s="87">
        <v>1.0</v>
      </c>
      <c r="AY20" s="87"/>
      <c r="AZ20" s="87">
        <v>1.0</v>
      </c>
      <c r="BA20" s="87">
        <v>45.0</v>
      </c>
      <c r="BB20" s="87">
        <v>1.0</v>
      </c>
      <c r="BC20" s="87">
        <v>231.0</v>
      </c>
      <c r="BD20" s="87"/>
      <c r="BE20" s="87">
        <v>1820.0</v>
      </c>
      <c r="BF20" s="87">
        <v>3.0</v>
      </c>
      <c r="BG20" s="87">
        <v>593.0</v>
      </c>
      <c r="BH20" s="87"/>
      <c r="BI20" s="87">
        <v>10181.0</v>
      </c>
      <c r="BJ20" s="87">
        <v>1391.0</v>
      </c>
      <c r="BK20" s="87">
        <v>517.0</v>
      </c>
      <c r="BL20" s="87">
        <v>277.0</v>
      </c>
      <c r="BM20" s="87">
        <v>231.0</v>
      </c>
      <c r="BN20" s="87"/>
      <c r="BO20" s="87"/>
      <c r="BP20" s="87">
        <v>1259.0</v>
      </c>
      <c r="BQ20" s="87">
        <v>135.0</v>
      </c>
      <c r="BR20" s="87">
        <v>8.0</v>
      </c>
      <c r="BS20" s="87">
        <v>284.0</v>
      </c>
      <c r="BT20" s="87">
        <v>4.0</v>
      </c>
      <c r="BU20" s="87">
        <v>49.0</v>
      </c>
      <c r="BV20" s="87">
        <v>52.0</v>
      </c>
      <c r="BW20" s="87">
        <v>57.0</v>
      </c>
      <c r="BX20" s="87">
        <v>494.0</v>
      </c>
      <c r="BY20" s="87"/>
      <c r="BZ20" s="87"/>
      <c r="CA20" s="87">
        <v>66.0</v>
      </c>
      <c r="CB20" s="87">
        <v>3.0</v>
      </c>
      <c r="CC20" s="87">
        <v>1.0</v>
      </c>
      <c r="CD20" s="87">
        <v>4.0</v>
      </c>
      <c r="CE20" s="87"/>
      <c r="CF20" s="87"/>
      <c r="CG20" s="87">
        <v>230.0</v>
      </c>
      <c r="CH20" s="87">
        <v>2186.0</v>
      </c>
      <c r="CI20" s="87"/>
      <c r="CJ20" s="87">
        <v>1325.0</v>
      </c>
      <c r="CK20" s="87">
        <v>577.0</v>
      </c>
      <c r="CL20" s="87">
        <v>363.0</v>
      </c>
      <c r="CM20" s="87">
        <v>5.0</v>
      </c>
      <c r="CN20" s="87"/>
      <c r="CO20" s="87">
        <v>117.0</v>
      </c>
      <c r="CP20" s="87"/>
      <c r="CQ20" s="87">
        <v>29.0</v>
      </c>
      <c r="CR20" s="87"/>
      <c r="CS20" s="87"/>
      <c r="CT20" s="87">
        <v>563.0</v>
      </c>
      <c r="CU20" s="87">
        <v>17.0</v>
      </c>
      <c r="CV20" s="87">
        <v>17.0</v>
      </c>
      <c r="CW20" s="87">
        <v>83.0</v>
      </c>
      <c r="CX20" s="87">
        <v>37.0</v>
      </c>
      <c r="CY20" s="87">
        <v>60.0</v>
      </c>
      <c r="CZ20" s="87">
        <v>1.0</v>
      </c>
      <c r="DA20" s="87">
        <v>3.0</v>
      </c>
      <c r="DB20" s="87">
        <v>325.0</v>
      </c>
      <c r="DC20" s="87">
        <v>140.0</v>
      </c>
      <c r="DD20" s="87">
        <v>248.0</v>
      </c>
      <c r="DE20" s="87">
        <v>35.0</v>
      </c>
      <c r="DF20" s="87">
        <v>96.0</v>
      </c>
      <c r="DG20" s="87">
        <v>61.0</v>
      </c>
      <c r="DH20" s="87">
        <v>249.0</v>
      </c>
      <c r="DI20" s="87">
        <v>239.0</v>
      </c>
      <c r="DJ20" s="87"/>
      <c r="DK20" s="87">
        <v>41.0</v>
      </c>
      <c r="DL20" s="87">
        <v>199.0</v>
      </c>
      <c r="DM20" s="87">
        <v>2.0</v>
      </c>
      <c r="DN20" s="87"/>
      <c r="DO20" s="87">
        <v>315.0</v>
      </c>
      <c r="DP20" s="87">
        <v>232.0</v>
      </c>
      <c r="DQ20" s="87">
        <v>62.0</v>
      </c>
      <c r="DR20" s="87">
        <v>182.0</v>
      </c>
      <c r="DS20" s="87"/>
      <c r="DT20" s="87"/>
      <c r="DU20" s="87">
        <v>1.0</v>
      </c>
      <c r="DV20" s="87">
        <v>6.0</v>
      </c>
      <c r="DW20" s="87">
        <v>3.0</v>
      </c>
      <c r="DX20" s="87">
        <v>31.0</v>
      </c>
      <c r="DY20" s="87">
        <v>200.0</v>
      </c>
      <c r="DZ20" s="87">
        <v>8.0</v>
      </c>
      <c r="EA20" s="87">
        <v>2.0</v>
      </c>
      <c r="EB20" s="87">
        <v>27.0</v>
      </c>
      <c r="EC20" s="87">
        <v>4.0</v>
      </c>
      <c r="ED20" s="87">
        <v>1228.0</v>
      </c>
      <c r="EE20" s="87">
        <v>115.0</v>
      </c>
      <c r="EF20" s="87">
        <v>3.0</v>
      </c>
      <c r="EG20" s="87">
        <v>26.0</v>
      </c>
      <c r="EH20" s="87">
        <v>2.0</v>
      </c>
      <c r="EI20" s="87">
        <v>15.0</v>
      </c>
      <c r="EJ20" s="87">
        <v>2370.0</v>
      </c>
      <c r="EK20" s="88"/>
      <c r="EL20" s="88"/>
      <c r="EM20" s="88"/>
      <c r="EN20" s="88"/>
      <c r="EO20" s="88"/>
      <c r="EP20" s="88"/>
      <c r="EQ20" s="90"/>
    </row>
    <row r="21" ht="12.0" customHeight="1">
      <c r="A21" s="89">
        <v>1.06040802E8</v>
      </c>
      <c r="B21" s="89" t="s">
        <v>548</v>
      </c>
      <c r="C21" s="89" t="s">
        <v>549</v>
      </c>
      <c r="D21" s="89" t="s">
        <v>550</v>
      </c>
      <c r="E21" s="89" t="s">
        <v>551</v>
      </c>
      <c r="F21" s="89" t="s">
        <v>552</v>
      </c>
      <c r="G21" s="89" t="s">
        <v>553</v>
      </c>
      <c r="H21" s="89" t="s">
        <v>447</v>
      </c>
      <c r="I21" s="89" t="s">
        <v>543</v>
      </c>
      <c r="J21" s="89" t="s">
        <v>437</v>
      </c>
      <c r="K21" s="89" t="s">
        <v>554</v>
      </c>
      <c r="L21" s="89" t="s">
        <v>555</v>
      </c>
      <c r="M21" s="89" t="s">
        <v>556</v>
      </c>
      <c r="N21" s="89" t="s">
        <v>547</v>
      </c>
      <c r="O21" s="87">
        <v>327.0</v>
      </c>
      <c r="P21" s="87">
        <v>186.0</v>
      </c>
      <c r="Q21" s="87"/>
      <c r="R21" s="87"/>
      <c r="S21" s="87"/>
      <c r="T21" s="87"/>
      <c r="U21" s="87">
        <v>263.0</v>
      </c>
      <c r="V21" s="87">
        <v>250.0</v>
      </c>
      <c r="W21" s="87"/>
      <c r="X21" s="87"/>
      <c r="Y21" s="87"/>
      <c r="Z21" s="87"/>
      <c r="AA21" s="87">
        <v>11.0</v>
      </c>
      <c r="AB21" s="87">
        <v>32.0</v>
      </c>
      <c r="AC21" s="87">
        <v>72.0</v>
      </c>
      <c r="AD21" s="87">
        <v>93.0</v>
      </c>
      <c r="AE21" s="87">
        <v>117.0</v>
      </c>
      <c r="AF21" s="87">
        <v>179.0</v>
      </c>
      <c r="AG21" s="87">
        <v>9.0</v>
      </c>
      <c r="AH21" s="87">
        <v>83.0</v>
      </c>
      <c r="AI21" s="87">
        <v>426.0</v>
      </c>
      <c r="AJ21" s="87">
        <v>4.0</v>
      </c>
      <c r="AK21" s="87"/>
      <c r="AL21" s="87"/>
      <c r="AM21" s="87"/>
      <c r="AN21" s="87"/>
      <c r="AO21" s="87">
        <v>421.0</v>
      </c>
      <c r="AP21" s="87">
        <v>19.0</v>
      </c>
      <c r="AQ21" s="87">
        <v>73.0</v>
      </c>
      <c r="AR21" s="87"/>
      <c r="AS21" s="87">
        <v>298.0</v>
      </c>
      <c r="AT21" s="87">
        <v>2.0</v>
      </c>
      <c r="AU21" s="87">
        <v>97.0</v>
      </c>
      <c r="AV21" s="87">
        <v>21.0</v>
      </c>
      <c r="AW21" s="87">
        <v>2.0</v>
      </c>
      <c r="AX21" s="87">
        <v>93.0</v>
      </c>
      <c r="AY21" s="87"/>
      <c r="AZ21" s="87"/>
      <c r="BA21" s="87"/>
      <c r="BB21" s="87"/>
      <c r="BC21" s="87"/>
      <c r="BD21" s="87"/>
      <c r="BE21" s="87">
        <v>311.0</v>
      </c>
      <c r="BF21" s="87"/>
      <c r="BG21" s="87">
        <v>202.0</v>
      </c>
      <c r="BH21" s="87"/>
      <c r="BI21" s="87">
        <v>3660.0</v>
      </c>
      <c r="BJ21" s="87"/>
      <c r="BK21" s="87">
        <v>329.0</v>
      </c>
      <c r="BL21" s="87">
        <v>184.0</v>
      </c>
      <c r="BM21" s="87"/>
      <c r="BN21" s="87"/>
      <c r="BO21" s="87"/>
      <c r="BP21" s="87">
        <v>249.0</v>
      </c>
      <c r="BQ21" s="87">
        <v>31.0</v>
      </c>
      <c r="BR21" s="87">
        <v>2.0</v>
      </c>
      <c r="BS21" s="87">
        <v>125.0</v>
      </c>
      <c r="BT21" s="87"/>
      <c r="BU21" s="87"/>
      <c r="BV21" s="87">
        <v>20.0</v>
      </c>
      <c r="BW21" s="87">
        <v>23.0</v>
      </c>
      <c r="BX21" s="87">
        <v>42.0</v>
      </c>
      <c r="BY21" s="87"/>
      <c r="BZ21" s="87">
        <v>1.0</v>
      </c>
      <c r="CA21" s="87">
        <v>9.0</v>
      </c>
      <c r="CB21" s="87"/>
      <c r="CC21" s="87">
        <v>11.0</v>
      </c>
      <c r="CD21" s="87"/>
      <c r="CE21" s="87"/>
      <c r="CF21" s="87"/>
      <c r="CG21" s="87">
        <v>431.0</v>
      </c>
      <c r="CH21" s="87">
        <v>82.0</v>
      </c>
      <c r="CI21" s="87"/>
      <c r="CJ21" s="87">
        <v>342.0</v>
      </c>
      <c r="CK21" s="87">
        <v>124.0</v>
      </c>
      <c r="CL21" s="87">
        <v>41.0</v>
      </c>
      <c r="CM21" s="87"/>
      <c r="CN21" s="87"/>
      <c r="CO21" s="87">
        <v>4.0</v>
      </c>
      <c r="CP21" s="87"/>
      <c r="CQ21" s="87">
        <v>2.0</v>
      </c>
      <c r="CR21" s="87"/>
      <c r="CS21" s="87"/>
      <c r="CT21" s="87">
        <v>104.0</v>
      </c>
      <c r="CU21" s="87">
        <v>13.0</v>
      </c>
      <c r="CV21" s="87"/>
      <c r="CW21" s="87">
        <v>39.0</v>
      </c>
      <c r="CX21" s="87">
        <v>14.0</v>
      </c>
      <c r="CY21" s="87">
        <v>21.0</v>
      </c>
      <c r="CZ21" s="87"/>
      <c r="DA21" s="87">
        <v>1.0</v>
      </c>
      <c r="DB21" s="87">
        <v>85.0</v>
      </c>
      <c r="DC21" s="87">
        <v>69.0</v>
      </c>
      <c r="DD21" s="87">
        <v>22.0</v>
      </c>
      <c r="DE21" s="87">
        <v>18.0</v>
      </c>
      <c r="DF21" s="87">
        <v>29.0</v>
      </c>
      <c r="DG21" s="87">
        <v>17.0</v>
      </c>
      <c r="DH21" s="87"/>
      <c r="DI21" s="87"/>
      <c r="DJ21" s="87"/>
      <c r="DK21" s="87">
        <v>18.0</v>
      </c>
      <c r="DL21" s="87">
        <v>54.0</v>
      </c>
      <c r="DM21" s="87">
        <v>9.0</v>
      </c>
      <c r="DN21" s="87"/>
      <c r="DO21" s="87">
        <v>21.0</v>
      </c>
      <c r="DP21" s="87"/>
      <c r="DQ21" s="87">
        <v>13.0</v>
      </c>
      <c r="DR21" s="87">
        <v>1.0</v>
      </c>
      <c r="DS21" s="87"/>
      <c r="DT21" s="87"/>
      <c r="DU21" s="87"/>
      <c r="DV21" s="87"/>
      <c r="DW21" s="87"/>
      <c r="DX21" s="87">
        <v>4.0</v>
      </c>
      <c r="DY21" s="87">
        <v>7.0</v>
      </c>
      <c r="DZ21" s="87"/>
      <c r="EA21" s="87"/>
      <c r="EB21" s="87"/>
      <c r="EC21" s="87"/>
      <c r="ED21" s="87">
        <v>460.0</v>
      </c>
      <c r="EE21" s="87">
        <v>7.0</v>
      </c>
      <c r="EF21" s="87"/>
      <c r="EG21" s="87">
        <v>18.0</v>
      </c>
      <c r="EH21" s="87"/>
      <c r="EI21" s="87">
        <v>2.0</v>
      </c>
      <c r="EJ21" s="87">
        <v>493.0</v>
      </c>
      <c r="EK21" s="88"/>
      <c r="EL21" s="88"/>
      <c r="EM21" s="88"/>
      <c r="EN21" s="88"/>
      <c r="EO21" s="88"/>
      <c r="EP21" s="88"/>
      <c r="EQ21" s="90"/>
    </row>
    <row r="22" ht="12.0" customHeight="1">
      <c r="A22" s="89">
        <v>1.06040937E8</v>
      </c>
      <c r="B22" s="89" t="s">
        <v>557</v>
      </c>
      <c r="C22" s="89" t="s">
        <v>549</v>
      </c>
      <c r="D22" s="89" t="s">
        <v>558</v>
      </c>
      <c r="E22" s="89" t="s">
        <v>559</v>
      </c>
      <c r="F22" s="89" t="s">
        <v>560</v>
      </c>
      <c r="G22" s="89" t="s">
        <v>561</v>
      </c>
      <c r="H22" s="89" t="s">
        <v>447</v>
      </c>
      <c r="I22" s="89" t="s">
        <v>543</v>
      </c>
      <c r="J22" s="89" t="s">
        <v>437</v>
      </c>
      <c r="K22" s="89" t="s">
        <v>554</v>
      </c>
      <c r="L22" s="89" t="s">
        <v>555</v>
      </c>
      <c r="M22" s="89" t="s">
        <v>562</v>
      </c>
      <c r="N22" s="89" t="s">
        <v>547</v>
      </c>
      <c r="O22" s="87">
        <v>11763.0</v>
      </c>
      <c r="P22" s="87">
        <v>419.0</v>
      </c>
      <c r="Q22" s="87"/>
      <c r="R22" s="87"/>
      <c r="S22" s="87"/>
      <c r="T22" s="87"/>
      <c r="U22" s="87">
        <v>5761.0</v>
      </c>
      <c r="V22" s="87">
        <v>6421.0</v>
      </c>
      <c r="W22" s="87"/>
      <c r="X22" s="87">
        <v>562.0</v>
      </c>
      <c r="Y22" s="87">
        <v>202.0</v>
      </c>
      <c r="Z22" s="87">
        <v>741.0</v>
      </c>
      <c r="AA22" s="87">
        <v>1067.0</v>
      </c>
      <c r="AB22" s="87">
        <v>1201.0</v>
      </c>
      <c r="AC22" s="87">
        <v>1834.0</v>
      </c>
      <c r="AD22" s="87">
        <v>2674.0</v>
      </c>
      <c r="AE22" s="87">
        <v>2192.0</v>
      </c>
      <c r="AF22" s="87">
        <v>1709.0</v>
      </c>
      <c r="AG22" s="87"/>
      <c r="AH22" s="87">
        <v>924.0</v>
      </c>
      <c r="AI22" s="87">
        <v>10778.0</v>
      </c>
      <c r="AJ22" s="87">
        <v>480.0</v>
      </c>
      <c r="AK22" s="87">
        <v>283.0</v>
      </c>
      <c r="AL22" s="87">
        <v>491.0</v>
      </c>
      <c r="AM22" s="87"/>
      <c r="AN22" s="87">
        <v>345.0</v>
      </c>
      <c r="AO22" s="87">
        <v>9813.0</v>
      </c>
      <c r="AP22" s="87">
        <v>156.0</v>
      </c>
      <c r="AQ22" s="87">
        <v>1022.0</v>
      </c>
      <c r="AR22" s="87">
        <v>72.0</v>
      </c>
      <c r="AS22" s="87">
        <v>11091.0</v>
      </c>
      <c r="AT22" s="87">
        <v>2.0</v>
      </c>
      <c r="AU22" s="87">
        <v>10.0</v>
      </c>
      <c r="AV22" s="87">
        <v>131.0</v>
      </c>
      <c r="AW22" s="87">
        <v>19.0</v>
      </c>
      <c r="AX22" s="87">
        <v>416.0</v>
      </c>
      <c r="AY22" s="87">
        <v>37.0</v>
      </c>
      <c r="AZ22" s="87"/>
      <c r="BA22" s="87">
        <v>18.0</v>
      </c>
      <c r="BB22" s="87">
        <v>1.0</v>
      </c>
      <c r="BC22" s="87">
        <v>457.0</v>
      </c>
      <c r="BD22" s="87"/>
      <c r="BE22" s="87">
        <v>10054.0</v>
      </c>
      <c r="BF22" s="87"/>
      <c r="BG22" s="87">
        <v>2128.0</v>
      </c>
      <c r="BH22" s="87"/>
      <c r="BI22" s="87">
        <v>64812.0</v>
      </c>
      <c r="BJ22" s="87">
        <v>57.0</v>
      </c>
      <c r="BK22" s="87">
        <v>10412.0</v>
      </c>
      <c r="BL22" s="87">
        <v>1256.0</v>
      </c>
      <c r="BM22" s="87">
        <v>457.0</v>
      </c>
      <c r="BN22" s="87"/>
      <c r="BO22" s="87"/>
      <c r="BP22" s="87">
        <v>8468.0</v>
      </c>
      <c r="BQ22" s="87">
        <v>222.0</v>
      </c>
      <c r="BR22" s="87">
        <v>2.0</v>
      </c>
      <c r="BS22" s="87">
        <v>1140.0</v>
      </c>
      <c r="BT22" s="87">
        <v>77.0</v>
      </c>
      <c r="BU22" s="87">
        <v>65.0</v>
      </c>
      <c r="BV22" s="87">
        <v>1062.0</v>
      </c>
      <c r="BW22" s="87">
        <v>270.0</v>
      </c>
      <c r="BX22" s="87">
        <v>802.0</v>
      </c>
      <c r="BY22" s="87"/>
      <c r="BZ22" s="87"/>
      <c r="CA22" s="87">
        <v>51.0</v>
      </c>
      <c r="CB22" s="87">
        <v>14.0</v>
      </c>
      <c r="CC22" s="87"/>
      <c r="CD22" s="87"/>
      <c r="CE22" s="87">
        <v>9.0</v>
      </c>
      <c r="CF22" s="87"/>
      <c r="CG22" s="87">
        <v>465.0</v>
      </c>
      <c r="CH22" s="87">
        <v>11717.0</v>
      </c>
      <c r="CI22" s="87"/>
      <c r="CJ22" s="87">
        <v>5634.0</v>
      </c>
      <c r="CK22" s="87">
        <v>4893.0</v>
      </c>
      <c r="CL22" s="87">
        <v>1094.0</v>
      </c>
      <c r="CM22" s="87">
        <v>32.0</v>
      </c>
      <c r="CN22" s="87">
        <v>1.0</v>
      </c>
      <c r="CO22" s="87">
        <v>364.0</v>
      </c>
      <c r="CP22" s="87">
        <v>6.0</v>
      </c>
      <c r="CQ22" s="87">
        <v>157.0</v>
      </c>
      <c r="CR22" s="87">
        <v>1.0</v>
      </c>
      <c r="CS22" s="87"/>
      <c r="CT22" s="87">
        <v>3276.0</v>
      </c>
      <c r="CU22" s="87">
        <v>239.0</v>
      </c>
      <c r="CV22" s="87">
        <v>40.0</v>
      </c>
      <c r="CW22" s="87">
        <v>387.0</v>
      </c>
      <c r="CX22" s="87">
        <v>223.0</v>
      </c>
      <c r="CY22" s="87">
        <v>477.0</v>
      </c>
      <c r="CZ22" s="87">
        <v>11.0</v>
      </c>
      <c r="DA22" s="87">
        <v>23.0</v>
      </c>
      <c r="DB22" s="87">
        <v>1615.0</v>
      </c>
      <c r="DC22" s="87">
        <v>375.0</v>
      </c>
      <c r="DD22" s="87">
        <v>1180.0</v>
      </c>
      <c r="DE22" s="87">
        <v>112.0</v>
      </c>
      <c r="DF22" s="87">
        <v>496.0</v>
      </c>
      <c r="DG22" s="87">
        <v>582.0</v>
      </c>
      <c r="DH22" s="87">
        <v>573.0</v>
      </c>
      <c r="DI22" s="87">
        <v>481.0</v>
      </c>
      <c r="DJ22" s="87">
        <v>11.0</v>
      </c>
      <c r="DK22" s="87">
        <v>597.0</v>
      </c>
      <c r="DL22" s="87">
        <v>1395.0</v>
      </c>
      <c r="DM22" s="87">
        <v>87.0</v>
      </c>
      <c r="DN22" s="87">
        <v>2.0</v>
      </c>
      <c r="DO22" s="87">
        <v>740.0</v>
      </c>
      <c r="DP22" s="87">
        <v>475.0</v>
      </c>
      <c r="DQ22" s="87">
        <v>348.0</v>
      </c>
      <c r="DR22" s="87">
        <v>1030.0</v>
      </c>
      <c r="DS22" s="87">
        <v>14.0</v>
      </c>
      <c r="DT22" s="87">
        <v>27.0</v>
      </c>
      <c r="DU22" s="87">
        <v>7.0</v>
      </c>
      <c r="DV22" s="87">
        <v>208.0</v>
      </c>
      <c r="DW22" s="87">
        <v>15.0</v>
      </c>
      <c r="DX22" s="87">
        <v>260.0</v>
      </c>
      <c r="DY22" s="87">
        <v>553.0</v>
      </c>
      <c r="DZ22" s="87">
        <v>35.0</v>
      </c>
      <c r="EA22" s="87">
        <v>53.0</v>
      </c>
      <c r="EB22" s="87">
        <v>312.0</v>
      </c>
      <c r="EC22" s="87">
        <v>244.0</v>
      </c>
      <c r="ED22" s="87">
        <v>7533.0</v>
      </c>
      <c r="EE22" s="87">
        <v>328.0</v>
      </c>
      <c r="EF22" s="87">
        <v>1.0</v>
      </c>
      <c r="EG22" s="87">
        <v>292.0</v>
      </c>
      <c r="EH22" s="87"/>
      <c r="EI22" s="87">
        <v>79.0</v>
      </c>
      <c r="EJ22" s="87">
        <v>11810.0</v>
      </c>
      <c r="EK22" s="88"/>
      <c r="EL22" s="88"/>
      <c r="EM22" s="88"/>
      <c r="EN22" s="88"/>
      <c r="EO22" s="88"/>
      <c r="EP22" s="88"/>
      <c r="EQ22" s="90"/>
    </row>
    <row r="23" ht="12.0" customHeight="1">
      <c r="A23" s="89">
        <v>1.06040962E8</v>
      </c>
      <c r="B23" s="89" t="s">
        <v>563</v>
      </c>
      <c r="C23" s="89" t="s">
        <v>549</v>
      </c>
      <c r="D23" s="89" t="s">
        <v>564</v>
      </c>
      <c r="E23" s="89" t="s">
        <v>565</v>
      </c>
      <c r="F23" s="89" t="s">
        <v>566</v>
      </c>
      <c r="G23" s="89" t="s">
        <v>567</v>
      </c>
      <c r="H23" s="89" t="s">
        <v>447</v>
      </c>
      <c r="I23" s="89" t="s">
        <v>543</v>
      </c>
      <c r="J23" s="89" t="s">
        <v>469</v>
      </c>
      <c r="K23" s="89" t="s">
        <v>554</v>
      </c>
      <c r="L23" s="89" t="s">
        <v>555</v>
      </c>
      <c r="M23" s="89" t="s">
        <v>568</v>
      </c>
      <c r="N23" s="89" t="s">
        <v>441</v>
      </c>
      <c r="O23" s="87">
        <v>18730.0</v>
      </c>
      <c r="P23" s="87"/>
      <c r="Q23" s="87">
        <v>417.0</v>
      </c>
      <c r="R23" s="87"/>
      <c r="S23" s="87">
        <v>497.0</v>
      </c>
      <c r="T23" s="87"/>
      <c r="U23" s="87">
        <v>9049.0</v>
      </c>
      <c r="V23" s="87">
        <v>10594.0</v>
      </c>
      <c r="W23" s="87">
        <v>1.0</v>
      </c>
      <c r="X23" s="87">
        <v>2267.0</v>
      </c>
      <c r="Y23" s="87">
        <v>244.0</v>
      </c>
      <c r="Z23" s="87">
        <v>1482.0</v>
      </c>
      <c r="AA23" s="87">
        <v>1699.0</v>
      </c>
      <c r="AB23" s="87">
        <v>1135.0</v>
      </c>
      <c r="AC23" s="87">
        <v>1805.0</v>
      </c>
      <c r="AD23" s="87">
        <v>3348.0</v>
      </c>
      <c r="AE23" s="87">
        <v>3917.0</v>
      </c>
      <c r="AF23" s="87">
        <v>3747.0</v>
      </c>
      <c r="AG23" s="87"/>
      <c r="AH23" s="87">
        <v>2870.0</v>
      </c>
      <c r="AI23" s="87">
        <v>16106.0</v>
      </c>
      <c r="AJ23" s="87">
        <v>668.0</v>
      </c>
      <c r="AK23" s="87">
        <v>268.0</v>
      </c>
      <c r="AL23" s="87">
        <v>359.0</v>
      </c>
      <c r="AM23" s="87">
        <v>38.0</v>
      </c>
      <c r="AN23" s="87">
        <v>339.0</v>
      </c>
      <c r="AO23" s="87">
        <v>15007.0</v>
      </c>
      <c r="AP23" s="87">
        <v>366.0</v>
      </c>
      <c r="AQ23" s="87">
        <v>3061.0</v>
      </c>
      <c r="AR23" s="87">
        <v>206.0</v>
      </c>
      <c r="AS23" s="87">
        <v>16005.0</v>
      </c>
      <c r="AT23" s="87">
        <v>470.0</v>
      </c>
      <c r="AU23" s="87">
        <v>516.0</v>
      </c>
      <c r="AV23" s="87">
        <v>213.0</v>
      </c>
      <c r="AW23" s="87">
        <v>46.0</v>
      </c>
      <c r="AX23" s="87">
        <v>439.0</v>
      </c>
      <c r="AY23" s="87">
        <v>2.0</v>
      </c>
      <c r="AZ23" s="87"/>
      <c r="BA23" s="87">
        <v>2.0</v>
      </c>
      <c r="BB23" s="87">
        <v>28.0</v>
      </c>
      <c r="BC23" s="87">
        <v>1923.0</v>
      </c>
      <c r="BD23" s="87"/>
      <c r="BE23" s="87">
        <v>13154.0</v>
      </c>
      <c r="BF23" s="87">
        <v>39.0</v>
      </c>
      <c r="BG23" s="87">
        <v>6451.0</v>
      </c>
      <c r="BH23" s="87"/>
      <c r="BI23" s="87">
        <v>86169.0</v>
      </c>
      <c r="BJ23" s="87">
        <v>12742.0</v>
      </c>
      <c r="BK23" s="87">
        <v>419.0</v>
      </c>
      <c r="BL23" s="87">
        <v>4203.0</v>
      </c>
      <c r="BM23" s="87">
        <v>1923.0</v>
      </c>
      <c r="BN23" s="87">
        <v>346.0</v>
      </c>
      <c r="BO23" s="87">
        <v>11.0</v>
      </c>
      <c r="BP23" s="87">
        <v>13103.0</v>
      </c>
      <c r="BQ23" s="87">
        <v>360.0</v>
      </c>
      <c r="BR23" s="87">
        <v>460.0</v>
      </c>
      <c r="BS23" s="87">
        <v>1867.0</v>
      </c>
      <c r="BT23" s="87">
        <v>105.0</v>
      </c>
      <c r="BU23" s="87">
        <v>3.0</v>
      </c>
      <c r="BV23" s="87"/>
      <c r="BW23" s="87">
        <v>558.0</v>
      </c>
      <c r="BX23" s="87">
        <v>2825.0</v>
      </c>
      <c r="BY23" s="87"/>
      <c r="BZ23" s="87"/>
      <c r="CA23" s="87">
        <v>344.0</v>
      </c>
      <c r="CB23" s="87">
        <v>19.0</v>
      </c>
      <c r="CC23" s="87"/>
      <c r="CD23" s="87"/>
      <c r="CE23" s="87"/>
      <c r="CF23" s="87"/>
      <c r="CG23" s="87">
        <v>2174.0</v>
      </c>
      <c r="CH23" s="87">
        <v>17470.0</v>
      </c>
      <c r="CI23" s="87"/>
      <c r="CJ23" s="87">
        <v>9330.0</v>
      </c>
      <c r="CK23" s="87">
        <v>4476.0</v>
      </c>
      <c r="CL23" s="87">
        <v>5483.0</v>
      </c>
      <c r="CM23" s="87">
        <v>46.0</v>
      </c>
      <c r="CN23" s="87"/>
      <c r="CO23" s="87">
        <v>41.0</v>
      </c>
      <c r="CP23" s="87"/>
      <c r="CQ23" s="87">
        <v>268.0</v>
      </c>
      <c r="CR23" s="87"/>
      <c r="CS23" s="87"/>
      <c r="CT23" s="87">
        <v>1904.0</v>
      </c>
      <c r="CU23" s="87">
        <v>507.0</v>
      </c>
      <c r="CV23" s="87">
        <v>134.0</v>
      </c>
      <c r="CW23" s="87">
        <v>939.0</v>
      </c>
      <c r="CX23" s="87">
        <v>592.0</v>
      </c>
      <c r="CY23" s="87">
        <v>429.0</v>
      </c>
      <c r="CZ23" s="87">
        <v>16.0</v>
      </c>
      <c r="DA23" s="87">
        <v>14.0</v>
      </c>
      <c r="DB23" s="87">
        <v>3164.0</v>
      </c>
      <c r="DC23" s="87">
        <v>1343.0</v>
      </c>
      <c r="DD23" s="87">
        <v>1954.0</v>
      </c>
      <c r="DE23" s="87">
        <v>257.0</v>
      </c>
      <c r="DF23" s="87">
        <v>794.0</v>
      </c>
      <c r="DG23" s="87">
        <v>1072.0</v>
      </c>
      <c r="DH23" s="87">
        <v>2019.0</v>
      </c>
      <c r="DI23" s="87">
        <v>2010.0</v>
      </c>
      <c r="DJ23" s="87">
        <v>13.0</v>
      </c>
      <c r="DK23" s="87">
        <v>352.0</v>
      </c>
      <c r="DL23" s="87">
        <v>1965.0</v>
      </c>
      <c r="DM23" s="87">
        <v>166.0</v>
      </c>
      <c r="DN23" s="87"/>
      <c r="DO23" s="87">
        <v>1425.0</v>
      </c>
      <c r="DP23" s="87">
        <v>1907.0</v>
      </c>
      <c r="DQ23" s="87">
        <v>1607.0</v>
      </c>
      <c r="DR23" s="87">
        <v>1926.0</v>
      </c>
      <c r="DS23" s="87">
        <v>16.0</v>
      </c>
      <c r="DT23" s="87">
        <v>1.0</v>
      </c>
      <c r="DU23" s="87">
        <v>1.0</v>
      </c>
      <c r="DV23" s="87">
        <v>219.0</v>
      </c>
      <c r="DW23" s="87">
        <v>38.0</v>
      </c>
      <c r="DX23" s="87">
        <v>343.0</v>
      </c>
      <c r="DY23" s="87">
        <v>1446.0</v>
      </c>
      <c r="DZ23" s="87">
        <v>187.0</v>
      </c>
      <c r="EA23" s="87">
        <v>188.0</v>
      </c>
      <c r="EB23" s="87">
        <v>447.0</v>
      </c>
      <c r="EC23" s="87">
        <v>393.0</v>
      </c>
      <c r="ED23" s="87">
        <v>9288.0</v>
      </c>
      <c r="EE23" s="87">
        <v>212.0</v>
      </c>
      <c r="EF23" s="87">
        <v>3.0</v>
      </c>
      <c r="EG23" s="87">
        <v>402.0</v>
      </c>
      <c r="EH23" s="87">
        <v>3.0</v>
      </c>
      <c r="EI23" s="87">
        <v>99.0</v>
      </c>
      <c r="EJ23" s="87">
        <v>19137.0</v>
      </c>
      <c r="EK23" s="88"/>
      <c r="EL23" s="88"/>
      <c r="EM23" s="88"/>
      <c r="EN23" s="88"/>
      <c r="EO23" s="88"/>
      <c r="EP23" s="88"/>
      <c r="EQ23" s="90"/>
    </row>
    <row r="24" ht="12.0" customHeight="1">
      <c r="A24" s="89">
        <v>1.06044006E8</v>
      </c>
      <c r="B24" s="89" t="s">
        <v>569</v>
      </c>
      <c r="C24" s="89" t="s">
        <v>549</v>
      </c>
      <c r="D24" s="89" t="s">
        <v>570</v>
      </c>
      <c r="E24" s="89" t="s">
        <v>571</v>
      </c>
      <c r="F24" s="89" t="s">
        <v>566</v>
      </c>
      <c r="G24" s="89" t="s">
        <v>567</v>
      </c>
      <c r="H24" s="89" t="s">
        <v>435</v>
      </c>
      <c r="I24" s="89" t="s">
        <v>543</v>
      </c>
      <c r="J24" s="89" t="s">
        <v>499</v>
      </c>
      <c r="K24" s="89" t="s">
        <v>554</v>
      </c>
      <c r="L24" s="89" t="s">
        <v>555</v>
      </c>
      <c r="M24" s="89" t="s">
        <v>568</v>
      </c>
      <c r="N24" s="89" t="s">
        <v>441</v>
      </c>
      <c r="O24" s="87"/>
      <c r="P24" s="87"/>
      <c r="Q24" s="87">
        <v>273.0</v>
      </c>
      <c r="R24" s="87"/>
      <c r="S24" s="87"/>
      <c r="T24" s="87"/>
      <c r="U24" s="87">
        <v>126.0</v>
      </c>
      <c r="V24" s="87">
        <v>147.0</v>
      </c>
      <c r="W24" s="87"/>
      <c r="X24" s="87"/>
      <c r="Y24" s="87">
        <v>13.0</v>
      </c>
      <c r="Z24" s="87">
        <v>69.0</v>
      </c>
      <c r="AA24" s="87">
        <v>72.0</v>
      </c>
      <c r="AB24" s="87">
        <v>57.0</v>
      </c>
      <c r="AC24" s="87">
        <v>46.0</v>
      </c>
      <c r="AD24" s="87">
        <v>12.0</v>
      </c>
      <c r="AE24" s="87"/>
      <c r="AF24" s="87"/>
      <c r="AG24" s="87">
        <v>4.0</v>
      </c>
      <c r="AH24" s="87">
        <v>53.0</v>
      </c>
      <c r="AI24" s="87">
        <v>208.0</v>
      </c>
      <c r="AJ24" s="87">
        <v>12.0</v>
      </c>
      <c r="AK24" s="87">
        <v>16.0</v>
      </c>
      <c r="AL24" s="87"/>
      <c r="AM24" s="87"/>
      <c r="AN24" s="87">
        <v>24.0</v>
      </c>
      <c r="AO24" s="87">
        <v>182.0</v>
      </c>
      <c r="AP24" s="87">
        <v>14.0</v>
      </c>
      <c r="AQ24" s="87">
        <v>37.0</v>
      </c>
      <c r="AR24" s="87"/>
      <c r="AS24" s="87">
        <v>72.0</v>
      </c>
      <c r="AT24" s="87">
        <v>54.0</v>
      </c>
      <c r="AU24" s="87">
        <v>131.0</v>
      </c>
      <c r="AV24" s="87"/>
      <c r="AW24" s="87"/>
      <c r="AX24" s="87"/>
      <c r="AY24" s="87"/>
      <c r="AZ24" s="87"/>
      <c r="BA24" s="87">
        <v>16.0</v>
      </c>
      <c r="BB24" s="87"/>
      <c r="BC24" s="87"/>
      <c r="BD24" s="87"/>
      <c r="BE24" s="87"/>
      <c r="BF24" s="87">
        <v>132.0</v>
      </c>
      <c r="BG24" s="87">
        <v>141.0</v>
      </c>
      <c r="BH24" s="87"/>
      <c r="BI24" s="87">
        <v>1635.0</v>
      </c>
      <c r="BJ24" s="87">
        <v>1.0</v>
      </c>
      <c r="BK24" s="87">
        <v>271.0</v>
      </c>
      <c r="BL24" s="87">
        <v>1.0</v>
      </c>
      <c r="BM24" s="87"/>
      <c r="BN24" s="87"/>
      <c r="BO24" s="87"/>
      <c r="BP24" s="87">
        <v>257.0</v>
      </c>
      <c r="BQ24" s="87"/>
      <c r="BR24" s="87"/>
      <c r="BS24" s="87"/>
      <c r="BT24" s="87">
        <v>8.0</v>
      </c>
      <c r="BU24" s="87">
        <v>5.0</v>
      </c>
      <c r="BV24" s="87">
        <v>2.0</v>
      </c>
      <c r="BW24" s="87"/>
      <c r="BX24" s="87"/>
      <c r="BY24" s="87"/>
      <c r="BZ24" s="87"/>
      <c r="CA24" s="87"/>
      <c r="CB24" s="87"/>
      <c r="CC24" s="87"/>
      <c r="CD24" s="87">
        <v>1.0</v>
      </c>
      <c r="CE24" s="87"/>
      <c r="CF24" s="87"/>
      <c r="CG24" s="87"/>
      <c r="CH24" s="87">
        <v>273.0</v>
      </c>
      <c r="CI24" s="87"/>
      <c r="CJ24" s="87">
        <v>44.0</v>
      </c>
      <c r="CK24" s="87">
        <v>208.0</v>
      </c>
      <c r="CL24" s="87">
        <v>1.0</v>
      </c>
      <c r="CM24" s="87"/>
      <c r="CN24" s="87"/>
      <c r="CO24" s="87"/>
      <c r="CP24" s="87"/>
      <c r="CQ24" s="87">
        <v>20.0</v>
      </c>
      <c r="CR24" s="87"/>
      <c r="CS24" s="87"/>
      <c r="CT24" s="87"/>
      <c r="CU24" s="87"/>
      <c r="CV24" s="87"/>
      <c r="CW24" s="87"/>
      <c r="CX24" s="87">
        <v>271.0</v>
      </c>
      <c r="CY24" s="87"/>
      <c r="CZ24" s="87"/>
      <c r="DA24" s="87"/>
      <c r="DB24" s="87"/>
      <c r="DC24" s="87"/>
      <c r="DD24" s="87"/>
      <c r="DE24" s="87"/>
      <c r="DF24" s="87"/>
      <c r="DG24" s="87"/>
      <c r="DH24" s="87"/>
      <c r="DI24" s="87"/>
      <c r="DJ24" s="87"/>
      <c r="DK24" s="87"/>
      <c r="DL24" s="87"/>
      <c r="DM24" s="87"/>
      <c r="DN24" s="87">
        <v>2.0</v>
      </c>
      <c r="DO24" s="87"/>
      <c r="DP24" s="87"/>
      <c r="DQ24" s="87"/>
      <c r="DR24" s="87"/>
      <c r="DS24" s="87"/>
      <c r="DT24" s="87"/>
      <c r="DU24" s="87"/>
      <c r="DV24" s="87"/>
      <c r="DW24" s="87"/>
      <c r="DX24" s="87"/>
      <c r="DY24" s="87"/>
      <c r="DZ24" s="87"/>
      <c r="EA24" s="87"/>
      <c r="EB24" s="87"/>
      <c r="EC24" s="87"/>
      <c r="ED24" s="87">
        <v>273.0</v>
      </c>
      <c r="EE24" s="87"/>
      <c r="EF24" s="87"/>
      <c r="EG24" s="87">
        <v>6.0</v>
      </c>
      <c r="EH24" s="87"/>
      <c r="EI24" s="87">
        <v>1.0</v>
      </c>
      <c r="EJ24" s="87">
        <v>266.0</v>
      </c>
      <c r="EK24" s="88"/>
      <c r="EL24" s="88"/>
      <c r="EM24" s="88"/>
      <c r="EN24" s="88"/>
      <c r="EO24" s="88"/>
      <c r="EP24" s="88"/>
      <c r="EQ24" s="90"/>
    </row>
    <row r="25" ht="12.0" customHeight="1">
      <c r="A25" s="89">
        <v>1.06050932E8</v>
      </c>
      <c r="B25" s="89" t="s">
        <v>572</v>
      </c>
      <c r="C25" s="89" t="s">
        <v>573</v>
      </c>
      <c r="D25" s="89" t="s">
        <v>574</v>
      </c>
      <c r="E25" s="89" t="s">
        <v>575</v>
      </c>
      <c r="F25" s="89" t="s">
        <v>576</v>
      </c>
      <c r="G25" s="89" t="s">
        <v>577</v>
      </c>
      <c r="H25" s="89" t="s">
        <v>447</v>
      </c>
      <c r="I25" s="89" t="s">
        <v>543</v>
      </c>
      <c r="J25" s="89" t="s">
        <v>499</v>
      </c>
      <c r="K25" s="89" t="s">
        <v>544</v>
      </c>
      <c r="L25" s="89" t="s">
        <v>545</v>
      </c>
      <c r="M25" s="89" t="s">
        <v>578</v>
      </c>
      <c r="N25" s="89" t="s">
        <v>547</v>
      </c>
      <c r="O25" s="87">
        <v>767.0</v>
      </c>
      <c r="P25" s="87"/>
      <c r="Q25" s="87"/>
      <c r="R25" s="87"/>
      <c r="S25" s="87"/>
      <c r="T25" s="87"/>
      <c r="U25" s="87">
        <v>356.0</v>
      </c>
      <c r="V25" s="87">
        <v>411.0</v>
      </c>
      <c r="W25" s="87"/>
      <c r="X25" s="87"/>
      <c r="Y25" s="87"/>
      <c r="Z25" s="87">
        <v>16.0</v>
      </c>
      <c r="AA25" s="87">
        <v>37.0</v>
      </c>
      <c r="AB25" s="87">
        <v>36.0</v>
      </c>
      <c r="AC25" s="87">
        <v>92.0</v>
      </c>
      <c r="AD25" s="87">
        <v>185.0</v>
      </c>
      <c r="AE25" s="87">
        <v>204.0</v>
      </c>
      <c r="AF25" s="87">
        <v>193.0</v>
      </c>
      <c r="AG25" s="87">
        <v>4.0</v>
      </c>
      <c r="AH25" s="87">
        <v>37.0</v>
      </c>
      <c r="AI25" s="87">
        <v>725.0</v>
      </c>
      <c r="AJ25" s="87">
        <v>5.0</v>
      </c>
      <c r="AK25" s="87"/>
      <c r="AL25" s="87"/>
      <c r="AM25" s="87"/>
      <c r="AN25" s="87"/>
      <c r="AO25" s="87">
        <v>724.0</v>
      </c>
      <c r="AP25" s="87">
        <v>23.0</v>
      </c>
      <c r="AQ25" s="87">
        <v>20.0</v>
      </c>
      <c r="AR25" s="87"/>
      <c r="AS25" s="87">
        <v>763.0</v>
      </c>
      <c r="AT25" s="87"/>
      <c r="AU25" s="87">
        <v>1.0</v>
      </c>
      <c r="AV25" s="87"/>
      <c r="AW25" s="87"/>
      <c r="AX25" s="87">
        <v>3.0</v>
      </c>
      <c r="AY25" s="87"/>
      <c r="AZ25" s="87"/>
      <c r="BA25" s="87"/>
      <c r="BB25" s="87"/>
      <c r="BC25" s="87"/>
      <c r="BD25" s="87"/>
      <c r="BE25" s="87">
        <v>727.0</v>
      </c>
      <c r="BF25" s="87">
        <v>1.0</v>
      </c>
      <c r="BG25" s="87">
        <v>39.0</v>
      </c>
      <c r="BH25" s="87"/>
      <c r="BI25" s="87">
        <v>2870.0</v>
      </c>
      <c r="BJ25" s="87">
        <v>722.0</v>
      </c>
      <c r="BK25" s="87"/>
      <c r="BL25" s="87">
        <v>45.0</v>
      </c>
      <c r="BM25" s="87"/>
      <c r="BN25" s="87"/>
      <c r="BO25" s="87"/>
      <c r="BP25" s="87">
        <v>318.0</v>
      </c>
      <c r="BQ25" s="87">
        <v>59.0</v>
      </c>
      <c r="BR25" s="87">
        <v>10.0</v>
      </c>
      <c r="BS25" s="87">
        <v>158.0</v>
      </c>
      <c r="BT25" s="87">
        <v>2.0</v>
      </c>
      <c r="BU25" s="87"/>
      <c r="BV25" s="87">
        <v>29.0</v>
      </c>
      <c r="BW25" s="87">
        <v>26.0</v>
      </c>
      <c r="BX25" s="87">
        <v>146.0</v>
      </c>
      <c r="BY25" s="87"/>
      <c r="BZ25" s="87"/>
      <c r="CA25" s="87">
        <v>9.0</v>
      </c>
      <c r="CB25" s="87">
        <v>5.0</v>
      </c>
      <c r="CC25" s="87"/>
      <c r="CD25" s="87">
        <v>5.0</v>
      </c>
      <c r="CE25" s="87"/>
      <c r="CF25" s="87"/>
      <c r="CG25" s="87">
        <v>12.0</v>
      </c>
      <c r="CH25" s="87">
        <v>755.0</v>
      </c>
      <c r="CI25" s="87"/>
      <c r="CJ25" s="87">
        <v>528.0</v>
      </c>
      <c r="CK25" s="87">
        <v>129.0</v>
      </c>
      <c r="CL25" s="87">
        <v>79.0</v>
      </c>
      <c r="CM25" s="87">
        <v>2.0</v>
      </c>
      <c r="CN25" s="87"/>
      <c r="CO25" s="87">
        <v>17.0</v>
      </c>
      <c r="CP25" s="87">
        <v>2.0</v>
      </c>
      <c r="CQ25" s="87">
        <v>10.0</v>
      </c>
      <c r="CR25" s="87"/>
      <c r="CS25" s="87"/>
      <c r="CT25" s="87">
        <v>169.0</v>
      </c>
      <c r="CU25" s="87">
        <v>9.0</v>
      </c>
      <c r="CV25" s="87">
        <v>3.0</v>
      </c>
      <c r="CW25" s="87">
        <v>40.0</v>
      </c>
      <c r="CX25" s="87">
        <v>37.0</v>
      </c>
      <c r="CY25" s="87">
        <v>16.0</v>
      </c>
      <c r="CZ25" s="87"/>
      <c r="DA25" s="87"/>
      <c r="DB25" s="87">
        <v>124.0</v>
      </c>
      <c r="DC25" s="87">
        <v>87.0</v>
      </c>
      <c r="DD25" s="87">
        <v>93.0</v>
      </c>
      <c r="DE25" s="87">
        <v>38.0</v>
      </c>
      <c r="DF25" s="87">
        <v>28.0</v>
      </c>
      <c r="DG25" s="87">
        <v>40.0</v>
      </c>
      <c r="DH25" s="87"/>
      <c r="DI25" s="87"/>
      <c r="DJ25" s="87"/>
      <c r="DK25" s="87">
        <v>13.0</v>
      </c>
      <c r="DL25" s="87">
        <v>67.0</v>
      </c>
      <c r="DM25" s="87">
        <v>3.0</v>
      </c>
      <c r="DN25" s="87"/>
      <c r="DO25" s="87">
        <v>145.0</v>
      </c>
      <c r="DP25" s="87"/>
      <c r="DQ25" s="87">
        <v>56.0</v>
      </c>
      <c r="DR25" s="87">
        <v>48.0</v>
      </c>
      <c r="DS25" s="87"/>
      <c r="DT25" s="87"/>
      <c r="DU25" s="87"/>
      <c r="DV25" s="87">
        <v>1.0</v>
      </c>
      <c r="DW25" s="87">
        <v>1.0</v>
      </c>
      <c r="DX25" s="87">
        <v>17.0</v>
      </c>
      <c r="DY25" s="87">
        <v>51.0</v>
      </c>
      <c r="DZ25" s="87">
        <v>7.0</v>
      </c>
      <c r="EA25" s="87"/>
      <c r="EB25" s="87">
        <v>4.0</v>
      </c>
      <c r="EC25" s="87"/>
      <c r="ED25" s="87">
        <v>433.0</v>
      </c>
      <c r="EE25" s="87">
        <v>4.0</v>
      </c>
      <c r="EF25" s="87"/>
      <c r="EG25" s="87">
        <v>6.0</v>
      </c>
      <c r="EH25" s="87"/>
      <c r="EI25" s="87">
        <v>12.0</v>
      </c>
      <c r="EJ25" s="87">
        <v>749.0</v>
      </c>
      <c r="EK25" s="88"/>
      <c r="EL25" s="88"/>
      <c r="EM25" s="88"/>
      <c r="EN25" s="88"/>
      <c r="EO25" s="88"/>
      <c r="EP25" s="88"/>
      <c r="EQ25" s="90"/>
    </row>
    <row r="26" ht="12.0" customHeight="1">
      <c r="A26" s="89">
        <v>1.0606087E8</v>
      </c>
      <c r="B26" s="89" t="s">
        <v>579</v>
      </c>
      <c r="C26" s="89" t="s">
        <v>580</v>
      </c>
      <c r="D26" s="89" t="s">
        <v>581</v>
      </c>
      <c r="E26" s="89" t="s">
        <v>582</v>
      </c>
      <c r="F26" s="89" t="s">
        <v>580</v>
      </c>
      <c r="G26" s="89" t="s">
        <v>583</v>
      </c>
      <c r="H26" s="89" t="s">
        <v>475</v>
      </c>
      <c r="I26" s="89" t="s">
        <v>543</v>
      </c>
      <c r="J26" s="89" t="s">
        <v>499</v>
      </c>
      <c r="K26" s="89" t="s">
        <v>554</v>
      </c>
      <c r="L26" s="89" t="s">
        <v>555</v>
      </c>
      <c r="M26" s="89" t="s">
        <v>584</v>
      </c>
      <c r="N26" s="89" t="s">
        <v>547</v>
      </c>
      <c r="O26" s="87">
        <v>538.0</v>
      </c>
      <c r="P26" s="87">
        <v>255.0</v>
      </c>
      <c r="Q26" s="87"/>
      <c r="R26" s="87"/>
      <c r="S26" s="87"/>
      <c r="T26" s="87"/>
      <c r="U26" s="87">
        <v>364.0</v>
      </c>
      <c r="V26" s="87">
        <v>429.0</v>
      </c>
      <c r="W26" s="87"/>
      <c r="X26" s="87"/>
      <c r="Y26" s="87"/>
      <c r="Z26" s="87">
        <v>15.0</v>
      </c>
      <c r="AA26" s="87">
        <v>30.0</v>
      </c>
      <c r="AB26" s="87">
        <v>55.0</v>
      </c>
      <c r="AC26" s="87">
        <v>86.0</v>
      </c>
      <c r="AD26" s="87">
        <v>164.0</v>
      </c>
      <c r="AE26" s="87">
        <v>197.0</v>
      </c>
      <c r="AF26" s="87">
        <v>245.0</v>
      </c>
      <c r="AG26" s="87">
        <v>1.0</v>
      </c>
      <c r="AH26" s="87">
        <v>140.0</v>
      </c>
      <c r="AI26" s="87">
        <v>653.0</v>
      </c>
      <c r="AJ26" s="87"/>
      <c r="AK26" s="87"/>
      <c r="AL26" s="87">
        <v>16.0</v>
      </c>
      <c r="AM26" s="87"/>
      <c r="AN26" s="87">
        <v>12.0</v>
      </c>
      <c r="AO26" s="87">
        <v>697.0</v>
      </c>
      <c r="AP26" s="87">
        <v>22.0</v>
      </c>
      <c r="AQ26" s="87"/>
      <c r="AR26" s="87">
        <v>46.0</v>
      </c>
      <c r="AS26" s="87">
        <v>465.0</v>
      </c>
      <c r="AT26" s="87">
        <v>1.0</v>
      </c>
      <c r="AU26" s="87">
        <v>176.0</v>
      </c>
      <c r="AV26" s="87">
        <v>1.0</v>
      </c>
      <c r="AW26" s="87">
        <v>1.0</v>
      </c>
      <c r="AX26" s="87">
        <v>149.0</v>
      </c>
      <c r="AY26" s="87"/>
      <c r="AZ26" s="87"/>
      <c r="BA26" s="87"/>
      <c r="BB26" s="87"/>
      <c r="BC26" s="87"/>
      <c r="BD26" s="87"/>
      <c r="BE26" s="87">
        <v>441.0</v>
      </c>
      <c r="BF26" s="87">
        <v>56.0</v>
      </c>
      <c r="BG26" s="87">
        <v>296.0</v>
      </c>
      <c r="BH26" s="87"/>
      <c r="BI26" s="87">
        <v>7822.0</v>
      </c>
      <c r="BJ26" s="87">
        <v>40.0</v>
      </c>
      <c r="BK26" s="87">
        <v>741.0</v>
      </c>
      <c r="BL26" s="87">
        <v>12.0</v>
      </c>
      <c r="BM26" s="87"/>
      <c r="BN26" s="87"/>
      <c r="BO26" s="87"/>
      <c r="BP26" s="87">
        <v>355.0</v>
      </c>
      <c r="BQ26" s="87">
        <v>64.0</v>
      </c>
      <c r="BR26" s="87"/>
      <c r="BS26" s="87">
        <v>275.0</v>
      </c>
      <c r="BT26" s="87"/>
      <c r="BU26" s="87"/>
      <c r="BV26" s="87">
        <v>34.0</v>
      </c>
      <c r="BW26" s="87">
        <v>29.0</v>
      </c>
      <c r="BX26" s="87">
        <v>30.0</v>
      </c>
      <c r="BY26" s="87"/>
      <c r="BZ26" s="87"/>
      <c r="CA26" s="87">
        <v>5.0</v>
      </c>
      <c r="CB26" s="87">
        <v>1.0</v>
      </c>
      <c r="CC26" s="87"/>
      <c r="CD26" s="87"/>
      <c r="CE26" s="87"/>
      <c r="CF26" s="87"/>
      <c r="CG26" s="87">
        <v>282.0</v>
      </c>
      <c r="CH26" s="87">
        <v>511.0</v>
      </c>
      <c r="CI26" s="87"/>
      <c r="CJ26" s="87">
        <v>511.0</v>
      </c>
      <c r="CK26" s="87">
        <v>226.0</v>
      </c>
      <c r="CL26" s="87">
        <v>37.0</v>
      </c>
      <c r="CM26" s="87">
        <v>1.0</v>
      </c>
      <c r="CN26" s="87"/>
      <c r="CO26" s="87"/>
      <c r="CP26" s="87"/>
      <c r="CQ26" s="87">
        <v>12.0</v>
      </c>
      <c r="CR26" s="87">
        <v>6.0</v>
      </c>
      <c r="CS26" s="87"/>
      <c r="CT26" s="87">
        <v>291.0</v>
      </c>
      <c r="CU26" s="87">
        <v>4.0</v>
      </c>
      <c r="CV26" s="87">
        <v>5.0</v>
      </c>
      <c r="CW26" s="87">
        <v>41.0</v>
      </c>
      <c r="CX26" s="87">
        <v>18.0</v>
      </c>
      <c r="CY26" s="87">
        <v>25.0</v>
      </c>
      <c r="CZ26" s="87"/>
      <c r="DA26" s="87"/>
      <c r="DB26" s="87">
        <v>91.0</v>
      </c>
      <c r="DC26" s="87">
        <v>100.0</v>
      </c>
      <c r="DD26" s="87">
        <v>36.0</v>
      </c>
      <c r="DE26" s="87">
        <v>29.0</v>
      </c>
      <c r="DF26" s="87">
        <v>21.0</v>
      </c>
      <c r="DG26" s="87">
        <v>46.0</v>
      </c>
      <c r="DH26" s="87"/>
      <c r="DI26" s="87"/>
      <c r="DJ26" s="87"/>
      <c r="DK26" s="87">
        <v>33.0</v>
      </c>
      <c r="DL26" s="87">
        <v>45.0</v>
      </c>
      <c r="DM26" s="87">
        <v>7.0</v>
      </c>
      <c r="DN26" s="87">
        <v>1.0</v>
      </c>
      <c r="DO26" s="87">
        <v>509.0</v>
      </c>
      <c r="DP26" s="87"/>
      <c r="DQ26" s="87">
        <v>1.0</v>
      </c>
      <c r="DR26" s="87">
        <v>1.0</v>
      </c>
      <c r="DS26" s="87">
        <v>1.0</v>
      </c>
      <c r="DT26" s="87"/>
      <c r="DU26" s="87"/>
      <c r="DV26" s="87"/>
      <c r="DW26" s="87"/>
      <c r="DX26" s="87">
        <v>8.0</v>
      </c>
      <c r="DY26" s="87">
        <v>2.0</v>
      </c>
      <c r="DZ26" s="87"/>
      <c r="EA26" s="87"/>
      <c r="EB26" s="87">
        <v>58.0</v>
      </c>
      <c r="EC26" s="87">
        <v>12.0</v>
      </c>
      <c r="ED26" s="87">
        <v>198.0</v>
      </c>
      <c r="EE26" s="87">
        <v>3.0</v>
      </c>
      <c r="EF26" s="87"/>
      <c r="EG26" s="87">
        <v>24.0</v>
      </c>
      <c r="EH26" s="87"/>
      <c r="EI26" s="87">
        <v>8.0</v>
      </c>
      <c r="EJ26" s="87">
        <v>761.0</v>
      </c>
      <c r="EK26" s="88"/>
      <c r="EL26" s="88"/>
      <c r="EM26" s="88"/>
      <c r="EN26" s="88"/>
      <c r="EO26" s="88"/>
      <c r="EP26" s="88"/>
      <c r="EQ26" s="90"/>
    </row>
    <row r="27" ht="12.0" customHeight="1">
      <c r="A27" s="89">
        <v>1.06070924E8</v>
      </c>
      <c r="B27" s="89" t="s">
        <v>585</v>
      </c>
      <c r="C27" s="89" t="s">
        <v>586</v>
      </c>
      <c r="D27" s="89" t="s">
        <v>587</v>
      </c>
      <c r="E27" s="89" t="s">
        <v>588</v>
      </c>
      <c r="F27" s="89" t="s">
        <v>589</v>
      </c>
      <c r="G27" s="89" t="s">
        <v>590</v>
      </c>
      <c r="H27" s="89" t="s">
        <v>435</v>
      </c>
      <c r="I27" s="89" t="s">
        <v>543</v>
      </c>
      <c r="J27" s="89" t="s">
        <v>457</v>
      </c>
      <c r="K27" s="89" t="s">
        <v>555</v>
      </c>
      <c r="L27" s="89" t="s">
        <v>591</v>
      </c>
      <c r="M27" s="89" t="s">
        <v>592</v>
      </c>
      <c r="N27" s="89" t="s">
        <v>441</v>
      </c>
      <c r="O27" s="87">
        <v>7581.0</v>
      </c>
      <c r="P27" s="87"/>
      <c r="Q27" s="87">
        <v>712.0</v>
      </c>
      <c r="R27" s="87"/>
      <c r="S27" s="87"/>
      <c r="T27" s="87"/>
      <c r="U27" s="87">
        <v>3302.0</v>
      </c>
      <c r="V27" s="87">
        <v>4991.0</v>
      </c>
      <c r="W27" s="87"/>
      <c r="X27" s="87">
        <v>1882.0</v>
      </c>
      <c r="Y27" s="87">
        <v>170.0</v>
      </c>
      <c r="Z27" s="87">
        <v>1447.0</v>
      </c>
      <c r="AA27" s="87">
        <v>1523.0</v>
      </c>
      <c r="AB27" s="87">
        <v>750.0</v>
      </c>
      <c r="AC27" s="87">
        <v>863.0</v>
      </c>
      <c r="AD27" s="87">
        <v>848.0</v>
      </c>
      <c r="AE27" s="87">
        <v>500.0</v>
      </c>
      <c r="AF27" s="87">
        <v>310.0</v>
      </c>
      <c r="AG27" s="87"/>
      <c r="AH27" s="87">
        <v>3604.0</v>
      </c>
      <c r="AI27" s="87">
        <v>4123.0</v>
      </c>
      <c r="AJ27" s="87">
        <v>566.0</v>
      </c>
      <c r="AK27" s="87">
        <v>21.0</v>
      </c>
      <c r="AL27" s="87">
        <v>743.0</v>
      </c>
      <c r="AM27" s="87">
        <v>99.0</v>
      </c>
      <c r="AN27" s="87">
        <v>1183.0</v>
      </c>
      <c r="AO27" s="87">
        <v>2010.0</v>
      </c>
      <c r="AP27" s="87">
        <v>119.0</v>
      </c>
      <c r="AQ27" s="87">
        <v>3946.0</v>
      </c>
      <c r="AR27" s="87">
        <v>172.0</v>
      </c>
      <c r="AS27" s="87">
        <v>5135.0</v>
      </c>
      <c r="AT27" s="87">
        <v>636.0</v>
      </c>
      <c r="AU27" s="87">
        <v>305.0</v>
      </c>
      <c r="AV27" s="87">
        <v>30.0</v>
      </c>
      <c r="AW27" s="87"/>
      <c r="AX27" s="87">
        <v>353.0</v>
      </c>
      <c r="AY27" s="87">
        <v>1.0</v>
      </c>
      <c r="AZ27" s="87"/>
      <c r="BA27" s="87">
        <v>2.0</v>
      </c>
      <c r="BB27" s="87">
        <v>14.0</v>
      </c>
      <c r="BC27" s="87">
        <v>1817.0</v>
      </c>
      <c r="BD27" s="87"/>
      <c r="BE27" s="87">
        <v>5676.0</v>
      </c>
      <c r="BF27" s="87">
        <v>300.0</v>
      </c>
      <c r="BG27" s="87">
        <v>2317.0</v>
      </c>
      <c r="BH27" s="87"/>
      <c r="BI27" s="87">
        <v>40854.0</v>
      </c>
      <c r="BJ27" s="87">
        <v>131.0</v>
      </c>
      <c r="BK27" s="87">
        <v>5676.0</v>
      </c>
      <c r="BL27" s="87">
        <v>655.0</v>
      </c>
      <c r="BM27" s="87">
        <v>1817.0</v>
      </c>
      <c r="BN27" s="87"/>
      <c r="BO27" s="87">
        <v>14.0</v>
      </c>
      <c r="BP27" s="87">
        <v>7314.0</v>
      </c>
      <c r="BQ27" s="87">
        <v>428.0</v>
      </c>
      <c r="BR27" s="87"/>
      <c r="BS27" s="87">
        <v>3.0</v>
      </c>
      <c r="BT27" s="87">
        <v>313.0</v>
      </c>
      <c r="BU27" s="87">
        <v>55.0</v>
      </c>
      <c r="BV27" s="87">
        <v>3.0</v>
      </c>
      <c r="BW27" s="87">
        <v>58.0</v>
      </c>
      <c r="BX27" s="87">
        <v>15.0</v>
      </c>
      <c r="BY27" s="87"/>
      <c r="BZ27" s="87">
        <v>8.0</v>
      </c>
      <c r="CA27" s="87">
        <v>15.0</v>
      </c>
      <c r="CB27" s="87">
        <v>81.0</v>
      </c>
      <c r="CC27" s="87"/>
      <c r="CD27" s="87"/>
      <c r="CE27" s="87"/>
      <c r="CF27" s="87"/>
      <c r="CG27" s="87">
        <v>241.0</v>
      </c>
      <c r="CH27" s="87">
        <v>8052.0</v>
      </c>
      <c r="CI27" s="87"/>
      <c r="CJ27" s="87">
        <v>1175.0</v>
      </c>
      <c r="CK27" s="87">
        <v>6642.0</v>
      </c>
      <c r="CL27" s="87">
        <v>284.0</v>
      </c>
      <c r="CM27" s="87">
        <v>4.0</v>
      </c>
      <c r="CN27" s="87"/>
      <c r="CO27" s="87">
        <v>29.0</v>
      </c>
      <c r="CP27" s="87"/>
      <c r="CQ27" s="87">
        <v>159.0</v>
      </c>
      <c r="CR27" s="87"/>
      <c r="CS27" s="87"/>
      <c r="CT27" s="87">
        <v>427.0</v>
      </c>
      <c r="CU27" s="87">
        <v>143.0</v>
      </c>
      <c r="CV27" s="87">
        <v>58.0</v>
      </c>
      <c r="CW27" s="87">
        <v>310.0</v>
      </c>
      <c r="CX27" s="87">
        <v>1007.0</v>
      </c>
      <c r="CY27" s="87">
        <v>122.0</v>
      </c>
      <c r="CZ27" s="87">
        <v>10.0</v>
      </c>
      <c r="DA27" s="87">
        <v>5.0</v>
      </c>
      <c r="DB27" s="87">
        <v>635.0</v>
      </c>
      <c r="DC27" s="87">
        <v>271.0</v>
      </c>
      <c r="DD27" s="87">
        <v>697.0</v>
      </c>
      <c r="DE27" s="87">
        <v>150.0</v>
      </c>
      <c r="DF27" s="87">
        <v>88.0</v>
      </c>
      <c r="DG27" s="87">
        <v>242.0</v>
      </c>
      <c r="DH27" s="87">
        <v>1938.0</v>
      </c>
      <c r="DI27" s="87">
        <v>1881.0</v>
      </c>
      <c r="DJ27" s="87">
        <v>1.0</v>
      </c>
      <c r="DK27" s="87">
        <v>104.0</v>
      </c>
      <c r="DL27" s="87">
        <v>179.0</v>
      </c>
      <c r="DM27" s="87">
        <v>15.0</v>
      </c>
      <c r="DN27" s="87">
        <v>10.0</v>
      </c>
      <c r="DO27" s="87">
        <v>2133.0</v>
      </c>
      <c r="DP27" s="87">
        <v>1679.0</v>
      </c>
      <c r="DQ27" s="87">
        <v>80.0</v>
      </c>
      <c r="DR27" s="87">
        <v>572.0</v>
      </c>
      <c r="DS27" s="87">
        <v>4.0</v>
      </c>
      <c r="DT27" s="87">
        <v>6.0</v>
      </c>
      <c r="DU27" s="87">
        <v>2.0</v>
      </c>
      <c r="DV27" s="87">
        <v>193.0</v>
      </c>
      <c r="DW27" s="87">
        <v>20.0</v>
      </c>
      <c r="DX27" s="87">
        <v>100.0</v>
      </c>
      <c r="DY27" s="87">
        <v>204.0</v>
      </c>
      <c r="DZ27" s="87">
        <v>39.0</v>
      </c>
      <c r="EA27" s="87">
        <v>30.0</v>
      </c>
      <c r="EB27" s="87">
        <v>26.0</v>
      </c>
      <c r="EC27" s="87">
        <v>29.0</v>
      </c>
      <c r="ED27" s="87">
        <v>2976.0</v>
      </c>
      <c r="EE27" s="87">
        <v>200.0</v>
      </c>
      <c r="EF27" s="87">
        <v>3.0</v>
      </c>
      <c r="EG27" s="87">
        <v>393.0</v>
      </c>
      <c r="EH27" s="87"/>
      <c r="EI27" s="87">
        <v>24.0</v>
      </c>
      <c r="EJ27" s="87">
        <v>7873.0</v>
      </c>
      <c r="EK27" s="88"/>
      <c r="EL27" s="88"/>
      <c r="EM27" s="88"/>
      <c r="EN27" s="88"/>
      <c r="EO27" s="88"/>
      <c r="EP27" s="88"/>
      <c r="EQ27" s="90"/>
    </row>
    <row r="28" ht="12.0" customHeight="1">
      <c r="A28" s="89">
        <v>1.06070934E8</v>
      </c>
      <c r="B28" s="89" t="s">
        <v>593</v>
      </c>
      <c r="C28" s="89" t="s">
        <v>586</v>
      </c>
      <c r="D28" s="89" t="s">
        <v>594</v>
      </c>
      <c r="E28" s="89" t="s">
        <v>595</v>
      </c>
      <c r="F28" s="89" t="s">
        <v>596</v>
      </c>
      <c r="G28" s="89" t="s">
        <v>597</v>
      </c>
      <c r="H28" s="89" t="s">
        <v>447</v>
      </c>
      <c r="I28" s="89" t="s">
        <v>543</v>
      </c>
      <c r="J28" s="89" t="s">
        <v>437</v>
      </c>
      <c r="K28" s="89" t="s">
        <v>511</v>
      </c>
      <c r="L28" s="89" t="s">
        <v>598</v>
      </c>
      <c r="M28" s="89" t="s">
        <v>599</v>
      </c>
      <c r="N28" s="89" t="s">
        <v>441</v>
      </c>
      <c r="O28" s="87">
        <v>6405.0</v>
      </c>
      <c r="P28" s="87"/>
      <c r="Q28" s="87"/>
      <c r="R28" s="87"/>
      <c r="S28" s="87"/>
      <c r="T28" s="87"/>
      <c r="U28" s="87">
        <v>2995.0</v>
      </c>
      <c r="V28" s="87">
        <v>3410.0</v>
      </c>
      <c r="W28" s="87"/>
      <c r="X28" s="87">
        <v>449.0</v>
      </c>
      <c r="Y28" s="87">
        <v>60.0</v>
      </c>
      <c r="Z28" s="87">
        <v>405.0</v>
      </c>
      <c r="AA28" s="87">
        <v>635.0</v>
      </c>
      <c r="AB28" s="87">
        <v>505.0</v>
      </c>
      <c r="AC28" s="87">
        <v>972.0</v>
      </c>
      <c r="AD28" s="87">
        <v>1222.0</v>
      </c>
      <c r="AE28" s="87">
        <v>1104.0</v>
      </c>
      <c r="AF28" s="87">
        <v>1053.0</v>
      </c>
      <c r="AG28" s="87"/>
      <c r="AH28" s="87">
        <v>1517.0</v>
      </c>
      <c r="AI28" s="87">
        <v>4825.0</v>
      </c>
      <c r="AJ28" s="87">
        <v>63.0</v>
      </c>
      <c r="AK28" s="87">
        <v>17.0</v>
      </c>
      <c r="AL28" s="87">
        <v>393.0</v>
      </c>
      <c r="AM28" s="87">
        <v>296.0</v>
      </c>
      <c r="AN28" s="87">
        <v>1419.0</v>
      </c>
      <c r="AO28" s="87">
        <v>3065.0</v>
      </c>
      <c r="AP28" s="87">
        <v>54.0</v>
      </c>
      <c r="AQ28" s="87">
        <v>1064.0</v>
      </c>
      <c r="AR28" s="87">
        <v>97.0</v>
      </c>
      <c r="AS28" s="87">
        <v>5688.0</v>
      </c>
      <c r="AT28" s="87">
        <v>50.0</v>
      </c>
      <c r="AU28" s="87">
        <v>62.0</v>
      </c>
      <c r="AV28" s="87">
        <v>158.0</v>
      </c>
      <c r="AW28" s="87">
        <v>5.0</v>
      </c>
      <c r="AX28" s="87"/>
      <c r="AY28" s="87">
        <v>1.0</v>
      </c>
      <c r="AZ28" s="87">
        <v>1.0</v>
      </c>
      <c r="BA28" s="87">
        <v>2.0</v>
      </c>
      <c r="BB28" s="87">
        <v>1.0</v>
      </c>
      <c r="BC28" s="87">
        <v>437.0</v>
      </c>
      <c r="BD28" s="87"/>
      <c r="BE28" s="87">
        <v>5392.0</v>
      </c>
      <c r="BF28" s="87">
        <v>13.0</v>
      </c>
      <c r="BG28" s="87">
        <v>1000.0</v>
      </c>
      <c r="BH28" s="87"/>
      <c r="BI28" s="87">
        <v>25435.0</v>
      </c>
      <c r="BJ28" s="87">
        <v>4184.0</v>
      </c>
      <c r="BK28" s="87">
        <v>1538.0</v>
      </c>
      <c r="BL28" s="87">
        <v>246.0</v>
      </c>
      <c r="BM28" s="87">
        <v>437.0</v>
      </c>
      <c r="BN28" s="87"/>
      <c r="BO28" s="87"/>
      <c r="BP28" s="87">
        <v>3434.0</v>
      </c>
      <c r="BQ28" s="87">
        <v>274.0</v>
      </c>
      <c r="BR28" s="87">
        <v>4.0</v>
      </c>
      <c r="BS28" s="87">
        <v>657.0</v>
      </c>
      <c r="BT28" s="87">
        <v>69.0</v>
      </c>
      <c r="BU28" s="87">
        <v>1.0</v>
      </c>
      <c r="BV28" s="87">
        <v>245.0</v>
      </c>
      <c r="BW28" s="87">
        <v>181.0</v>
      </c>
      <c r="BX28" s="87">
        <v>1410.0</v>
      </c>
      <c r="BY28" s="87"/>
      <c r="BZ28" s="87">
        <v>1.0</v>
      </c>
      <c r="CA28" s="87">
        <v>113.0</v>
      </c>
      <c r="CB28" s="87">
        <v>13.0</v>
      </c>
      <c r="CC28" s="87"/>
      <c r="CD28" s="87">
        <v>3.0</v>
      </c>
      <c r="CE28" s="87"/>
      <c r="CF28" s="87"/>
      <c r="CG28" s="87">
        <v>236.0</v>
      </c>
      <c r="CH28" s="87">
        <v>6169.0</v>
      </c>
      <c r="CI28" s="87"/>
      <c r="CJ28" s="87">
        <v>2676.0</v>
      </c>
      <c r="CK28" s="87">
        <v>2110.0</v>
      </c>
      <c r="CL28" s="87">
        <v>1313.0</v>
      </c>
      <c r="CM28" s="87">
        <v>3.0</v>
      </c>
      <c r="CN28" s="87"/>
      <c r="CO28" s="87">
        <v>204.0</v>
      </c>
      <c r="CP28" s="87"/>
      <c r="CQ28" s="87">
        <v>94.0</v>
      </c>
      <c r="CR28" s="87">
        <v>5.0</v>
      </c>
      <c r="CS28" s="87"/>
      <c r="CT28" s="87">
        <v>1201.0</v>
      </c>
      <c r="CU28" s="87">
        <v>68.0</v>
      </c>
      <c r="CV28" s="87">
        <v>92.0</v>
      </c>
      <c r="CW28" s="87">
        <v>421.0</v>
      </c>
      <c r="CX28" s="87">
        <v>105.0</v>
      </c>
      <c r="CY28" s="87">
        <v>179.0</v>
      </c>
      <c r="CZ28" s="87">
        <v>2.0</v>
      </c>
      <c r="DA28" s="87">
        <v>3.0</v>
      </c>
      <c r="DB28" s="87">
        <v>1289.0</v>
      </c>
      <c r="DC28" s="87">
        <v>478.0</v>
      </c>
      <c r="DD28" s="87">
        <v>705.0</v>
      </c>
      <c r="DE28" s="87">
        <v>91.0</v>
      </c>
      <c r="DF28" s="87">
        <v>87.0</v>
      </c>
      <c r="DG28" s="87">
        <v>307.0</v>
      </c>
      <c r="DH28" s="87">
        <v>468.0</v>
      </c>
      <c r="DI28" s="87">
        <v>449.0</v>
      </c>
      <c r="DJ28" s="87">
        <v>2.0</v>
      </c>
      <c r="DK28" s="87">
        <v>117.0</v>
      </c>
      <c r="DL28" s="87">
        <v>331.0</v>
      </c>
      <c r="DM28" s="87">
        <v>10.0</v>
      </c>
      <c r="DN28" s="87"/>
      <c r="DO28" s="87">
        <v>941.0</v>
      </c>
      <c r="DP28" s="87">
        <v>431.0</v>
      </c>
      <c r="DQ28" s="87">
        <v>779.0</v>
      </c>
      <c r="DR28" s="87">
        <v>579.0</v>
      </c>
      <c r="DS28" s="87">
        <v>3.0</v>
      </c>
      <c r="DT28" s="87"/>
      <c r="DU28" s="87"/>
      <c r="DV28" s="87">
        <v>50.0</v>
      </c>
      <c r="DW28" s="87">
        <v>8.0</v>
      </c>
      <c r="DX28" s="87">
        <v>86.0</v>
      </c>
      <c r="DY28" s="87">
        <v>194.0</v>
      </c>
      <c r="DZ28" s="87">
        <v>33.0</v>
      </c>
      <c r="EA28" s="87">
        <v>17.0</v>
      </c>
      <c r="EB28" s="87">
        <v>100.0</v>
      </c>
      <c r="EC28" s="87">
        <v>78.0</v>
      </c>
      <c r="ED28" s="87">
        <v>2837.0</v>
      </c>
      <c r="EE28" s="87">
        <v>269.0</v>
      </c>
      <c r="EF28" s="87">
        <v>17.0</v>
      </c>
      <c r="EG28" s="87">
        <v>244.0</v>
      </c>
      <c r="EH28" s="87">
        <v>4.0</v>
      </c>
      <c r="EI28" s="87">
        <v>49.0</v>
      </c>
      <c r="EJ28" s="87">
        <v>6091.0</v>
      </c>
      <c r="EK28" s="88"/>
      <c r="EL28" s="88"/>
      <c r="EM28" s="88"/>
      <c r="EN28" s="88"/>
      <c r="EO28" s="88"/>
      <c r="EP28" s="88"/>
      <c r="EQ28" s="90"/>
    </row>
    <row r="29" ht="12.0" customHeight="1">
      <c r="A29" s="89">
        <v>1.06070988E8</v>
      </c>
      <c r="B29" s="89" t="s">
        <v>600</v>
      </c>
      <c r="C29" s="89" t="s">
        <v>586</v>
      </c>
      <c r="D29" s="89" t="s">
        <v>601</v>
      </c>
      <c r="E29" s="89" t="s">
        <v>602</v>
      </c>
      <c r="F29" s="89" t="s">
        <v>603</v>
      </c>
      <c r="G29" s="89" t="s">
        <v>604</v>
      </c>
      <c r="H29" s="89" t="s">
        <v>447</v>
      </c>
      <c r="I29" s="89" t="s">
        <v>543</v>
      </c>
      <c r="J29" s="89" t="s">
        <v>605</v>
      </c>
      <c r="K29" s="89" t="s">
        <v>511</v>
      </c>
      <c r="L29" s="89" t="s">
        <v>512</v>
      </c>
      <c r="M29" s="89" t="s">
        <v>606</v>
      </c>
      <c r="N29" s="89" t="s">
        <v>441</v>
      </c>
      <c r="O29" s="87">
        <v>21538.0</v>
      </c>
      <c r="P29" s="87"/>
      <c r="Q29" s="87"/>
      <c r="R29" s="87"/>
      <c r="S29" s="87">
        <v>420.0</v>
      </c>
      <c r="T29" s="87"/>
      <c r="U29" s="87">
        <v>9187.0</v>
      </c>
      <c r="V29" s="87">
        <v>12771.0</v>
      </c>
      <c r="W29" s="87"/>
      <c r="X29" s="87">
        <v>3824.0</v>
      </c>
      <c r="Y29" s="87">
        <v>424.0</v>
      </c>
      <c r="Z29" s="87">
        <v>1256.0</v>
      </c>
      <c r="AA29" s="87">
        <v>3049.0</v>
      </c>
      <c r="AB29" s="87">
        <v>1183.0</v>
      </c>
      <c r="AC29" s="87">
        <v>1717.0</v>
      </c>
      <c r="AD29" s="87">
        <v>2752.0</v>
      </c>
      <c r="AE29" s="87">
        <v>3626.0</v>
      </c>
      <c r="AF29" s="87">
        <v>4127.0</v>
      </c>
      <c r="AG29" s="87"/>
      <c r="AH29" s="87">
        <v>3500.0</v>
      </c>
      <c r="AI29" s="87">
        <v>17555.0</v>
      </c>
      <c r="AJ29" s="87">
        <v>903.0</v>
      </c>
      <c r="AK29" s="87">
        <v>63.0</v>
      </c>
      <c r="AL29" s="87">
        <v>2444.0</v>
      </c>
      <c r="AM29" s="87">
        <v>172.0</v>
      </c>
      <c r="AN29" s="87">
        <v>1388.0</v>
      </c>
      <c r="AO29" s="87">
        <v>13711.0</v>
      </c>
      <c r="AP29" s="87">
        <v>888.0</v>
      </c>
      <c r="AQ29" s="87">
        <v>2500.0</v>
      </c>
      <c r="AR29" s="87">
        <v>792.0</v>
      </c>
      <c r="AS29" s="87">
        <v>15808.0</v>
      </c>
      <c r="AT29" s="87">
        <v>415.0</v>
      </c>
      <c r="AU29" s="87">
        <v>1908.0</v>
      </c>
      <c r="AV29" s="87">
        <v>771.0</v>
      </c>
      <c r="AW29" s="87">
        <v>6.0</v>
      </c>
      <c r="AX29" s="87">
        <v>25.0</v>
      </c>
      <c r="AY29" s="87">
        <v>5.0</v>
      </c>
      <c r="AZ29" s="87">
        <v>1.0</v>
      </c>
      <c r="BA29" s="87"/>
      <c r="BB29" s="87">
        <v>31.0</v>
      </c>
      <c r="BC29" s="87">
        <v>2988.0</v>
      </c>
      <c r="BD29" s="87"/>
      <c r="BE29" s="87">
        <v>11730.0</v>
      </c>
      <c r="BF29" s="87">
        <v>616.0</v>
      </c>
      <c r="BG29" s="87">
        <v>9612.0</v>
      </c>
      <c r="BH29" s="87"/>
      <c r="BI29" s="87">
        <v>117891.0</v>
      </c>
      <c r="BJ29" s="87">
        <v>11081.0</v>
      </c>
      <c r="BK29" s="87">
        <v>1158.0</v>
      </c>
      <c r="BL29" s="87">
        <v>5513.0</v>
      </c>
      <c r="BM29" s="87">
        <v>2988.0</v>
      </c>
      <c r="BN29" s="87">
        <v>1200.0</v>
      </c>
      <c r="BO29" s="87">
        <v>18.0</v>
      </c>
      <c r="BP29" s="87">
        <v>11682.0</v>
      </c>
      <c r="BQ29" s="87">
        <v>537.0</v>
      </c>
      <c r="BR29" s="87">
        <v>266.0</v>
      </c>
      <c r="BS29" s="87">
        <v>2586.0</v>
      </c>
      <c r="BT29" s="87">
        <v>11.0</v>
      </c>
      <c r="BU29" s="87">
        <v>14.0</v>
      </c>
      <c r="BV29" s="87">
        <v>188.0</v>
      </c>
      <c r="BW29" s="87">
        <v>697.0</v>
      </c>
      <c r="BX29" s="87">
        <v>5451.0</v>
      </c>
      <c r="BY29" s="87"/>
      <c r="BZ29" s="87">
        <v>39.0</v>
      </c>
      <c r="CA29" s="87">
        <v>366.0</v>
      </c>
      <c r="CB29" s="87">
        <v>107.0</v>
      </c>
      <c r="CC29" s="87"/>
      <c r="CD29" s="87">
        <v>6.0</v>
      </c>
      <c r="CE29" s="87">
        <v>8.0</v>
      </c>
      <c r="CF29" s="87"/>
      <c r="CG29" s="87">
        <v>1253.0</v>
      </c>
      <c r="CH29" s="87">
        <v>20705.0</v>
      </c>
      <c r="CI29" s="87"/>
      <c r="CJ29" s="87">
        <v>8743.0</v>
      </c>
      <c r="CK29" s="87">
        <v>3271.0</v>
      </c>
      <c r="CL29" s="87">
        <v>8736.0</v>
      </c>
      <c r="CM29" s="87">
        <v>149.0</v>
      </c>
      <c r="CN29" s="87"/>
      <c r="CO29" s="87">
        <v>537.0</v>
      </c>
      <c r="CP29" s="87"/>
      <c r="CQ29" s="87">
        <v>507.0</v>
      </c>
      <c r="CR29" s="87">
        <v>15.0</v>
      </c>
      <c r="CS29" s="87"/>
      <c r="CT29" s="87">
        <v>1739.0</v>
      </c>
      <c r="CU29" s="87">
        <v>987.0</v>
      </c>
      <c r="CV29" s="87">
        <v>147.0</v>
      </c>
      <c r="CW29" s="87">
        <v>633.0</v>
      </c>
      <c r="CX29" s="87">
        <v>201.0</v>
      </c>
      <c r="CY29" s="87">
        <v>476.0</v>
      </c>
      <c r="CZ29" s="87">
        <v>14.0</v>
      </c>
      <c r="DA29" s="87">
        <v>7.0</v>
      </c>
      <c r="DB29" s="87">
        <v>2182.0</v>
      </c>
      <c r="DC29" s="87">
        <v>1240.0</v>
      </c>
      <c r="DD29" s="87">
        <v>1722.0</v>
      </c>
      <c r="DE29" s="87">
        <v>259.0</v>
      </c>
      <c r="DF29" s="87">
        <v>1681.0</v>
      </c>
      <c r="DG29" s="87">
        <v>816.0</v>
      </c>
      <c r="DH29" s="87">
        <v>3213.0</v>
      </c>
      <c r="DI29" s="87">
        <v>3150.0</v>
      </c>
      <c r="DJ29" s="87">
        <v>27.0</v>
      </c>
      <c r="DK29" s="87">
        <v>214.0</v>
      </c>
      <c r="DL29" s="87">
        <v>3007.0</v>
      </c>
      <c r="DM29" s="87">
        <v>242.0</v>
      </c>
      <c r="DN29" s="87">
        <v>1.0</v>
      </c>
      <c r="DO29" s="87">
        <v>846.0</v>
      </c>
      <c r="DP29" s="87">
        <v>2941.0</v>
      </c>
      <c r="DQ29" s="87">
        <v>1072.0</v>
      </c>
      <c r="DR29" s="87">
        <v>1844.0</v>
      </c>
      <c r="DS29" s="87">
        <v>12.0</v>
      </c>
      <c r="DT29" s="87">
        <v>22.0</v>
      </c>
      <c r="DU29" s="87">
        <v>12.0</v>
      </c>
      <c r="DV29" s="87">
        <v>790.0</v>
      </c>
      <c r="DW29" s="87">
        <v>171.0</v>
      </c>
      <c r="DX29" s="87">
        <v>527.0</v>
      </c>
      <c r="DY29" s="87">
        <v>2661.0</v>
      </c>
      <c r="DZ29" s="87">
        <v>507.0</v>
      </c>
      <c r="EA29" s="87">
        <v>119.0</v>
      </c>
      <c r="EB29" s="87">
        <v>564.0</v>
      </c>
      <c r="EC29" s="87">
        <v>179.0</v>
      </c>
      <c r="ED29" s="87">
        <v>9138.0</v>
      </c>
      <c r="EE29" s="87">
        <v>553.0</v>
      </c>
      <c r="EF29" s="87">
        <v>25.0</v>
      </c>
      <c r="EG29" s="87">
        <v>291.0</v>
      </c>
      <c r="EH29" s="87">
        <v>4.0</v>
      </c>
      <c r="EI29" s="87">
        <v>136.0</v>
      </c>
      <c r="EJ29" s="87">
        <v>21502.0</v>
      </c>
      <c r="EK29" s="88"/>
      <c r="EL29" s="88"/>
      <c r="EM29" s="88"/>
      <c r="EN29" s="88"/>
      <c r="EO29" s="88"/>
      <c r="EP29" s="88"/>
      <c r="EQ29" s="90"/>
    </row>
    <row r="30" ht="12.0" customHeight="1">
      <c r="A30" s="89">
        <v>1.0607099E8</v>
      </c>
      <c r="B30" s="89" t="s">
        <v>607</v>
      </c>
      <c r="C30" s="89" t="s">
        <v>586</v>
      </c>
      <c r="D30" s="89" t="s">
        <v>608</v>
      </c>
      <c r="E30" s="89" t="s">
        <v>609</v>
      </c>
      <c r="F30" s="89" t="s">
        <v>603</v>
      </c>
      <c r="G30" s="89" t="s">
        <v>610</v>
      </c>
      <c r="H30" s="89" t="s">
        <v>447</v>
      </c>
      <c r="I30" s="89" t="s">
        <v>543</v>
      </c>
      <c r="J30" s="89" t="s">
        <v>469</v>
      </c>
      <c r="K30" s="89" t="s">
        <v>511</v>
      </c>
      <c r="L30" s="89" t="s">
        <v>512</v>
      </c>
      <c r="M30" s="89" t="s">
        <v>606</v>
      </c>
      <c r="N30" s="89" t="s">
        <v>441</v>
      </c>
      <c r="O30" s="87">
        <v>14977.0</v>
      </c>
      <c r="P30" s="87"/>
      <c r="Q30" s="87"/>
      <c r="R30" s="87"/>
      <c r="S30" s="87"/>
      <c r="T30" s="87"/>
      <c r="U30" s="87">
        <v>6042.0</v>
      </c>
      <c r="V30" s="87">
        <v>8935.0</v>
      </c>
      <c r="W30" s="87"/>
      <c r="X30" s="87">
        <v>3308.0</v>
      </c>
      <c r="Y30" s="87">
        <v>120.0</v>
      </c>
      <c r="Z30" s="87">
        <v>867.0</v>
      </c>
      <c r="AA30" s="87">
        <v>2574.0</v>
      </c>
      <c r="AB30" s="87">
        <v>773.0</v>
      </c>
      <c r="AC30" s="87">
        <v>896.0</v>
      </c>
      <c r="AD30" s="87">
        <v>1523.0</v>
      </c>
      <c r="AE30" s="87">
        <v>2021.0</v>
      </c>
      <c r="AF30" s="87">
        <v>2895.0</v>
      </c>
      <c r="AG30" s="87"/>
      <c r="AH30" s="87">
        <v>2051.0</v>
      </c>
      <c r="AI30" s="87">
        <v>12633.0</v>
      </c>
      <c r="AJ30" s="87">
        <v>293.0</v>
      </c>
      <c r="AK30" s="87">
        <v>34.0</v>
      </c>
      <c r="AL30" s="87">
        <v>2854.0</v>
      </c>
      <c r="AM30" s="87">
        <v>64.0</v>
      </c>
      <c r="AN30" s="87">
        <v>790.0</v>
      </c>
      <c r="AO30" s="87">
        <v>8570.0</v>
      </c>
      <c r="AP30" s="87">
        <v>237.0</v>
      </c>
      <c r="AQ30" s="87">
        <v>2201.0</v>
      </c>
      <c r="AR30" s="87">
        <v>227.0</v>
      </c>
      <c r="AS30" s="87">
        <v>10115.0</v>
      </c>
      <c r="AT30" s="87">
        <v>273.0</v>
      </c>
      <c r="AU30" s="87">
        <v>564.0</v>
      </c>
      <c r="AV30" s="87">
        <v>430.0</v>
      </c>
      <c r="AW30" s="87">
        <v>483.0</v>
      </c>
      <c r="AX30" s="87">
        <v>1.0</v>
      </c>
      <c r="AY30" s="87">
        <v>1.0</v>
      </c>
      <c r="AZ30" s="87"/>
      <c r="BA30" s="87"/>
      <c r="BB30" s="87">
        <v>46.0</v>
      </c>
      <c r="BC30" s="87">
        <v>3064.0</v>
      </c>
      <c r="BD30" s="87"/>
      <c r="BE30" s="87">
        <v>7517.0</v>
      </c>
      <c r="BF30" s="87">
        <v>256.0</v>
      </c>
      <c r="BG30" s="87">
        <v>7204.0</v>
      </c>
      <c r="BH30" s="87"/>
      <c r="BI30" s="87">
        <v>57707.0</v>
      </c>
      <c r="BJ30" s="87">
        <v>1770.0</v>
      </c>
      <c r="BK30" s="87">
        <v>9263.0</v>
      </c>
      <c r="BL30" s="87">
        <v>867.0</v>
      </c>
      <c r="BM30" s="87">
        <v>3064.0</v>
      </c>
      <c r="BN30" s="87"/>
      <c r="BO30" s="87">
        <v>13.0</v>
      </c>
      <c r="BP30" s="87">
        <v>10256.0</v>
      </c>
      <c r="BQ30" s="87">
        <v>325.0</v>
      </c>
      <c r="BR30" s="87">
        <v>56.0</v>
      </c>
      <c r="BS30" s="87">
        <v>1373.0</v>
      </c>
      <c r="BT30" s="87">
        <v>5.0</v>
      </c>
      <c r="BU30" s="87"/>
      <c r="BV30" s="87">
        <v>88.0</v>
      </c>
      <c r="BW30" s="87">
        <v>361.0</v>
      </c>
      <c r="BX30" s="87">
        <v>2136.0</v>
      </c>
      <c r="BY30" s="87"/>
      <c r="BZ30" s="87"/>
      <c r="CA30" s="87">
        <v>318.0</v>
      </c>
      <c r="CB30" s="87">
        <v>11.0</v>
      </c>
      <c r="CC30" s="87"/>
      <c r="CD30" s="87">
        <v>11.0</v>
      </c>
      <c r="CE30" s="87">
        <v>37.0</v>
      </c>
      <c r="CF30" s="87"/>
      <c r="CG30" s="87">
        <v>1934.0</v>
      </c>
      <c r="CH30" s="87">
        <v>13043.0</v>
      </c>
      <c r="CI30" s="87"/>
      <c r="CJ30" s="87">
        <v>5686.0</v>
      </c>
      <c r="CK30" s="87">
        <v>780.0</v>
      </c>
      <c r="CL30" s="87">
        <v>8402.0</v>
      </c>
      <c r="CM30" s="87">
        <v>5.0</v>
      </c>
      <c r="CN30" s="87"/>
      <c r="CO30" s="87">
        <v>11.0</v>
      </c>
      <c r="CP30" s="87"/>
      <c r="CQ30" s="87">
        <v>92.0</v>
      </c>
      <c r="CR30" s="87">
        <v>1.0</v>
      </c>
      <c r="CS30" s="87"/>
      <c r="CT30" s="87">
        <v>1843.0</v>
      </c>
      <c r="CU30" s="87">
        <v>326.0</v>
      </c>
      <c r="CV30" s="87">
        <v>95.0</v>
      </c>
      <c r="CW30" s="87">
        <v>345.0</v>
      </c>
      <c r="CX30" s="87">
        <v>147.0</v>
      </c>
      <c r="CY30" s="87">
        <v>230.0</v>
      </c>
      <c r="CZ30" s="87">
        <v>14.0</v>
      </c>
      <c r="DA30" s="87">
        <v>4.0</v>
      </c>
      <c r="DB30" s="87">
        <v>1776.0</v>
      </c>
      <c r="DC30" s="87">
        <v>701.0</v>
      </c>
      <c r="DD30" s="87">
        <v>1137.0</v>
      </c>
      <c r="DE30" s="87">
        <v>200.0</v>
      </c>
      <c r="DF30" s="87">
        <v>139.0</v>
      </c>
      <c r="DG30" s="87">
        <v>481.0</v>
      </c>
      <c r="DH30" s="87">
        <v>3244.0</v>
      </c>
      <c r="DI30" s="87">
        <v>3132.0</v>
      </c>
      <c r="DJ30" s="87">
        <v>6.0</v>
      </c>
      <c r="DK30" s="87">
        <v>244.0</v>
      </c>
      <c r="DL30" s="87">
        <v>853.0</v>
      </c>
      <c r="DM30" s="87">
        <v>60.0</v>
      </c>
      <c r="DN30" s="87"/>
      <c r="DO30" s="87">
        <v>3815.0</v>
      </c>
      <c r="DP30" s="87">
        <v>3077.0</v>
      </c>
      <c r="DQ30" s="87">
        <v>1114.0</v>
      </c>
      <c r="DR30" s="87">
        <v>1174.0</v>
      </c>
      <c r="DS30" s="87">
        <v>6.0</v>
      </c>
      <c r="DT30" s="87">
        <v>3.0</v>
      </c>
      <c r="DU30" s="87">
        <v>4.0</v>
      </c>
      <c r="DV30" s="87">
        <v>870.0</v>
      </c>
      <c r="DW30" s="87">
        <v>27.0</v>
      </c>
      <c r="DX30" s="87">
        <v>216.0</v>
      </c>
      <c r="DY30" s="87">
        <v>610.0</v>
      </c>
      <c r="DZ30" s="87">
        <v>83.0</v>
      </c>
      <c r="EA30" s="87">
        <v>90.0</v>
      </c>
      <c r="EB30" s="87">
        <v>212.0</v>
      </c>
      <c r="EC30" s="87">
        <v>279.0</v>
      </c>
      <c r="ED30" s="87">
        <v>3078.0</v>
      </c>
      <c r="EE30" s="87">
        <v>319.0</v>
      </c>
      <c r="EF30" s="87"/>
      <c r="EG30" s="87">
        <v>38.0</v>
      </c>
      <c r="EH30" s="87"/>
      <c r="EI30" s="87">
        <v>36.0</v>
      </c>
      <c r="EJ30" s="87">
        <v>14903.0</v>
      </c>
      <c r="EK30" s="88"/>
      <c r="EL30" s="88"/>
      <c r="EM30" s="88"/>
      <c r="EN30" s="88"/>
      <c r="EO30" s="88"/>
      <c r="EP30" s="88"/>
      <c r="EQ30" s="90"/>
    </row>
    <row r="31" ht="12.0" customHeight="1">
      <c r="A31" s="89">
        <v>1.06071018E8</v>
      </c>
      <c r="B31" s="89" t="s">
        <v>611</v>
      </c>
      <c r="C31" s="89" t="s">
        <v>586</v>
      </c>
      <c r="D31" s="89" t="s">
        <v>612</v>
      </c>
      <c r="E31" s="89" t="s">
        <v>613</v>
      </c>
      <c r="F31" s="89" t="s">
        <v>614</v>
      </c>
      <c r="G31" s="89" t="s">
        <v>615</v>
      </c>
      <c r="H31" s="89" t="s">
        <v>447</v>
      </c>
      <c r="I31" s="89" t="s">
        <v>543</v>
      </c>
      <c r="J31" s="89" t="s">
        <v>469</v>
      </c>
      <c r="K31" s="89" t="s">
        <v>511</v>
      </c>
      <c r="L31" s="89" t="s">
        <v>591</v>
      </c>
      <c r="M31" s="89" t="s">
        <v>616</v>
      </c>
      <c r="N31" s="89" t="s">
        <v>441</v>
      </c>
      <c r="O31" s="87">
        <v>10777.0</v>
      </c>
      <c r="P31" s="87"/>
      <c r="Q31" s="87"/>
      <c r="R31" s="87"/>
      <c r="S31" s="87"/>
      <c r="T31" s="87"/>
      <c r="U31" s="87">
        <v>5560.0</v>
      </c>
      <c r="V31" s="87">
        <v>5217.0</v>
      </c>
      <c r="W31" s="87"/>
      <c r="X31" s="87"/>
      <c r="Y31" s="87">
        <v>31.0</v>
      </c>
      <c r="Z31" s="87">
        <v>276.0</v>
      </c>
      <c r="AA31" s="87">
        <v>518.0</v>
      </c>
      <c r="AB31" s="87">
        <v>867.0</v>
      </c>
      <c r="AC31" s="87">
        <v>1485.0</v>
      </c>
      <c r="AD31" s="87">
        <v>2550.0</v>
      </c>
      <c r="AE31" s="87">
        <v>2684.0</v>
      </c>
      <c r="AF31" s="87">
        <v>2366.0</v>
      </c>
      <c r="AG31" s="87"/>
      <c r="AH31" s="87">
        <v>1926.0</v>
      </c>
      <c r="AI31" s="87">
        <v>8727.0</v>
      </c>
      <c r="AJ31" s="87">
        <v>124.0</v>
      </c>
      <c r="AK31" s="87">
        <v>34.0</v>
      </c>
      <c r="AL31" s="87">
        <v>923.0</v>
      </c>
      <c r="AM31" s="87">
        <v>120.0</v>
      </c>
      <c r="AN31" s="87">
        <v>1275.0</v>
      </c>
      <c r="AO31" s="87">
        <v>6708.0</v>
      </c>
      <c r="AP31" s="87">
        <v>131.0</v>
      </c>
      <c r="AQ31" s="87">
        <v>1442.0</v>
      </c>
      <c r="AR31" s="87">
        <v>144.0</v>
      </c>
      <c r="AS31" s="87">
        <v>9519.0</v>
      </c>
      <c r="AT31" s="87">
        <v>262.0</v>
      </c>
      <c r="AU31" s="87">
        <v>600.0</v>
      </c>
      <c r="AV31" s="87">
        <v>369.0</v>
      </c>
      <c r="AW31" s="87">
        <v>10.0</v>
      </c>
      <c r="AX31" s="87">
        <v>5.0</v>
      </c>
      <c r="AY31" s="87">
        <v>3.0</v>
      </c>
      <c r="AZ31" s="87">
        <v>1.0</v>
      </c>
      <c r="BA31" s="87">
        <v>3.0</v>
      </c>
      <c r="BB31" s="87">
        <v>5.0</v>
      </c>
      <c r="BC31" s="87"/>
      <c r="BD31" s="87"/>
      <c r="BE31" s="87">
        <v>8297.0</v>
      </c>
      <c r="BF31" s="87">
        <v>88.0</v>
      </c>
      <c r="BG31" s="87">
        <v>2392.0</v>
      </c>
      <c r="BH31" s="87"/>
      <c r="BI31" s="87">
        <v>60503.0</v>
      </c>
      <c r="BJ31" s="87">
        <v>8338.0</v>
      </c>
      <c r="BK31" s="87">
        <v>871.0</v>
      </c>
      <c r="BL31" s="87">
        <v>1565.0</v>
      </c>
      <c r="BM31" s="87"/>
      <c r="BN31" s="87">
        <v>1.0</v>
      </c>
      <c r="BO31" s="87">
        <v>2.0</v>
      </c>
      <c r="BP31" s="87">
        <v>4320.0</v>
      </c>
      <c r="BQ31" s="87">
        <v>243.0</v>
      </c>
      <c r="BR31" s="87">
        <v>50.0</v>
      </c>
      <c r="BS31" s="87">
        <v>1572.0</v>
      </c>
      <c r="BT31" s="87">
        <v>3.0</v>
      </c>
      <c r="BU31" s="87">
        <v>7.0</v>
      </c>
      <c r="BV31" s="87">
        <v>313.0</v>
      </c>
      <c r="BW31" s="87">
        <v>424.0</v>
      </c>
      <c r="BX31" s="87">
        <v>3575.0</v>
      </c>
      <c r="BY31" s="87"/>
      <c r="BZ31" s="87"/>
      <c r="CA31" s="87">
        <v>209.0</v>
      </c>
      <c r="CB31" s="87">
        <v>55.0</v>
      </c>
      <c r="CC31" s="87"/>
      <c r="CD31" s="87"/>
      <c r="CE31" s="87">
        <v>6.0</v>
      </c>
      <c r="CF31" s="87"/>
      <c r="CG31" s="87">
        <v>695.0</v>
      </c>
      <c r="CH31" s="87">
        <v>10082.0</v>
      </c>
      <c r="CI31" s="87"/>
      <c r="CJ31" s="87">
        <v>5921.0</v>
      </c>
      <c r="CK31" s="87">
        <v>2260.0</v>
      </c>
      <c r="CL31" s="87">
        <v>1836.0</v>
      </c>
      <c r="CM31" s="87">
        <v>13.0</v>
      </c>
      <c r="CN31" s="87">
        <v>1.0</v>
      </c>
      <c r="CO31" s="87">
        <v>551.0</v>
      </c>
      <c r="CP31" s="87"/>
      <c r="CQ31" s="87">
        <v>179.0</v>
      </c>
      <c r="CR31" s="87">
        <v>16.0</v>
      </c>
      <c r="CS31" s="87"/>
      <c r="CT31" s="87">
        <v>1528.0</v>
      </c>
      <c r="CU31" s="87">
        <v>530.0</v>
      </c>
      <c r="CV31" s="87">
        <v>99.0</v>
      </c>
      <c r="CW31" s="87">
        <v>861.0</v>
      </c>
      <c r="CX31" s="87">
        <v>172.0</v>
      </c>
      <c r="CY31" s="87">
        <v>239.0</v>
      </c>
      <c r="CZ31" s="87">
        <v>9.0</v>
      </c>
      <c r="DA31" s="87">
        <v>12.0</v>
      </c>
      <c r="DB31" s="87">
        <v>2591.0</v>
      </c>
      <c r="DC31" s="87">
        <v>715.0</v>
      </c>
      <c r="DD31" s="87">
        <v>1326.0</v>
      </c>
      <c r="DE31" s="87">
        <v>174.0</v>
      </c>
      <c r="DF31" s="87">
        <v>651.0</v>
      </c>
      <c r="DG31" s="87">
        <v>826.0</v>
      </c>
      <c r="DH31" s="87">
        <v>12.0</v>
      </c>
      <c r="DI31" s="87"/>
      <c r="DJ31" s="87">
        <v>36.0</v>
      </c>
      <c r="DK31" s="87">
        <v>134.0</v>
      </c>
      <c r="DL31" s="87">
        <v>827.0</v>
      </c>
      <c r="DM31" s="87">
        <v>35.0</v>
      </c>
      <c r="DN31" s="87"/>
      <c r="DO31" s="87">
        <v>563.0</v>
      </c>
      <c r="DP31" s="87"/>
      <c r="DQ31" s="87">
        <v>2137.0</v>
      </c>
      <c r="DR31" s="87">
        <v>1445.0</v>
      </c>
      <c r="DS31" s="87">
        <v>3.0</v>
      </c>
      <c r="DT31" s="87">
        <v>4.0</v>
      </c>
      <c r="DU31" s="87"/>
      <c r="DV31" s="87">
        <v>88.0</v>
      </c>
      <c r="DW31" s="87">
        <v>72.0</v>
      </c>
      <c r="DX31" s="87">
        <v>190.0</v>
      </c>
      <c r="DY31" s="87">
        <v>1008.0</v>
      </c>
      <c r="DZ31" s="87">
        <v>51.0</v>
      </c>
      <c r="EA31" s="87">
        <v>16.0</v>
      </c>
      <c r="EB31" s="87">
        <v>427.0</v>
      </c>
      <c r="EC31" s="87">
        <v>316.0</v>
      </c>
      <c r="ED31" s="87">
        <v>3995.0</v>
      </c>
      <c r="EE31" s="87">
        <v>462.0</v>
      </c>
      <c r="EF31" s="87">
        <v>2.0</v>
      </c>
      <c r="EG31" s="87">
        <v>317.0</v>
      </c>
      <c r="EH31" s="87">
        <v>3.0</v>
      </c>
      <c r="EI31" s="87">
        <v>66.0</v>
      </c>
      <c r="EJ31" s="87">
        <v>10389.0</v>
      </c>
      <c r="EK31" s="88"/>
      <c r="EL31" s="88"/>
      <c r="EM31" s="88"/>
      <c r="EN31" s="88"/>
      <c r="EO31" s="88"/>
      <c r="EP31" s="88"/>
      <c r="EQ31" s="90"/>
    </row>
    <row r="32" ht="12.0" customHeight="1">
      <c r="A32" s="89">
        <v>1.06074017E8</v>
      </c>
      <c r="B32" s="89" t="s">
        <v>617</v>
      </c>
      <c r="C32" s="89" t="s">
        <v>586</v>
      </c>
      <c r="D32" s="89" t="s">
        <v>618</v>
      </c>
      <c r="E32" s="89" t="s">
        <v>619</v>
      </c>
      <c r="F32" s="89" t="s">
        <v>620</v>
      </c>
      <c r="G32" s="89" t="s">
        <v>621</v>
      </c>
      <c r="H32" s="89" t="s">
        <v>503</v>
      </c>
      <c r="I32" s="89" t="s">
        <v>543</v>
      </c>
      <c r="J32" s="89" t="s">
        <v>437</v>
      </c>
      <c r="K32" s="89" t="s">
        <v>511</v>
      </c>
      <c r="L32" s="89" t="s">
        <v>512</v>
      </c>
      <c r="M32" s="89" t="s">
        <v>622</v>
      </c>
      <c r="N32" s="89" t="s">
        <v>441</v>
      </c>
      <c r="O32" s="87">
        <v>3842.0</v>
      </c>
      <c r="P32" s="87"/>
      <c r="Q32" s="87"/>
      <c r="R32" s="87"/>
      <c r="S32" s="87"/>
      <c r="T32" s="87"/>
      <c r="U32" s="87">
        <v>1683.0</v>
      </c>
      <c r="V32" s="87">
        <v>2159.0</v>
      </c>
      <c r="W32" s="87"/>
      <c r="X32" s="87">
        <v>260.0</v>
      </c>
      <c r="Y32" s="87">
        <v>20.0</v>
      </c>
      <c r="Z32" s="87">
        <v>103.0</v>
      </c>
      <c r="AA32" s="87">
        <v>323.0</v>
      </c>
      <c r="AB32" s="87">
        <v>286.0</v>
      </c>
      <c r="AC32" s="87">
        <v>356.0</v>
      </c>
      <c r="AD32" s="87">
        <v>562.0</v>
      </c>
      <c r="AE32" s="87">
        <v>852.0</v>
      </c>
      <c r="AF32" s="87">
        <v>1080.0</v>
      </c>
      <c r="AG32" s="87"/>
      <c r="AH32" s="87">
        <v>207.0</v>
      </c>
      <c r="AI32" s="87">
        <v>3453.0</v>
      </c>
      <c r="AJ32" s="87">
        <v>182.0</v>
      </c>
      <c r="AK32" s="87"/>
      <c r="AL32" s="87">
        <v>598.0</v>
      </c>
      <c r="AM32" s="87">
        <v>28.0</v>
      </c>
      <c r="AN32" s="87">
        <v>170.0</v>
      </c>
      <c r="AO32" s="87">
        <v>2475.0</v>
      </c>
      <c r="AP32" s="87">
        <v>112.0</v>
      </c>
      <c r="AQ32" s="87">
        <v>443.0</v>
      </c>
      <c r="AR32" s="87">
        <v>16.0</v>
      </c>
      <c r="AS32" s="87">
        <v>3546.0</v>
      </c>
      <c r="AT32" s="87">
        <v>17.0</v>
      </c>
      <c r="AU32" s="87">
        <v>5.0</v>
      </c>
      <c r="AV32" s="87">
        <v>7.0</v>
      </c>
      <c r="AW32" s="87">
        <v>14.0</v>
      </c>
      <c r="AX32" s="87">
        <v>4.0</v>
      </c>
      <c r="AY32" s="87">
        <v>1.0</v>
      </c>
      <c r="AZ32" s="87">
        <v>1.0</v>
      </c>
      <c r="BA32" s="87"/>
      <c r="BB32" s="87"/>
      <c r="BC32" s="87">
        <v>247.0</v>
      </c>
      <c r="BD32" s="87"/>
      <c r="BE32" s="87">
        <v>2854.0</v>
      </c>
      <c r="BF32" s="87">
        <v>3.0</v>
      </c>
      <c r="BG32" s="87">
        <v>985.0</v>
      </c>
      <c r="BH32" s="87"/>
      <c r="BI32" s="87">
        <v>17484.0</v>
      </c>
      <c r="BJ32" s="87">
        <v>1342.0</v>
      </c>
      <c r="BK32" s="87">
        <v>1707.0</v>
      </c>
      <c r="BL32" s="87">
        <v>546.0</v>
      </c>
      <c r="BM32" s="87">
        <v>247.0</v>
      </c>
      <c r="BN32" s="87"/>
      <c r="BO32" s="87"/>
      <c r="BP32" s="87">
        <v>2222.0</v>
      </c>
      <c r="BQ32" s="87">
        <v>54.0</v>
      </c>
      <c r="BR32" s="87">
        <v>6.0</v>
      </c>
      <c r="BS32" s="87">
        <v>476.0</v>
      </c>
      <c r="BT32" s="87">
        <v>18.0</v>
      </c>
      <c r="BU32" s="87">
        <v>1.0</v>
      </c>
      <c r="BV32" s="87">
        <v>61.0</v>
      </c>
      <c r="BW32" s="87">
        <v>86.0</v>
      </c>
      <c r="BX32" s="87">
        <v>810.0</v>
      </c>
      <c r="BY32" s="87"/>
      <c r="BZ32" s="87">
        <v>3.0</v>
      </c>
      <c r="CA32" s="87">
        <v>102.0</v>
      </c>
      <c r="CB32" s="87">
        <v>3.0</v>
      </c>
      <c r="CC32" s="87"/>
      <c r="CD32" s="87"/>
      <c r="CE32" s="87"/>
      <c r="CF32" s="87"/>
      <c r="CG32" s="87">
        <v>466.0</v>
      </c>
      <c r="CH32" s="87">
        <v>3373.0</v>
      </c>
      <c r="CI32" s="87">
        <v>3.0</v>
      </c>
      <c r="CJ32" s="87">
        <v>1916.0</v>
      </c>
      <c r="CK32" s="87">
        <v>176.0</v>
      </c>
      <c r="CL32" s="87">
        <v>1379.0</v>
      </c>
      <c r="CM32" s="87">
        <v>81.0</v>
      </c>
      <c r="CN32" s="87"/>
      <c r="CO32" s="87">
        <v>13.0</v>
      </c>
      <c r="CP32" s="87">
        <v>2.0</v>
      </c>
      <c r="CQ32" s="87">
        <v>4.0</v>
      </c>
      <c r="CR32" s="87">
        <v>271.0</v>
      </c>
      <c r="CS32" s="87"/>
      <c r="CT32" s="87">
        <v>427.0</v>
      </c>
      <c r="CU32" s="87">
        <v>106.0</v>
      </c>
      <c r="CV32" s="87">
        <v>30.0</v>
      </c>
      <c r="CW32" s="87">
        <v>209.0</v>
      </c>
      <c r="CX32" s="87">
        <v>64.0</v>
      </c>
      <c r="CY32" s="87">
        <v>121.0</v>
      </c>
      <c r="CZ32" s="87">
        <v>2.0</v>
      </c>
      <c r="DA32" s="87">
        <v>8.0</v>
      </c>
      <c r="DB32" s="87">
        <v>609.0</v>
      </c>
      <c r="DC32" s="87">
        <v>258.0</v>
      </c>
      <c r="DD32" s="87">
        <v>516.0</v>
      </c>
      <c r="DE32" s="87">
        <v>65.0</v>
      </c>
      <c r="DF32" s="87">
        <v>337.0</v>
      </c>
      <c r="DG32" s="87">
        <v>162.0</v>
      </c>
      <c r="DH32" s="87">
        <v>259.0</v>
      </c>
      <c r="DI32" s="87">
        <v>251.0</v>
      </c>
      <c r="DJ32" s="87">
        <v>3.0</v>
      </c>
      <c r="DK32" s="87">
        <v>97.0</v>
      </c>
      <c r="DL32" s="87">
        <v>298.0</v>
      </c>
      <c r="DM32" s="87">
        <v>20.0</v>
      </c>
      <c r="DN32" s="87"/>
      <c r="DO32" s="87">
        <v>988.0</v>
      </c>
      <c r="DP32" s="87">
        <v>245.0</v>
      </c>
      <c r="DQ32" s="87">
        <v>286.0</v>
      </c>
      <c r="DR32" s="87">
        <v>454.0</v>
      </c>
      <c r="DS32" s="87">
        <v>2.0</v>
      </c>
      <c r="DT32" s="87"/>
      <c r="DU32" s="87"/>
      <c r="DV32" s="87">
        <v>22.0</v>
      </c>
      <c r="DW32" s="87">
        <v>4.0</v>
      </c>
      <c r="DX32" s="87">
        <v>49.0</v>
      </c>
      <c r="DY32" s="87">
        <v>432.0</v>
      </c>
      <c r="DZ32" s="87">
        <v>56.0</v>
      </c>
      <c r="EA32" s="87">
        <v>6.0</v>
      </c>
      <c r="EB32" s="87">
        <v>95.0</v>
      </c>
      <c r="EC32" s="87">
        <v>84.0</v>
      </c>
      <c r="ED32" s="87">
        <v>1011.0</v>
      </c>
      <c r="EE32" s="87">
        <v>108.0</v>
      </c>
      <c r="EF32" s="87">
        <v>8.0</v>
      </c>
      <c r="EG32" s="87">
        <v>1.0</v>
      </c>
      <c r="EH32" s="87"/>
      <c r="EI32" s="87">
        <v>52.0</v>
      </c>
      <c r="EJ32" s="87">
        <v>3781.0</v>
      </c>
      <c r="EK32" s="88"/>
      <c r="EL32" s="88"/>
      <c r="EM32" s="88"/>
      <c r="EN32" s="88"/>
      <c r="EO32" s="88"/>
      <c r="EP32" s="88"/>
      <c r="EQ32" s="90"/>
    </row>
    <row r="33" ht="12.0" customHeight="1">
      <c r="A33" s="89">
        <v>1.06074039E8</v>
      </c>
      <c r="B33" s="89" t="s">
        <v>623</v>
      </c>
      <c r="C33" s="89" t="s">
        <v>586</v>
      </c>
      <c r="D33" s="89" t="s">
        <v>624</v>
      </c>
      <c r="E33" s="89" t="s">
        <v>625</v>
      </c>
      <c r="F33" s="89" t="s">
        <v>614</v>
      </c>
      <c r="G33" s="89" t="s">
        <v>615</v>
      </c>
      <c r="H33" s="89" t="s">
        <v>447</v>
      </c>
      <c r="I33" s="89" t="s">
        <v>543</v>
      </c>
      <c r="J33" s="89" t="s">
        <v>463</v>
      </c>
      <c r="K33" s="89" t="s">
        <v>511</v>
      </c>
      <c r="L33" s="89" t="s">
        <v>591</v>
      </c>
      <c r="M33" s="89" t="s">
        <v>626</v>
      </c>
      <c r="N33" s="89" t="s">
        <v>441</v>
      </c>
      <c r="O33" s="87"/>
      <c r="P33" s="87"/>
      <c r="Q33" s="87">
        <v>3101.0</v>
      </c>
      <c r="R33" s="87"/>
      <c r="S33" s="87"/>
      <c r="T33" s="87"/>
      <c r="U33" s="87">
        <v>1215.0</v>
      </c>
      <c r="V33" s="87">
        <v>1886.0</v>
      </c>
      <c r="W33" s="87"/>
      <c r="X33" s="87">
        <v>46.0</v>
      </c>
      <c r="Y33" s="87">
        <v>1571.0</v>
      </c>
      <c r="Z33" s="87">
        <v>442.0</v>
      </c>
      <c r="AA33" s="87">
        <v>285.0</v>
      </c>
      <c r="AB33" s="87">
        <v>210.0</v>
      </c>
      <c r="AC33" s="87">
        <v>224.0</v>
      </c>
      <c r="AD33" s="87">
        <v>218.0</v>
      </c>
      <c r="AE33" s="87">
        <v>95.0</v>
      </c>
      <c r="AF33" s="87"/>
      <c r="AG33" s="87">
        <v>10.0</v>
      </c>
      <c r="AH33" s="87">
        <v>601.0</v>
      </c>
      <c r="AI33" s="87">
        <v>2353.0</v>
      </c>
      <c r="AJ33" s="87">
        <v>147.0</v>
      </c>
      <c r="AK33" s="87">
        <v>19.0</v>
      </c>
      <c r="AL33" s="87">
        <v>230.0</v>
      </c>
      <c r="AM33" s="87">
        <v>16.0</v>
      </c>
      <c r="AN33" s="87">
        <v>292.0</v>
      </c>
      <c r="AO33" s="87">
        <v>1559.0</v>
      </c>
      <c r="AP33" s="87">
        <v>149.0</v>
      </c>
      <c r="AQ33" s="87">
        <v>777.0</v>
      </c>
      <c r="AR33" s="87">
        <v>59.0</v>
      </c>
      <c r="AS33" s="87">
        <v>526.0</v>
      </c>
      <c r="AT33" s="87">
        <v>1.0</v>
      </c>
      <c r="AU33" s="87">
        <v>2573.0</v>
      </c>
      <c r="AV33" s="87"/>
      <c r="AW33" s="87"/>
      <c r="AX33" s="87"/>
      <c r="AY33" s="87"/>
      <c r="AZ33" s="87"/>
      <c r="BA33" s="87"/>
      <c r="BB33" s="87">
        <v>1.0</v>
      </c>
      <c r="BC33" s="87"/>
      <c r="BD33" s="87"/>
      <c r="BE33" s="87"/>
      <c r="BF33" s="87">
        <v>2471.0</v>
      </c>
      <c r="BG33" s="87">
        <v>630.0</v>
      </c>
      <c r="BH33" s="87"/>
      <c r="BI33" s="87">
        <v>18300.0</v>
      </c>
      <c r="BJ33" s="87">
        <v>2692.0</v>
      </c>
      <c r="BK33" s="87">
        <v>404.0</v>
      </c>
      <c r="BL33" s="87">
        <v>3.0</v>
      </c>
      <c r="BM33" s="87"/>
      <c r="BN33" s="87"/>
      <c r="BO33" s="87">
        <v>2.0</v>
      </c>
      <c r="BP33" s="87">
        <v>2675.0</v>
      </c>
      <c r="BQ33" s="87">
        <v>48.0</v>
      </c>
      <c r="BR33" s="87">
        <v>24.0</v>
      </c>
      <c r="BS33" s="87">
        <v>3.0</v>
      </c>
      <c r="BT33" s="87"/>
      <c r="BU33" s="87">
        <v>2.0</v>
      </c>
      <c r="BV33" s="87">
        <v>335.0</v>
      </c>
      <c r="BW33" s="87"/>
      <c r="BX33" s="87"/>
      <c r="BY33" s="87"/>
      <c r="BZ33" s="87"/>
      <c r="CA33" s="87"/>
      <c r="CB33" s="87">
        <v>10.0</v>
      </c>
      <c r="CC33" s="87"/>
      <c r="CD33" s="87">
        <v>1.0</v>
      </c>
      <c r="CE33" s="87">
        <v>3.0</v>
      </c>
      <c r="CF33" s="87"/>
      <c r="CG33" s="87"/>
      <c r="CH33" s="87">
        <v>3101.0</v>
      </c>
      <c r="CI33" s="87"/>
      <c r="CJ33" s="87">
        <v>412.0</v>
      </c>
      <c r="CK33" s="87">
        <v>751.0</v>
      </c>
      <c r="CL33" s="87">
        <v>1644.0</v>
      </c>
      <c r="CM33" s="87"/>
      <c r="CN33" s="87"/>
      <c r="CO33" s="87">
        <v>237.0</v>
      </c>
      <c r="CP33" s="87"/>
      <c r="CQ33" s="87">
        <v>57.0</v>
      </c>
      <c r="CR33" s="87"/>
      <c r="CS33" s="87"/>
      <c r="CT33" s="87"/>
      <c r="CU33" s="87"/>
      <c r="CV33" s="87"/>
      <c r="CW33" s="87"/>
      <c r="CX33" s="87">
        <v>3092.0</v>
      </c>
      <c r="CY33" s="87">
        <v>2.0</v>
      </c>
      <c r="CZ33" s="87"/>
      <c r="DA33" s="87"/>
      <c r="DB33" s="87"/>
      <c r="DC33" s="87"/>
      <c r="DD33" s="87"/>
      <c r="DE33" s="87"/>
      <c r="DF33" s="87"/>
      <c r="DG33" s="87"/>
      <c r="DH33" s="87"/>
      <c r="DI33" s="87"/>
      <c r="DJ33" s="87"/>
      <c r="DK33" s="87"/>
      <c r="DL33" s="87"/>
      <c r="DM33" s="87"/>
      <c r="DN33" s="87">
        <v>7.0</v>
      </c>
      <c r="DO33" s="87"/>
      <c r="DP33" s="87"/>
      <c r="DQ33" s="87"/>
      <c r="DR33" s="87"/>
      <c r="DS33" s="87"/>
      <c r="DT33" s="87"/>
      <c r="DU33" s="87"/>
      <c r="DV33" s="87"/>
      <c r="DW33" s="87"/>
      <c r="DX33" s="87"/>
      <c r="DY33" s="87"/>
      <c r="DZ33" s="87"/>
      <c r="EA33" s="87"/>
      <c r="EB33" s="87"/>
      <c r="EC33" s="87"/>
      <c r="ED33" s="87">
        <v>3099.0</v>
      </c>
      <c r="EE33" s="87">
        <v>2.0</v>
      </c>
      <c r="EF33" s="87">
        <v>2.0</v>
      </c>
      <c r="EG33" s="87">
        <v>91.0</v>
      </c>
      <c r="EH33" s="87"/>
      <c r="EI33" s="87">
        <v>28.0</v>
      </c>
      <c r="EJ33" s="87">
        <v>2980.0</v>
      </c>
      <c r="EK33" s="88"/>
      <c r="EL33" s="88"/>
      <c r="EM33" s="88"/>
      <c r="EN33" s="88"/>
      <c r="EO33" s="88"/>
      <c r="EP33" s="88"/>
      <c r="EQ33" s="90"/>
    </row>
    <row r="34" ht="12.0" customHeight="1">
      <c r="A34" s="89">
        <v>1.06074097E8</v>
      </c>
      <c r="B34" s="89" t="s">
        <v>627</v>
      </c>
      <c r="C34" s="89" t="s">
        <v>586</v>
      </c>
      <c r="D34" s="89" t="s">
        <v>628</v>
      </c>
      <c r="E34" s="89" t="s">
        <v>629</v>
      </c>
      <c r="F34" s="89" t="s">
        <v>596</v>
      </c>
      <c r="G34" s="89" t="s">
        <v>630</v>
      </c>
      <c r="H34" s="89" t="s">
        <v>447</v>
      </c>
      <c r="I34" s="89" t="s">
        <v>543</v>
      </c>
      <c r="J34" s="89" t="s">
        <v>457</v>
      </c>
      <c r="K34" s="89" t="s">
        <v>511</v>
      </c>
      <c r="L34" s="89" t="s">
        <v>598</v>
      </c>
      <c r="M34" s="89" t="s">
        <v>599</v>
      </c>
      <c r="N34" s="89" t="s">
        <v>441</v>
      </c>
      <c r="O34" s="87">
        <v>10532.0</v>
      </c>
      <c r="P34" s="87"/>
      <c r="Q34" s="87"/>
      <c r="R34" s="87"/>
      <c r="S34" s="87"/>
      <c r="T34" s="87"/>
      <c r="U34" s="87">
        <v>4217.0</v>
      </c>
      <c r="V34" s="87">
        <v>6315.0</v>
      </c>
      <c r="W34" s="87"/>
      <c r="X34" s="87">
        <v>1880.0</v>
      </c>
      <c r="Y34" s="87">
        <v>67.0</v>
      </c>
      <c r="Z34" s="87">
        <v>940.0</v>
      </c>
      <c r="AA34" s="87">
        <v>1432.0</v>
      </c>
      <c r="AB34" s="87">
        <v>643.0</v>
      </c>
      <c r="AC34" s="87">
        <v>998.0</v>
      </c>
      <c r="AD34" s="87">
        <v>1325.0</v>
      </c>
      <c r="AE34" s="87">
        <v>1722.0</v>
      </c>
      <c r="AF34" s="87">
        <v>1524.0</v>
      </c>
      <c r="AG34" s="87">
        <v>1.0</v>
      </c>
      <c r="AH34" s="87">
        <v>2414.0</v>
      </c>
      <c r="AI34" s="87">
        <v>8058.0</v>
      </c>
      <c r="AJ34" s="87">
        <v>60.0</v>
      </c>
      <c r="AK34" s="87">
        <v>28.0</v>
      </c>
      <c r="AL34" s="87">
        <v>1242.0</v>
      </c>
      <c r="AM34" s="87">
        <v>91.0</v>
      </c>
      <c r="AN34" s="87">
        <v>1716.0</v>
      </c>
      <c r="AO34" s="87">
        <v>4783.0</v>
      </c>
      <c r="AP34" s="87">
        <v>54.0</v>
      </c>
      <c r="AQ34" s="87">
        <v>2493.0</v>
      </c>
      <c r="AR34" s="87">
        <v>125.0</v>
      </c>
      <c r="AS34" s="87">
        <v>8093.0</v>
      </c>
      <c r="AT34" s="87">
        <v>116.0</v>
      </c>
      <c r="AU34" s="87">
        <v>252.0</v>
      </c>
      <c r="AV34" s="87">
        <v>69.0</v>
      </c>
      <c r="AW34" s="87">
        <v>156.0</v>
      </c>
      <c r="AX34" s="87"/>
      <c r="AY34" s="87"/>
      <c r="AZ34" s="87"/>
      <c r="BA34" s="87"/>
      <c r="BB34" s="87">
        <v>12.0</v>
      </c>
      <c r="BC34" s="87">
        <v>1834.0</v>
      </c>
      <c r="BD34" s="87"/>
      <c r="BE34" s="87">
        <v>5920.0</v>
      </c>
      <c r="BF34" s="87">
        <v>29.0</v>
      </c>
      <c r="BG34" s="87">
        <v>4583.0</v>
      </c>
      <c r="BH34" s="87"/>
      <c r="BI34" s="87">
        <v>37175.0</v>
      </c>
      <c r="BJ34" s="87">
        <v>1388.0</v>
      </c>
      <c r="BK34" s="87">
        <v>6686.0</v>
      </c>
      <c r="BL34" s="87">
        <v>623.0</v>
      </c>
      <c r="BM34" s="87">
        <v>1834.0</v>
      </c>
      <c r="BN34" s="87"/>
      <c r="BO34" s="87">
        <v>1.0</v>
      </c>
      <c r="BP34" s="87">
        <v>6858.0</v>
      </c>
      <c r="BQ34" s="87">
        <v>358.0</v>
      </c>
      <c r="BR34" s="87">
        <v>30.0</v>
      </c>
      <c r="BS34" s="87">
        <v>648.0</v>
      </c>
      <c r="BT34" s="87"/>
      <c r="BU34" s="87"/>
      <c r="BV34" s="87">
        <v>98.0</v>
      </c>
      <c r="BW34" s="87">
        <v>239.0</v>
      </c>
      <c r="BX34" s="87">
        <v>2094.0</v>
      </c>
      <c r="BY34" s="87"/>
      <c r="BZ34" s="87"/>
      <c r="CA34" s="87">
        <v>173.0</v>
      </c>
      <c r="CB34" s="87">
        <v>4.0</v>
      </c>
      <c r="CC34" s="87"/>
      <c r="CD34" s="87">
        <v>4.0</v>
      </c>
      <c r="CE34" s="87">
        <v>25.0</v>
      </c>
      <c r="CF34" s="87">
        <v>1.0</v>
      </c>
      <c r="CG34" s="87">
        <v>912.0</v>
      </c>
      <c r="CH34" s="87">
        <v>9620.0</v>
      </c>
      <c r="CI34" s="87"/>
      <c r="CJ34" s="87">
        <v>4126.0</v>
      </c>
      <c r="CK34" s="87">
        <v>1206.0</v>
      </c>
      <c r="CL34" s="87">
        <v>5078.0</v>
      </c>
      <c r="CM34" s="87">
        <v>11.0</v>
      </c>
      <c r="CN34" s="87"/>
      <c r="CO34" s="87">
        <v>7.0</v>
      </c>
      <c r="CP34" s="87"/>
      <c r="CQ34" s="87">
        <v>104.0</v>
      </c>
      <c r="CR34" s="87"/>
      <c r="CS34" s="87"/>
      <c r="CT34" s="87">
        <v>1895.0</v>
      </c>
      <c r="CU34" s="87">
        <v>266.0</v>
      </c>
      <c r="CV34" s="87">
        <v>88.0</v>
      </c>
      <c r="CW34" s="87">
        <v>247.0</v>
      </c>
      <c r="CX34" s="87">
        <v>74.0</v>
      </c>
      <c r="CY34" s="87">
        <v>173.0</v>
      </c>
      <c r="CZ34" s="87">
        <v>2.0</v>
      </c>
      <c r="DA34" s="87">
        <v>4.0</v>
      </c>
      <c r="DB34" s="87">
        <v>1231.0</v>
      </c>
      <c r="DC34" s="87">
        <v>466.0</v>
      </c>
      <c r="DD34" s="87">
        <v>972.0</v>
      </c>
      <c r="DE34" s="87">
        <v>111.0</v>
      </c>
      <c r="DF34" s="87">
        <v>146.0</v>
      </c>
      <c r="DG34" s="87">
        <v>330.0</v>
      </c>
      <c r="DH34" s="87">
        <v>1963.0</v>
      </c>
      <c r="DI34" s="87">
        <v>1878.0</v>
      </c>
      <c r="DJ34" s="87">
        <v>8.0</v>
      </c>
      <c r="DK34" s="87">
        <v>147.0</v>
      </c>
      <c r="DL34" s="87">
        <v>493.0</v>
      </c>
      <c r="DM34" s="87">
        <v>38.0</v>
      </c>
      <c r="DN34" s="87"/>
      <c r="DO34" s="87">
        <v>2732.0</v>
      </c>
      <c r="DP34" s="87">
        <v>1849.0</v>
      </c>
      <c r="DQ34" s="87">
        <v>390.0</v>
      </c>
      <c r="DR34" s="87">
        <v>992.0</v>
      </c>
      <c r="DS34" s="87">
        <v>6.0</v>
      </c>
      <c r="DT34" s="87">
        <v>1.0</v>
      </c>
      <c r="DU34" s="87"/>
      <c r="DV34" s="87">
        <v>538.0</v>
      </c>
      <c r="DW34" s="87">
        <v>18.0</v>
      </c>
      <c r="DX34" s="87">
        <v>168.0</v>
      </c>
      <c r="DY34" s="87">
        <v>418.0</v>
      </c>
      <c r="DZ34" s="87">
        <v>54.0</v>
      </c>
      <c r="EA34" s="87">
        <v>39.0</v>
      </c>
      <c r="EB34" s="87">
        <v>167.0</v>
      </c>
      <c r="EC34" s="87">
        <v>238.0</v>
      </c>
      <c r="ED34" s="87">
        <v>2624.0</v>
      </c>
      <c r="EE34" s="87">
        <v>298.0</v>
      </c>
      <c r="EF34" s="87">
        <v>3.0</v>
      </c>
      <c r="EG34" s="87">
        <v>61.0</v>
      </c>
      <c r="EH34" s="87"/>
      <c r="EI34" s="87">
        <v>15.0</v>
      </c>
      <c r="EJ34" s="87">
        <v>10453.0</v>
      </c>
      <c r="EK34" s="88"/>
      <c r="EL34" s="88"/>
      <c r="EM34" s="88"/>
      <c r="EN34" s="88"/>
      <c r="EO34" s="88"/>
      <c r="EP34" s="88"/>
      <c r="EQ34" s="90"/>
    </row>
    <row r="35" ht="12.0" customHeight="1">
      <c r="A35" s="89">
        <v>1.06084001E8</v>
      </c>
      <c r="B35" s="89" t="s">
        <v>631</v>
      </c>
      <c r="C35" s="89" t="s">
        <v>632</v>
      </c>
      <c r="D35" s="89" t="s">
        <v>633</v>
      </c>
      <c r="E35" s="89" t="s">
        <v>634</v>
      </c>
      <c r="F35" s="89" t="s">
        <v>635</v>
      </c>
      <c r="G35" s="89" t="s">
        <v>636</v>
      </c>
      <c r="H35" s="89" t="s">
        <v>447</v>
      </c>
      <c r="I35" s="89" t="s">
        <v>543</v>
      </c>
      <c r="J35" s="89" t="s">
        <v>499</v>
      </c>
      <c r="K35" s="89" t="s">
        <v>637</v>
      </c>
      <c r="L35" s="89" t="s">
        <v>637</v>
      </c>
      <c r="M35" s="89" t="s">
        <v>638</v>
      </c>
      <c r="N35" s="89" t="s">
        <v>547</v>
      </c>
      <c r="O35" s="87">
        <v>2188.0</v>
      </c>
      <c r="P35" s="87"/>
      <c r="Q35" s="87"/>
      <c r="R35" s="87"/>
      <c r="S35" s="87">
        <v>139.0</v>
      </c>
      <c r="T35" s="87"/>
      <c r="U35" s="87">
        <v>1025.0</v>
      </c>
      <c r="V35" s="87">
        <v>1302.0</v>
      </c>
      <c r="W35" s="87"/>
      <c r="X35" s="87">
        <v>285.0</v>
      </c>
      <c r="Y35" s="87">
        <v>49.0</v>
      </c>
      <c r="Z35" s="87">
        <v>198.0</v>
      </c>
      <c r="AA35" s="87">
        <v>198.0</v>
      </c>
      <c r="AB35" s="87">
        <v>122.0</v>
      </c>
      <c r="AC35" s="87">
        <v>255.0</v>
      </c>
      <c r="AD35" s="87">
        <v>430.0</v>
      </c>
      <c r="AE35" s="87">
        <v>459.0</v>
      </c>
      <c r="AF35" s="87">
        <v>331.0</v>
      </c>
      <c r="AG35" s="87"/>
      <c r="AH35" s="87">
        <v>212.0</v>
      </c>
      <c r="AI35" s="87">
        <v>2067.0</v>
      </c>
      <c r="AJ35" s="87">
        <v>48.0</v>
      </c>
      <c r="AK35" s="87">
        <v>96.0</v>
      </c>
      <c r="AL35" s="87">
        <v>43.0</v>
      </c>
      <c r="AM35" s="87">
        <v>12.0</v>
      </c>
      <c r="AN35" s="87">
        <v>18.0</v>
      </c>
      <c r="AO35" s="87">
        <v>1931.0</v>
      </c>
      <c r="AP35" s="87">
        <v>22.0</v>
      </c>
      <c r="AQ35" s="87">
        <v>124.0</v>
      </c>
      <c r="AR35" s="87">
        <v>81.0</v>
      </c>
      <c r="AS35" s="87">
        <v>1848.0</v>
      </c>
      <c r="AT35" s="87">
        <v>16.0</v>
      </c>
      <c r="AU35" s="87">
        <v>87.0</v>
      </c>
      <c r="AV35" s="87">
        <v>45.0</v>
      </c>
      <c r="AW35" s="87">
        <v>1.0</v>
      </c>
      <c r="AX35" s="87">
        <v>64.0</v>
      </c>
      <c r="AY35" s="87">
        <v>1.0</v>
      </c>
      <c r="AZ35" s="87"/>
      <c r="BA35" s="87">
        <v>20.0</v>
      </c>
      <c r="BB35" s="87"/>
      <c r="BC35" s="87">
        <v>245.0</v>
      </c>
      <c r="BD35" s="87"/>
      <c r="BE35" s="87">
        <v>1565.0</v>
      </c>
      <c r="BF35" s="87">
        <v>6.0</v>
      </c>
      <c r="BG35" s="87">
        <v>756.0</v>
      </c>
      <c r="BH35" s="87"/>
      <c r="BI35" s="87">
        <v>10163.0</v>
      </c>
      <c r="BJ35" s="87">
        <v>914.0</v>
      </c>
      <c r="BK35" s="87">
        <v>722.0</v>
      </c>
      <c r="BL35" s="87">
        <v>397.0</v>
      </c>
      <c r="BM35" s="87">
        <v>245.0</v>
      </c>
      <c r="BN35" s="87">
        <v>49.0</v>
      </c>
      <c r="BO35" s="87"/>
      <c r="BP35" s="87">
        <v>1517.0</v>
      </c>
      <c r="BQ35" s="87">
        <v>108.0</v>
      </c>
      <c r="BR35" s="87">
        <v>57.0</v>
      </c>
      <c r="BS35" s="87">
        <v>145.0</v>
      </c>
      <c r="BT35" s="87">
        <v>4.0</v>
      </c>
      <c r="BU35" s="87">
        <v>24.0</v>
      </c>
      <c r="BV35" s="87">
        <v>77.0</v>
      </c>
      <c r="BW35" s="87">
        <v>83.0</v>
      </c>
      <c r="BX35" s="87">
        <v>304.0</v>
      </c>
      <c r="BY35" s="87"/>
      <c r="BZ35" s="87"/>
      <c r="CA35" s="87">
        <v>4.0</v>
      </c>
      <c r="CB35" s="87">
        <v>1.0</v>
      </c>
      <c r="CC35" s="87"/>
      <c r="CD35" s="87">
        <v>3.0</v>
      </c>
      <c r="CE35" s="87"/>
      <c r="CF35" s="87"/>
      <c r="CG35" s="87">
        <v>194.0</v>
      </c>
      <c r="CH35" s="87">
        <v>2133.0</v>
      </c>
      <c r="CI35" s="87"/>
      <c r="CJ35" s="87">
        <v>1035.0</v>
      </c>
      <c r="CK35" s="87">
        <v>697.0</v>
      </c>
      <c r="CL35" s="87">
        <v>305.0</v>
      </c>
      <c r="CM35" s="87">
        <v>10.0</v>
      </c>
      <c r="CN35" s="87"/>
      <c r="CO35" s="87">
        <v>214.0</v>
      </c>
      <c r="CP35" s="87"/>
      <c r="CQ35" s="87">
        <v>66.0</v>
      </c>
      <c r="CR35" s="87"/>
      <c r="CS35" s="87"/>
      <c r="CT35" s="87">
        <v>567.0</v>
      </c>
      <c r="CU35" s="87">
        <v>21.0</v>
      </c>
      <c r="CV35" s="87">
        <v>22.0</v>
      </c>
      <c r="CW35" s="87">
        <v>80.0</v>
      </c>
      <c r="CX35" s="87">
        <v>31.0</v>
      </c>
      <c r="CY35" s="87">
        <v>41.0</v>
      </c>
      <c r="CZ35" s="87"/>
      <c r="DA35" s="87"/>
      <c r="DB35" s="87">
        <v>273.0</v>
      </c>
      <c r="DC35" s="87">
        <v>115.0</v>
      </c>
      <c r="DD35" s="87">
        <v>205.0</v>
      </c>
      <c r="DE35" s="87">
        <v>48.0</v>
      </c>
      <c r="DF35" s="87">
        <v>70.0</v>
      </c>
      <c r="DG35" s="87">
        <v>54.0</v>
      </c>
      <c r="DH35" s="87">
        <v>258.0</v>
      </c>
      <c r="DI35" s="87">
        <v>252.0</v>
      </c>
      <c r="DJ35" s="87"/>
      <c r="DK35" s="87">
        <v>25.0</v>
      </c>
      <c r="DL35" s="87">
        <v>231.0</v>
      </c>
      <c r="DM35" s="87">
        <v>34.0</v>
      </c>
      <c r="DN35" s="87"/>
      <c r="DO35" s="87">
        <v>308.0</v>
      </c>
      <c r="DP35" s="87">
        <v>240.0</v>
      </c>
      <c r="DQ35" s="87">
        <v>23.0</v>
      </c>
      <c r="DR35" s="87">
        <v>151.0</v>
      </c>
      <c r="DS35" s="87"/>
      <c r="DT35" s="87"/>
      <c r="DU35" s="87"/>
      <c r="DV35" s="87">
        <v>43.0</v>
      </c>
      <c r="DW35" s="87">
        <v>3.0</v>
      </c>
      <c r="DX35" s="87">
        <v>60.0</v>
      </c>
      <c r="DY35" s="87">
        <v>219.0</v>
      </c>
      <c r="DZ35" s="87">
        <v>5.0</v>
      </c>
      <c r="EA35" s="87">
        <v>8.0</v>
      </c>
      <c r="EB35" s="87">
        <v>40.0</v>
      </c>
      <c r="EC35" s="87">
        <v>5.0</v>
      </c>
      <c r="ED35" s="87">
        <v>1170.0</v>
      </c>
      <c r="EE35" s="87">
        <v>52.0</v>
      </c>
      <c r="EF35" s="87">
        <v>6.0</v>
      </c>
      <c r="EG35" s="87">
        <v>46.0</v>
      </c>
      <c r="EH35" s="87"/>
      <c r="EI35" s="87">
        <v>326.0</v>
      </c>
      <c r="EJ35" s="87">
        <v>1949.0</v>
      </c>
      <c r="EK35" s="88"/>
      <c r="EL35" s="88"/>
      <c r="EM35" s="88"/>
      <c r="EN35" s="88"/>
      <c r="EO35" s="88"/>
      <c r="EP35" s="88"/>
      <c r="EQ35" s="90"/>
    </row>
    <row r="36" ht="12.0" customHeight="1">
      <c r="A36" s="89">
        <v>1.06090793E8</v>
      </c>
      <c r="B36" s="89" t="s">
        <v>639</v>
      </c>
      <c r="C36" s="89" t="s">
        <v>640</v>
      </c>
      <c r="D36" s="89" t="s">
        <v>641</v>
      </c>
      <c r="E36" s="89" t="s">
        <v>642</v>
      </c>
      <c r="F36" s="89" t="s">
        <v>643</v>
      </c>
      <c r="G36" s="89" t="s">
        <v>644</v>
      </c>
      <c r="H36" s="89" t="s">
        <v>447</v>
      </c>
      <c r="I36" s="89" t="s">
        <v>543</v>
      </c>
      <c r="J36" s="89" t="s">
        <v>437</v>
      </c>
      <c r="K36" s="89" t="s">
        <v>645</v>
      </c>
      <c r="L36" s="89" t="s">
        <v>545</v>
      </c>
      <c r="M36" s="89" t="s">
        <v>646</v>
      </c>
      <c r="N36" s="89" t="s">
        <v>547</v>
      </c>
      <c r="O36" s="87">
        <v>1914.0</v>
      </c>
      <c r="P36" s="87">
        <v>6.0</v>
      </c>
      <c r="Q36" s="87"/>
      <c r="R36" s="87"/>
      <c r="S36" s="87"/>
      <c r="T36" s="87"/>
      <c r="U36" s="87">
        <v>895.0</v>
      </c>
      <c r="V36" s="87">
        <v>1025.0</v>
      </c>
      <c r="W36" s="87"/>
      <c r="X36" s="87">
        <v>367.0</v>
      </c>
      <c r="Y36" s="87">
        <v>29.0</v>
      </c>
      <c r="Z36" s="87">
        <v>140.0</v>
      </c>
      <c r="AA36" s="87">
        <v>271.0</v>
      </c>
      <c r="AB36" s="87">
        <v>139.0</v>
      </c>
      <c r="AC36" s="87">
        <v>185.0</v>
      </c>
      <c r="AD36" s="87">
        <v>312.0</v>
      </c>
      <c r="AE36" s="87">
        <v>295.0</v>
      </c>
      <c r="AF36" s="87">
        <v>182.0</v>
      </c>
      <c r="AG36" s="87"/>
      <c r="AH36" s="87">
        <v>306.0</v>
      </c>
      <c r="AI36" s="87">
        <v>1507.0</v>
      </c>
      <c r="AJ36" s="87">
        <v>107.0</v>
      </c>
      <c r="AK36" s="87"/>
      <c r="AL36" s="87">
        <v>46.0</v>
      </c>
      <c r="AM36" s="87"/>
      <c r="AN36" s="87">
        <v>21.0</v>
      </c>
      <c r="AO36" s="87">
        <v>1633.0</v>
      </c>
      <c r="AP36" s="87">
        <v>116.0</v>
      </c>
      <c r="AQ36" s="87">
        <v>80.0</v>
      </c>
      <c r="AR36" s="87">
        <v>24.0</v>
      </c>
      <c r="AS36" s="87">
        <v>1200.0</v>
      </c>
      <c r="AT36" s="87">
        <v>405.0</v>
      </c>
      <c r="AU36" s="87">
        <v>10.0</v>
      </c>
      <c r="AV36" s="87">
        <v>5.0</v>
      </c>
      <c r="AW36" s="87"/>
      <c r="AX36" s="87">
        <v>6.0</v>
      </c>
      <c r="AY36" s="87"/>
      <c r="AZ36" s="87"/>
      <c r="BA36" s="87">
        <v>4.0</v>
      </c>
      <c r="BB36" s="87">
        <v>1.0</v>
      </c>
      <c r="BC36" s="87">
        <v>289.0</v>
      </c>
      <c r="BD36" s="87"/>
      <c r="BE36" s="87">
        <v>1174.0</v>
      </c>
      <c r="BF36" s="87"/>
      <c r="BG36" s="87">
        <v>746.0</v>
      </c>
      <c r="BH36" s="87"/>
      <c r="BI36" s="87">
        <v>7089.0</v>
      </c>
      <c r="BJ36" s="87">
        <v>1090.0</v>
      </c>
      <c r="BK36" s="87">
        <v>48.0</v>
      </c>
      <c r="BL36" s="87">
        <v>418.0</v>
      </c>
      <c r="BM36" s="87">
        <v>289.0</v>
      </c>
      <c r="BN36" s="87">
        <v>75.0</v>
      </c>
      <c r="BO36" s="87"/>
      <c r="BP36" s="87">
        <v>1576.0</v>
      </c>
      <c r="BQ36" s="87">
        <v>57.0</v>
      </c>
      <c r="BR36" s="87">
        <v>12.0</v>
      </c>
      <c r="BS36" s="87">
        <v>102.0</v>
      </c>
      <c r="BT36" s="87">
        <v>3.0</v>
      </c>
      <c r="BU36" s="87">
        <v>2.0</v>
      </c>
      <c r="BV36" s="87">
        <v>19.0</v>
      </c>
      <c r="BW36" s="87">
        <v>43.0</v>
      </c>
      <c r="BX36" s="87">
        <v>70.0</v>
      </c>
      <c r="BY36" s="87"/>
      <c r="BZ36" s="87">
        <v>10.0</v>
      </c>
      <c r="CA36" s="87">
        <v>8.0</v>
      </c>
      <c r="CB36" s="87">
        <v>10.0</v>
      </c>
      <c r="CC36" s="87">
        <v>8.0</v>
      </c>
      <c r="CD36" s="87"/>
      <c r="CE36" s="87"/>
      <c r="CF36" s="87"/>
      <c r="CG36" s="87">
        <v>136.0</v>
      </c>
      <c r="CH36" s="87">
        <v>1784.0</v>
      </c>
      <c r="CI36" s="87"/>
      <c r="CJ36" s="87">
        <v>635.0</v>
      </c>
      <c r="CK36" s="87">
        <v>512.0</v>
      </c>
      <c r="CL36" s="87">
        <v>600.0</v>
      </c>
      <c r="CM36" s="87">
        <v>5.0</v>
      </c>
      <c r="CN36" s="87"/>
      <c r="CO36" s="87">
        <v>91.0</v>
      </c>
      <c r="CP36" s="87"/>
      <c r="CQ36" s="87">
        <v>67.0</v>
      </c>
      <c r="CR36" s="87">
        <v>10.0</v>
      </c>
      <c r="CS36" s="87"/>
      <c r="CT36" s="87">
        <v>180.0</v>
      </c>
      <c r="CU36" s="87">
        <v>26.0</v>
      </c>
      <c r="CV36" s="87">
        <v>10.0</v>
      </c>
      <c r="CW36" s="87">
        <v>52.0</v>
      </c>
      <c r="CX36" s="87">
        <v>61.0</v>
      </c>
      <c r="CY36" s="87">
        <v>17.0</v>
      </c>
      <c r="CZ36" s="87"/>
      <c r="DA36" s="87">
        <v>1.0</v>
      </c>
      <c r="DB36" s="87">
        <v>116.0</v>
      </c>
      <c r="DC36" s="87">
        <v>183.0</v>
      </c>
      <c r="DD36" s="87">
        <v>227.0</v>
      </c>
      <c r="DE36" s="87">
        <v>40.0</v>
      </c>
      <c r="DF36" s="87">
        <v>112.0</v>
      </c>
      <c r="DG36" s="87">
        <v>40.0</v>
      </c>
      <c r="DH36" s="87">
        <v>302.0</v>
      </c>
      <c r="DI36" s="87">
        <v>307.0</v>
      </c>
      <c r="DJ36" s="87"/>
      <c r="DK36" s="87">
        <v>19.0</v>
      </c>
      <c r="DL36" s="87">
        <v>217.0</v>
      </c>
      <c r="DM36" s="87">
        <v>10.0</v>
      </c>
      <c r="DN36" s="87"/>
      <c r="DO36" s="87">
        <v>375.0</v>
      </c>
      <c r="DP36" s="87">
        <v>286.0</v>
      </c>
      <c r="DQ36" s="87">
        <v>24.0</v>
      </c>
      <c r="DR36" s="87">
        <v>152.0</v>
      </c>
      <c r="DS36" s="87">
        <v>1.0</v>
      </c>
      <c r="DT36" s="87">
        <v>1.0</v>
      </c>
      <c r="DU36" s="87"/>
      <c r="DV36" s="87">
        <v>23.0</v>
      </c>
      <c r="DW36" s="87"/>
      <c r="DX36" s="87">
        <v>35.0</v>
      </c>
      <c r="DY36" s="87">
        <v>218.0</v>
      </c>
      <c r="DZ36" s="87">
        <v>13.0</v>
      </c>
      <c r="EA36" s="87">
        <v>8.0</v>
      </c>
      <c r="EB36" s="87">
        <v>28.0</v>
      </c>
      <c r="EC36" s="87">
        <v>7.0</v>
      </c>
      <c r="ED36" s="87">
        <v>722.0</v>
      </c>
      <c r="EE36" s="87">
        <v>27.0</v>
      </c>
      <c r="EF36" s="87">
        <v>1.0</v>
      </c>
      <c r="EG36" s="87">
        <v>24.0</v>
      </c>
      <c r="EH36" s="87">
        <v>4.0</v>
      </c>
      <c r="EI36" s="87">
        <v>341.0</v>
      </c>
      <c r="EJ36" s="87">
        <v>1550.0</v>
      </c>
      <c r="EK36" s="88"/>
      <c r="EL36" s="88"/>
      <c r="EM36" s="88"/>
      <c r="EN36" s="88"/>
      <c r="EO36" s="88"/>
      <c r="EP36" s="88"/>
      <c r="EQ36" s="90"/>
    </row>
    <row r="37" ht="12.0" customHeight="1">
      <c r="A37" s="89">
        <v>1.06090933E8</v>
      </c>
      <c r="B37" s="89" t="s">
        <v>647</v>
      </c>
      <c r="C37" s="89" t="s">
        <v>640</v>
      </c>
      <c r="D37" s="89" t="s">
        <v>648</v>
      </c>
      <c r="E37" s="89" t="s">
        <v>649</v>
      </c>
      <c r="F37" s="89" t="s">
        <v>650</v>
      </c>
      <c r="G37" s="89" t="s">
        <v>651</v>
      </c>
      <c r="H37" s="89" t="s">
        <v>447</v>
      </c>
      <c r="I37" s="89" t="s">
        <v>543</v>
      </c>
      <c r="J37" s="89" t="s">
        <v>437</v>
      </c>
      <c r="K37" s="89" t="s">
        <v>645</v>
      </c>
      <c r="L37" s="89" t="s">
        <v>545</v>
      </c>
      <c r="M37" s="89" t="s">
        <v>652</v>
      </c>
      <c r="N37" s="89" t="s">
        <v>547</v>
      </c>
      <c r="O37" s="87">
        <v>4691.0</v>
      </c>
      <c r="P37" s="87"/>
      <c r="Q37" s="87"/>
      <c r="R37" s="87"/>
      <c r="S37" s="87"/>
      <c r="T37" s="87"/>
      <c r="U37" s="87">
        <v>2199.0</v>
      </c>
      <c r="V37" s="87">
        <v>2492.0</v>
      </c>
      <c r="W37" s="87"/>
      <c r="X37" s="87">
        <v>366.0</v>
      </c>
      <c r="Y37" s="87">
        <v>26.0</v>
      </c>
      <c r="Z37" s="87">
        <v>297.0</v>
      </c>
      <c r="AA37" s="87">
        <v>364.0</v>
      </c>
      <c r="AB37" s="87">
        <v>280.0</v>
      </c>
      <c r="AC37" s="87">
        <v>460.0</v>
      </c>
      <c r="AD37" s="87">
        <v>867.0</v>
      </c>
      <c r="AE37" s="87">
        <v>1007.0</v>
      </c>
      <c r="AF37" s="87">
        <v>1023.0</v>
      </c>
      <c r="AG37" s="87">
        <v>1.0</v>
      </c>
      <c r="AH37" s="87">
        <v>353.0</v>
      </c>
      <c r="AI37" s="87">
        <v>4279.0</v>
      </c>
      <c r="AJ37" s="87">
        <v>59.0</v>
      </c>
      <c r="AK37" s="87">
        <v>32.0</v>
      </c>
      <c r="AL37" s="87">
        <v>24.0</v>
      </c>
      <c r="AM37" s="87"/>
      <c r="AN37" s="87">
        <v>25.0</v>
      </c>
      <c r="AO37" s="87">
        <v>4118.0</v>
      </c>
      <c r="AP37" s="87">
        <v>72.0</v>
      </c>
      <c r="AQ37" s="87">
        <v>394.0</v>
      </c>
      <c r="AR37" s="87">
        <v>26.0</v>
      </c>
      <c r="AS37" s="87">
        <v>3714.0</v>
      </c>
      <c r="AT37" s="87">
        <v>547.0</v>
      </c>
      <c r="AU37" s="87">
        <v>13.0</v>
      </c>
      <c r="AV37" s="87">
        <v>42.0</v>
      </c>
      <c r="AW37" s="87">
        <v>10.0</v>
      </c>
      <c r="AX37" s="87"/>
      <c r="AY37" s="87"/>
      <c r="AZ37" s="87"/>
      <c r="BA37" s="87">
        <v>2.0</v>
      </c>
      <c r="BB37" s="87">
        <v>15.0</v>
      </c>
      <c r="BC37" s="87">
        <v>348.0</v>
      </c>
      <c r="BD37" s="87"/>
      <c r="BE37" s="87">
        <v>3741.0</v>
      </c>
      <c r="BF37" s="87">
        <v>2.0</v>
      </c>
      <c r="BG37" s="87">
        <v>941.0</v>
      </c>
      <c r="BH37" s="87">
        <v>7.0</v>
      </c>
      <c r="BI37" s="87">
        <v>18143.0</v>
      </c>
      <c r="BJ37" s="87">
        <v>2451.0</v>
      </c>
      <c r="BK37" s="87">
        <v>1328.0</v>
      </c>
      <c r="BL37" s="87">
        <v>429.0</v>
      </c>
      <c r="BM37" s="87">
        <v>348.0</v>
      </c>
      <c r="BN37" s="87">
        <v>134.0</v>
      </c>
      <c r="BO37" s="87">
        <v>1.0</v>
      </c>
      <c r="BP37" s="87">
        <v>3025.0</v>
      </c>
      <c r="BQ37" s="87">
        <v>174.0</v>
      </c>
      <c r="BR37" s="87">
        <v>5.0</v>
      </c>
      <c r="BS37" s="87">
        <v>574.0</v>
      </c>
      <c r="BT37" s="87">
        <v>10.0</v>
      </c>
      <c r="BU37" s="87">
        <v>14.0</v>
      </c>
      <c r="BV37" s="87">
        <v>77.0</v>
      </c>
      <c r="BW37" s="87">
        <v>131.0</v>
      </c>
      <c r="BX37" s="87">
        <v>507.0</v>
      </c>
      <c r="BY37" s="87"/>
      <c r="BZ37" s="87"/>
      <c r="CA37" s="87">
        <v>162.0</v>
      </c>
      <c r="CB37" s="87">
        <v>4.0</v>
      </c>
      <c r="CC37" s="87">
        <v>1.0</v>
      </c>
      <c r="CD37" s="87">
        <v>7.0</v>
      </c>
      <c r="CE37" s="87"/>
      <c r="CF37" s="87"/>
      <c r="CG37" s="87">
        <v>435.0</v>
      </c>
      <c r="CH37" s="87">
        <v>4256.0</v>
      </c>
      <c r="CI37" s="87"/>
      <c r="CJ37" s="87">
        <v>1856.0</v>
      </c>
      <c r="CK37" s="87">
        <v>1234.0</v>
      </c>
      <c r="CL37" s="87">
        <v>1375.0</v>
      </c>
      <c r="CM37" s="87">
        <v>10.0</v>
      </c>
      <c r="CN37" s="87"/>
      <c r="CO37" s="87">
        <v>163.0</v>
      </c>
      <c r="CP37" s="87"/>
      <c r="CQ37" s="87">
        <v>32.0</v>
      </c>
      <c r="CR37" s="87">
        <v>7.0</v>
      </c>
      <c r="CS37" s="87">
        <v>14.0</v>
      </c>
      <c r="CT37" s="87">
        <v>701.0</v>
      </c>
      <c r="CU37" s="87">
        <v>95.0</v>
      </c>
      <c r="CV37" s="87">
        <v>14.0</v>
      </c>
      <c r="CW37" s="87">
        <v>193.0</v>
      </c>
      <c r="CX37" s="87">
        <v>153.0</v>
      </c>
      <c r="CY37" s="87">
        <v>74.0</v>
      </c>
      <c r="CZ37" s="87">
        <v>3.0</v>
      </c>
      <c r="DA37" s="87">
        <v>4.0</v>
      </c>
      <c r="DB37" s="87">
        <v>663.0</v>
      </c>
      <c r="DC37" s="87">
        <v>462.0</v>
      </c>
      <c r="DD37" s="87">
        <v>606.0</v>
      </c>
      <c r="DE37" s="87">
        <v>102.0</v>
      </c>
      <c r="DF37" s="87">
        <v>177.0</v>
      </c>
      <c r="DG37" s="87">
        <v>211.0</v>
      </c>
      <c r="DH37" s="87">
        <v>385.0</v>
      </c>
      <c r="DI37" s="87">
        <v>366.0</v>
      </c>
      <c r="DJ37" s="87">
        <v>1.0</v>
      </c>
      <c r="DK37" s="87">
        <v>48.0</v>
      </c>
      <c r="DL37" s="87">
        <v>423.0</v>
      </c>
      <c r="DM37" s="87">
        <v>8.0</v>
      </c>
      <c r="DN37" s="87">
        <v>2.0</v>
      </c>
      <c r="DO37" s="87">
        <v>953.0</v>
      </c>
      <c r="DP37" s="87">
        <v>344.0</v>
      </c>
      <c r="DQ37" s="87">
        <v>217.0</v>
      </c>
      <c r="DR37" s="87">
        <v>418.0</v>
      </c>
      <c r="DS37" s="87">
        <v>1.0</v>
      </c>
      <c r="DT37" s="87"/>
      <c r="DU37" s="87">
        <v>1.0</v>
      </c>
      <c r="DV37" s="87">
        <v>21.0</v>
      </c>
      <c r="DW37" s="87">
        <v>2.0</v>
      </c>
      <c r="DX37" s="87">
        <v>100.0</v>
      </c>
      <c r="DY37" s="87">
        <v>306.0</v>
      </c>
      <c r="DZ37" s="87">
        <v>21.0</v>
      </c>
      <c r="EA37" s="87">
        <v>8.0</v>
      </c>
      <c r="EB37" s="87">
        <v>85.0</v>
      </c>
      <c r="EC37" s="87">
        <v>276.0</v>
      </c>
      <c r="ED37" s="87">
        <v>1876.0</v>
      </c>
      <c r="EE37" s="87">
        <v>62.0</v>
      </c>
      <c r="EF37" s="87"/>
      <c r="EG37" s="87">
        <v>123.0</v>
      </c>
      <c r="EH37" s="87">
        <v>1.0</v>
      </c>
      <c r="EI37" s="87">
        <v>19.0</v>
      </c>
      <c r="EJ37" s="87">
        <v>4548.0</v>
      </c>
      <c r="EK37" s="88"/>
      <c r="EL37" s="88"/>
      <c r="EM37" s="88"/>
      <c r="EN37" s="88"/>
      <c r="EO37" s="88"/>
      <c r="EP37" s="88"/>
      <c r="EQ37" s="90"/>
    </row>
    <row r="38" ht="12.0" customHeight="1">
      <c r="A38" s="89">
        <v>1.06094002E8</v>
      </c>
      <c r="B38" s="89" t="s">
        <v>653</v>
      </c>
      <c r="C38" s="89" t="s">
        <v>640</v>
      </c>
      <c r="D38" s="89" t="s">
        <v>654</v>
      </c>
      <c r="E38" s="89" t="s">
        <v>655</v>
      </c>
      <c r="F38" s="89" t="s">
        <v>650</v>
      </c>
      <c r="G38" s="89" t="s">
        <v>651</v>
      </c>
      <c r="H38" s="89" t="s">
        <v>503</v>
      </c>
      <c r="I38" s="89" t="s">
        <v>543</v>
      </c>
      <c r="J38" s="89" t="s">
        <v>499</v>
      </c>
      <c r="K38" s="89" t="s">
        <v>645</v>
      </c>
      <c r="L38" s="89" t="s">
        <v>545</v>
      </c>
      <c r="M38" s="89" t="s">
        <v>652</v>
      </c>
      <c r="N38" s="89" t="s">
        <v>547</v>
      </c>
      <c r="O38" s="87"/>
      <c r="P38" s="87"/>
      <c r="Q38" s="87">
        <v>299.0</v>
      </c>
      <c r="R38" s="87"/>
      <c r="S38" s="87"/>
      <c r="T38" s="87"/>
      <c r="U38" s="87">
        <v>162.0</v>
      </c>
      <c r="V38" s="87">
        <v>137.0</v>
      </c>
      <c r="W38" s="87"/>
      <c r="X38" s="87"/>
      <c r="Y38" s="87"/>
      <c r="Z38" s="87">
        <v>100.0</v>
      </c>
      <c r="AA38" s="87">
        <v>103.0</v>
      </c>
      <c r="AB38" s="87">
        <v>36.0</v>
      </c>
      <c r="AC38" s="87">
        <v>30.0</v>
      </c>
      <c r="AD38" s="87">
        <v>20.0</v>
      </c>
      <c r="AE38" s="87"/>
      <c r="AF38" s="87"/>
      <c r="AG38" s="87">
        <v>10.0</v>
      </c>
      <c r="AH38" s="87">
        <v>25.0</v>
      </c>
      <c r="AI38" s="87">
        <v>272.0</v>
      </c>
      <c r="AJ38" s="87">
        <v>2.0</v>
      </c>
      <c r="AK38" s="87"/>
      <c r="AL38" s="87"/>
      <c r="AM38" s="87"/>
      <c r="AN38" s="87">
        <v>17.0</v>
      </c>
      <c r="AO38" s="87">
        <v>237.0</v>
      </c>
      <c r="AP38" s="87">
        <v>14.0</v>
      </c>
      <c r="AQ38" s="87">
        <v>31.0</v>
      </c>
      <c r="AR38" s="87"/>
      <c r="AS38" s="87">
        <v>2.0</v>
      </c>
      <c r="AT38" s="87"/>
      <c r="AU38" s="87">
        <v>297.0</v>
      </c>
      <c r="AV38" s="87"/>
      <c r="AW38" s="87"/>
      <c r="AX38" s="87"/>
      <c r="AY38" s="87"/>
      <c r="AZ38" s="87"/>
      <c r="BA38" s="87"/>
      <c r="BB38" s="87"/>
      <c r="BC38" s="87"/>
      <c r="BD38" s="87"/>
      <c r="BE38" s="87"/>
      <c r="BF38" s="87"/>
      <c r="BG38" s="87">
        <v>299.0</v>
      </c>
      <c r="BH38" s="87"/>
      <c r="BI38" s="87">
        <v>3856.0</v>
      </c>
      <c r="BJ38" s="87"/>
      <c r="BK38" s="87">
        <v>299.0</v>
      </c>
      <c r="BL38" s="87"/>
      <c r="BM38" s="87"/>
      <c r="BN38" s="87"/>
      <c r="BO38" s="87"/>
      <c r="BP38" s="87">
        <v>281.0</v>
      </c>
      <c r="BQ38" s="87">
        <v>5.0</v>
      </c>
      <c r="BR38" s="87"/>
      <c r="BS38" s="87"/>
      <c r="BT38" s="87">
        <v>1.0</v>
      </c>
      <c r="BU38" s="87">
        <v>2.0</v>
      </c>
      <c r="BV38" s="87">
        <v>9.0</v>
      </c>
      <c r="BW38" s="87"/>
      <c r="BX38" s="87"/>
      <c r="BY38" s="87"/>
      <c r="BZ38" s="87"/>
      <c r="CA38" s="87">
        <v>1.0</v>
      </c>
      <c r="CB38" s="87"/>
      <c r="CC38" s="87"/>
      <c r="CD38" s="87"/>
      <c r="CE38" s="87"/>
      <c r="CF38" s="87"/>
      <c r="CG38" s="87"/>
      <c r="CH38" s="87">
        <v>299.0</v>
      </c>
      <c r="CI38" s="87"/>
      <c r="CJ38" s="87"/>
      <c r="CK38" s="87">
        <v>265.0</v>
      </c>
      <c r="CL38" s="87"/>
      <c r="CM38" s="87"/>
      <c r="CN38" s="87">
        <v>32.0</v>
      </c>
      <c r="CO38" s="87"/>
      <c r="CP38" s="87"/>
      <c r="CQ38" s="87"/>
      <c r="CR38" s="87">
        <v>2.0</v>
      </c>
      <c r="CS38" s="87"/>
      <c r="CT38" s="87"/>
      <c r="CU38" s="87"/>
      <c r="CV38" s="87"/>
      <c r="CW38" s="87"/>
      <c r="CX38" s="87">
        <v>299.0</v>
      </c>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v>299.0</v>
      </c>
      <c r="EE38" s="87"/>
      <c r="EF38" s="87">
        <v>2.0</v>
      </c>
      <c r="EG38" s="87"/>
      <c r="EH38" s="87"/>
      <c r="EI38" s="87">
        <v>4.0</v>
      </c>
      <c r="EJ38" s="87">
        <v>293.0</v>
      </c>
      <c r="EK38" s="88"/>
      <c r="EL38" s="88"/>
      <c r="EM38" s="88"/>
      <c r="EN38" s="88"/>
      <c r="EO38" s="88"/>
      <c r="EP38" s="88"/>
      <c r="EQ38" s="90"/>
    </row>
    <row r="39" ht="12.0" customHeight="1">
      <c r="A39" s="89">
        <v>1.06100005E8</v>
      </c>
      <c r="B39" s="89" t="s">
        <v>656</v>
      </c>
      <c r="C39" s="89" t="s">
        <v>657</v>
      </c>
      <c r="D39" s="89" t="s">
        <v>658</v>
      </c>
      <c r="E39" s="89" t="s">
        <v>659</v>
      </c>
      <c r="F39" s="89" t="s">
        <v>660</v>
      </c>
      <c r="G39" s="89" t="s">
        <v>661</v>
      </c>
      <c r="H39" s="89" t="s">
        <v>447</v>
      </c>
      <c r="I39" s="89" t="s">
        <v>543</v>
      </c>
      <c r="J39" s="89" t="s">
        <v>448</v>
      </c>
      <c r="K39" s="89" t="s">
        <v>544</v>
      </c>
      <c r="L39" s="89" t="s">
        <v>662</v>
      </c>
      <c r="M39" s="89" t="s">
        <v>663</v>
      </c>
      <c r="N39" s="89" t="s">
        <v>547</v>
      </c>
      <c r="O39" s="87">
        <v>22533.0</v>
      </c>
      <c r="P39" s="87"/>
      <c r="Q39" s="87"/>
      <c r="R39" s="87"/>
      <c r="S39" s="87"/>
      <c r="T39" s="87"/>
      <c r="U39" s="87">
        <v>8432.0</v>
      </c>
      <c r="V39" s="87">
        <v>14101.0</v>
      </c>
      <c r="W39" s="87"/>
      <c r="X39" s="87">
        <v>4633.0</v>
      </c>
      <c r="Y39" s="87">
        <v>178.0</v>
      </c>
      <c r="Z39" s="87">
        <v>2826.0</v>
      </c>
      <c r="AA39" s="87">
        <v>3261.0</v>
      </c>
      <c r="AB39" s="87">
        <v>1486.0</v>
      </c>
      <c r="AC39" s="87">
        <v>1896.0</v>
      </c>
      <c r="AD39" s="87">
        <v>2821.0</v>
      </c>
      <c r="AE39" s="87">
        <v>2806.0</v>
      </c>
      <c r="AF39" s="87">
        <v>2626.0</v>
      </c>
      <c r="AG39" s="87"/>
      <c r="AH39" s="87">
        <v>8392.0</v>
      </c>
      <c r="AI39" s="87">
        <v>14054.0</v>
      </c>
      <c r="AJ39" s="87">
        <v>87.0</v>
      </c>
      <c r="AK39" s="87">
        <v>279.0</v>
      </c>
      <c r="AL39" s="87">
        <v>1985.0</v>
      </c>
      <c r="AM39" s="87">
        <v>74.0</v>
      </c>
      <c r="AN39" s="87">
        <v>955.0</v>
      </c>
      <c r="AO39" s="87">
        <v>17944.0</v>
      </c>
      <c r="AP39" s="87">
        <v>49.0</v>
      </c>
      <c r="AQ39" s="87">
        <v>1036.0</v>
      </c>
      <c r="AR39" s="87">
        <v>211.0</v>
      </c>
      <c r="AS39" s="87">
        <v>17648.0</v>
      </c>
      <c r="AT39" s="87">
        <v>26.0</v>
      </c>
      <c r="AU39" s="87">
        <v>28.0</v>
      </c>
      <c r="AV39" s="87">
        <v>174.0</v>
      </c>
      <c r="AW39" s="87">
        <v>25.0</v>
      </c>
      <c r="AX39" s="87">
        <v>3.0</v>
      </c>
      <c r="AY39" s="87"/>
      <c r="AZ39" s="87"/>
      <c r="BA39" s="87">
        <v>1.0</v>
      </c>
      <c r="BB39" s="87">
        <v>3.0</v>
      </c>
      <c r="BC39" s="87">
        <v>4625.0</v>
      </c>
      <c r="BD39" s="87"/>
      <c r="BE39" s="87">
        <v>12096.0</v>
      </c>
      <c r="BF39" s="87">
        <v>3.0</v>
      </c>
      <c r="BG39" s="87">
        <v>10434.0</v>
      </c>
      <c r="BH39" s="87"/>
      <c r="BI39" s="87">
        <v>96978.0</v>
      </c>
      <c r="BJ39" s="87">
        <v>12151.0</v>
      </c>
      <c r="BK39" s="87">
        <v>4400.0</v>
      </c>
      <c r="BL39" s="87">
        <v>1314.0</v>
      </c>
      <c r="BM39" s="87">
        <v>4625.0</v>
      </c>
      <c r="BN39" s="87">
        <v>2.0</v>
      </c>
      <c r="BO39" s="87">
        <v>41.0</v>
      </c>
      <c r="BP39" s="87">
        <v>15031.0</v>
      </c>
      <c r="BQ39" s="87">
        <v>480.0</v>
      </c>
      <c r="BR39" s="87">
        <v>401.0</v>
      </c>
      <c r="BS39" s="87">
        <v>1548.0</v>
      </c>
      <c r="BT39" s="87">
        <v>102.0</v>
      </c>
      <c r="BU39" s="87">
        <v>1.0</v>
      </c>
      <c r="BV39" s="87">
        <v>370.0</v>
      </c>
      <c r="BW39" s="87">
        <v>584.0</v>
      </c>
      <c r="BX39" s="87">
        <v>3544.0</v>
      </c>
      <c r="BY39" s="87"/>
      <c r="BZ39" s="87">
        <v>4.0</v>
      </c>
      <c r="CA39" s="87">
        <v>420.0</v>
      </c>
      <c r="CB39" s="87">
        <v>39.0</v>
      </c>
      <c r="CC39" s="87"/>
      <c r="CD39" s="87">
        <v>3.0</v>
      </c>
      <c r="CE39" s="87">
        <v>6.0</v>
      </c>
      <c r="CF39" s="87"/>
      <c r="CG39" s="87">
        <v>653.0</v>
      </c>
      <c r="CH39" s="87">
        <v>21880.0</v>
      </c>
      <c r="CI39" s="87"/>
      <c r="CJ39" s="87">
        <v>7230.0</v>
      </c>
      <c r="CK39" s="87">
        <v>6720.0</v>
      </c>
      <c r="CL39" s="87">
        <v>7782.0</v>
      </c>
      <c r="CM39" s="87">
        <v>37.0</v>
      </c>
      <c r="CN39" s="87"/>
      <c r="CO39" s="87">
        <v>329.0</v>
      </c>
      <c r="CP39" s="87"/>
      <c r="CQ39" s="87">
        <v>435.0</v>
      </c>
      <c r="CR39" s="87"/>
      <c r="CS39" s="87"/>
      <c r="CT39" s="87">
        <v>1753.0</v>
      </c>
      <c r="CU39" s="87">
        <v>621.0</v>
      </c>
      <c r="CV39" s="87">
        <v>164.0</v>
      </c>
      <c r="CW39" s="87">
        <v>1065.0</v>
      </c>
      <c r="CX39" s="87">
        <v>163.0</v>
      </c>
      <c r="CY39" s="87">
        <v>332.0</v>
      </c>
      <c r="CZ39" s="87">
        <v>13.0</v>
      </c>
      <c r="DA39" s="87">
        <v>19.0</v>
      </c>
      <c r="DB39" s="87">
        <v>1916.0</v>
      </c>
      <c r="DC39" s="87">
        <v>1175.0</v>
      </c>
      <c r="DD39" s="87">
        <v>2240.0</v>
      </c>
      <c r="DE39" s="87">
        <v>325.0</v>
      </c>
      <c r="DF39" s="87">
        <v>381.0</v>
      </c>
      <c r="DG39" s="87">
        <v>1204.0</v>
      </c>
      <c r="DH39" s="87">
        <v>4921.0</v>
      </c>
      <c r="DI39" s="87">
        <v>4632.0</v>
      </c>
      <c r="DJ39" s="87">
        <v>10.0</v>
      </c>
      <c r="DK39" s="87">
        <v>253.0</v>
      </c>
      <c r="DL39" s="87">
        <v>1208.0</v>
      </c>
      <c r="DM39" s="87">
        <v>137.0</v>
      </c>
      <c r="DN39" s="87">
        <v>1.0</v>
      </c>
      <c r="DO39" s="87">
        <v>1796.0</v>
      </c>
      <c r="DP39" s="87">
        <v>4534.0</v>
      </c>
      <c r="DQ39" s="87">
        <v>1165.0</v>
      </c>
      <c r="DR39" s="87">
        <v>2103.0</v>
      </c>
      <c r="DS39" s="87">
        <v>6.0</v>
      </c>
      <c r="DT39" s="87">
        <v>10.0</v>
      </c>
      <c r="DU39" s="87">
        <v>1.0</v>
      </c>
      <c r="DV39" s="87">
        <v>180.0</v>
      </c>
      <c r="DW39" s="87">
        <v>114.0</v>
      </c>
      <c r="DX39" s="87">
        <v>383.0</v>
      </c>
      <c r="DY39" s="87">
        <v>1121.0</v>
      </c>
      <c r="DZ39" s="87">
        <v>131.0</v>
      </c>
      <c r="EA39" s="87">
        <v>23.0</v>
      </c>
      <c r="EB39" s="87">
        <v>437.0</v>
      </c>
      <c r="EC39" s="87">
        <v>296.0</v>
      </c>
      <c r="ED39" s="87">
        <v>9783.0</v>
      </c>
      <c r="EE39" s="87">
        <v>450.0</v>
      </c>
      <c r="EF39" s="87"/>
      <c r="EG39" s="87">
        <v>167.0</v>
      </c>
      <c r="EH39" s="87">
        <v>1.0</v>
      </c>
      <c r="EI39" s="87">
        <v>60.0</v>
      </c>
      <c r="EJ39" s="87">
        <v>22305.0</v>
      </c>
      <c r="EK39" s="88"/>
      <c r="EL39" s="88"/>
      <c r="EM39" s="88"/>
      <c r="EN39" s="88"/>
      <c r="EO39" s="88"/>
      <c r="EP39" s="88"/>
      <c r="EQ39" s="90"/>
    </row>
    <row r="40" ht="12.0" customHeight="1">
      <c r="A40" s="89">
        <v>1.06100697E8</v>
      </c>
      <c r="B40" s="89" t="s">
        <v>664</v>
      </c>
      <c r="C40" s="89" t="s">
        <v>657</v>
      </c>
      <c r="D40" s="89" t="s">
        <v>665</v>
      </c>
      <c r="E40" s="89" t="s">
        <v>666</v>
      </c>
      <c r="F40" s="89" t="s">
        <v>667</v>
      </c>
      <c r="G40" s="89" t="s">
        <v>668</v>
      </c>
      <c r="H40" s="89" t="s">
        <v>475</v>
      </c>
      <c r="I40" s="89" t="s">
        <v>543</v>
      </c>
      <c r="J40" s="89" t="s">
        <v>437</v>
      </c>
      <c r="K40" s="89" t="s">
        <v>669</v>
      </c>
      <c r="L40" s="89" t="s">
        <v>670</v>
      </c>
      <c r="M40" s="89" t="s">
        <v>671</v>
      </c>
      <c r="N40" s="89" t="s">
        <v>547</v>
      </c>
      <c r="O40" s="87">
        <v>637.0</v>
      </c>
      <c r="P40" s="87">
        <v>92.0</v>
      </c>
      <c r="Q40" s="87"/>
      <c r="R40" s="87"/>
      <c r="S40" s="87"/>
      <c r="T40" s="87"/>
      <c r="U40" s="87">
        <v>352.0</v>
      </c>
      <c r="V40" s="87">
        <v>377.0</v>
      </c>
      <c r="W40" s="87"/>
      <c r="X40" s="87"/>
      <c r="Y40" s="87"/>
      <c r="Z40" s="87">
        <v>48.0</v>
      </c>
      <c r="AA40" s="87">
        <v>97.0</v>
      </c>
      <c r="AB40" s="87">
        <v>119.0</v>
      </c>
      <c r="AC40" s="87">
        <v>112.0</v>
      </c>
      <c r="AD40" s="87">
        <v>167.0</v>
      </c>
      <c r="AE40" s="87">
        <v>109.0</v>
      </c>
      <c r="AF40" s="87">
        <v>71.0</v>
      </c>
      <c r="AG40" s="87">
        <v>6.0</v>
      </c>
      <c r="AH40" s="87">
        <v>420.0</v>
      </c>
      <c r="AI40" s="87">
        <v>306.0</v>
      </c>
      <c r="AJ40" s="87">
        <v>3.0</v>
      </c>
      <c r="AK40" s="87"/>
      <c r="AL40" s="87"/>
      <c r="AM40" s="87"/>
      <c r="AN40" s="87">
        <v>22.0</v>
      </c>
      <c r="AO40" s="87">
        <v>695.0</v>
      </c>
      <c r="AP40" s="87">
        <v>12.0</v>
      </c>
      <c r="AQ40" s="87"/>
      <c r="AR40" s="87"/>
      <c r="AS40" s="87">
        <v>714.0</v>
      </c>
      <c r="AT40" s="87"/>
      <c r="AU40" s="87">
        <v>2.0</v>
      </c>
      <c r="AV40" s="87">
        <v>7.0</v>
      </c>
      <c r="AW40" s="87"/>
      <c r="AX40" s="87">
        <v>6.0</v>
      </c>
      <c r="AY40" s="87"/>
      <c r="AZ40" s="87"/>
      <c r="BA40" s="87"/>
      <c r="BB40" s="87"/>
      <c r="BC40" s="87"/>
      <c r="BD40" s="87"/>
      <c r="BE40" s="87">
        <v>10.0</v>
      </c>
      <c r="BF40" s="87"/>
      <c r="BG40" s="87">
        <v>719.0</v>
      </c>
      <c r="BH40" s="87"/>
      <c r="BI40" s="87">
        <v>9971.0</v>
      </c>
      <c r="BJ40" s="87">
        <v>23.0</v>
      </c>
      <c r="BK40" s="87">
        <v>694.0</v>
      </c>
      <c r="BL40" s="87">
        <v>12.0</v>
      </c>
      <c r="BM40" s="87"/>
      <c r="BN40" s="87"/>
      <c r="BO40" s="87"/>
      <c r="BP40" s="87">
        <v>509.0</v>
      </c>
      <c r="BQ40" s="87">
        <v>34.0</v>
      </c>
      <c r="BR40" s="87">
        <v>2.0</v>
      </c>
      <c r="BS40" s="87">
        <v>43.0</v>
      </c>
      <c r="BT40" s="87">
        <v>25.0</v>
      </c>
      <c r="BU40" s="87">
        <v>24.0</v>
      </c>
      <c r="BV40" s="87">
        <v>51.0</v>
      </c>
      <c r="BW40" s="87">
        <v>2.0</v>
      </c>
      <c r="BX40" s="87">
        <v>8.0</v>
      </c>
      <c r="BY40" s="87"/>
      <c r="BZ40" s="87"/>
      <c r="CA40" s="87">
        <v>2.0</v>
      </c>
      <c r="CB40" s="87"/>
      <c r="CC40" s="87">
        <v>10.0</v>
      </c>
      <c r="CD40" s="87">
        <v>19.0</v>
      </c>
      <c r="CE40" s="87"/>
      <c r="CF40" s="87"/>
      <c r="CG40" s="87">
        <v>133.0</v>
      </c>
      <c r="CH40" s="87">
        <v>595.0</v>
      </c>
      <c r="CI40" s="87">
        <v>1.0</v>
      </c>
      <c r="CJ40" s="87">
        <v>74.0</v>
      </c>
      <c r="CK40" s="87">
        <v>208.0</v>
      </c>
      <c r="CL40" s="87">
        <v>200.0</v>
      </c>
      <c r="CM40" s="87">
        <v>5.0</v>
      </c>
      <c r="CN40" s="87"/>
      <c r="CO40" s="87">
        <v>1.0</v>
      </c>
      <c r="CP40" s="87"/>
      <c r="CQ40" s="87">
        <v>15.0</v>
      </c>
      <c r="CR40" s="87">
        <v>222.0</v>
      </c>
      <c r="CS40" s="87">
        <v>4.0</v>
      </c>
      <c r="CT40" s="87">
        <v>98.0</v>
      </c>
      <c r="CU40" s="87">
        <v>5.0</v>
      </c>
      <c r="CV40" s="87">
        <v>14.0</v>
      </c>
      <c r="CW40" s="87">
        <v>59.0</v>
      </c>
      <c r="CX40" s="87">
        <v>27.0</v>
      </c>
      <c r="CY40" s="87">
        <v>23.0</v>
      </c>
      <c r="CZ40" s="87">
        <v>1.0</v>
      </c>
      <c r="DA40" s="87">
        <v>1.0</v>
      </c>
      <c r="DB40" s="87">
        <v>81.0</v>
      </c>
      <c r="DC40" s="87">
        <v>75.0</v>
      </c>
      <c r="DD40" s="87">
        <v>80.0</v>
      </c>
      <c r="DE40" s="87">
        <v>52.0</v>
      </c>
      <c r="DF40" s="87">
        <v>23.0</v>
      </c>
      <c r="DG40" s="87">
        <v>102.0</v>
      </c>
      <c r="DH40" s="87"/>
      <c r="DI40" s="87"/>
      <c r="DJ40" s="87"/>
      <c r="DK40" s="87">
        <v>40.0</v>
      </c>
      <c r="DL40" s="87">
        <v>41.0</v>
      </c>
      <c r="DM40" s="87">
        <v>5.0</v>
      </c>
      <c r="DN40" s="87">
        <v>2.0</v>
      </c>
      <c r="DO40" s="87">
        <v>466.0</v>
      </c>
      <c r="DP40" s="87">
        <v>1.0</v>
      </c>
      <c r="DQ40" s="87"/>
      <c r="DR40" s="87"/>
      <c r="DS40" s="87"/>
      <c r="DT40" s="87"/>
      <c r="DU40" s="87"/>
      <c r="DV40" s="87"/>
      <c r="DW40" s="87"/>
      <c r="DX40" s="87">
        <v>4.0</v>
      </c>
      <c r="DY40" s="87">
        <v>1.0</v>
      </c>
      <c r="DZ40" s="87"/>
      <c r="EA40" s="87">
        <v>1.0</v>
      </c>
      <c r="EB40" s="87">
        <v>12.0</v>
      </c>
      <c r="EC40" s="87"/>
      <c r="ED40" s="87">
        <v>239.0</v>
      </c>
      <c r="EE40" s="87">
        <v>5.0</v>
      </c>
      <c r="EF40" s="87"/>
      <c r="EG40" s="87">
        <v>2.0</v>
      </c>
      <c r="EH40" s="87"/>
      <c r="EI40" s="87">
        <v>5.0</v>
      </c>
      <c r="EJ40" s="87">
        <v>722.0</v>
      </c>
      <c r="EK40" s="88"/>
      <c r="EL40" s="88"/>
      <c r="EM40" s="88"/>
      <c r="EN40" s="88"/>
      <c r="EO40" s="88"/>
      <c r="EP40" s="88"/>
      <c r="EQ40" s="90"/>
    </row>
    <row r="41" ht="12.0" customHeight="1">
      <c r="A41" s="89">
        <v>1.06100717E8</v>
      </c>
      <c r="B41" s="89" t="s">
        <v>672</v>
      </c>
      <c r="C41" s="89" t="s">
        <v>657</v>
      </c>
      <c r="D41" s="89" t="s">
        <v>673</v>
      </c>
      <c r="E41" s="89" t="s">
        <v>674</v>
      </c>
      <c r="F41" s="89" t="s">
        <v>657</v>
      </c>
      <c r="G41" s="89" t="s">
        <v>675</v>
      </c>
      <c r="H41" s="89" t="s">
        <v>447</v>
      </c>
      <c r="I41" s="89" t="s">
        <v>456</v>
      </c>
      <c r="J41" s="89" t="s">
        <v>605</v>
      </c>
      <c r="K41" s="89" t="s">
        <v>591</v>
      </c>
      <c r="L41" s="89" t="s">
        <v>670</v>
      </c>
      <c r="M41" s="89" t="s">
        <v>676</v>
      </c>
      <c r="N41" s="89" t="s">
        <v>441</v>
      </c>
      <c r="O41" s="87">
        <v>41220.0</v>
      </c>
      <c r="P41" s="87">
        <v>88.0</v>
      </c>
      <c r="Q41" s="87">
        <v>2155.0</v>
      </c>
      <c r="R41" s="87"/>
      <c r="S41" s="87">
        <v>713.0</v>
      </c>
      <c r="T41" s="87"/>
      <c r="U41" s="87">
        <v>20977.0</v>
      </c>
      <c r="V41" s="87">
        <v>23198.0</v>
      </c>
      <c r="W41" s="87">
        <v>1.0</v>
      </c>
      <c r="X41" s="87">
        <v>4905.0</v>
      </c>
      <c r="Y41" s="87">
        <v>1155.0</v>
      </c>
      <c r="Z41" s="87">
        <v>5198.0</v>
      </c>
      <c r="AA41" s="87">
        <v>5968.0</v>
      </c>
      <c r="AB41" s="87">
        <v>4995.0</v>
      </c>
      <c r="AC41" s="87">
        <v>6250.0</v>
      </c>
      <c r="AD41" s="87">
        <v>7290.0</v>
      </c>
      <c r="AE41" s="87">
        <v>5180.0</v>
      </c>
      <c r="AF41" s="87">
        <v>3235.0</v>
      </c>
      <c r="AG41" s="87"/>
      <c r="AH41" s="87">
        <v>21815.0</v>
      </c>
      <c r="AI41" s="87">
        <v>22235.0</v>
      </c>
      <c r="AJ41" s="87">
        <v>126.0</v>
      </c>
      <c r="AK41" s="87">
        <v>404.0</v>
      </c>
      <c r="AL41" s="87">
        <v>2934.0</v>
      </c>
      <c r="AM41" s="87">
        <v>124.0</v>
      </c>
      <c r="AN41" s="87">
        <v>4110.0</v>
      </c>
      <c r="AO41" s="87">
        <v>33589.0</v>
      </c>
      <c r="AP41" s="87">
        <v>80.0</v>
      </c>
      <c r="AQ41" s="87">
        <v>2341.0</v>
      </c>
      <c r="AR41" s="87">
        <v>594.0</v>
      </c>
      <c r="AS41" s="87">
        <v>32819.0</v>
      </c>
      <c r="AT41" s="87">
        <v>214.0</v>
      </c>
      <c r="AU41" s="87">
        <v>3322.0</v>
      </c>
      <c r="AV41" s="87">
        <v>1109.0</v>
      </c>
      <c r="AW41" s="87">
        <v>710.0</v>
      </c>
      <c r="AX41" s="87">
        <v>1577.0</v>
      </c>
      <c r="AY41" s="87">
        <v>1.0</v>
      </c>
      <c r="AZ41" s="87"/>
      <c r="BA41" s="87">
        <v>346.0</v>
      </c>
      <c r="BB41" s="87">
        <v>41.0</v>
      </c>
      <c r="BC41" s="87">
        <v>4037.0</v>
      </c>
      <c r="BD41" s="87"/>
      <c r="BE41" s="87">
        <v>26774.0</v>
      </c>
      <c r="BF41" s="87">
        <v>875.0</v>
      </c>
      <c r="BG41" s="87">
        <v>16527.0</v>
      </c>
      <c r="BH41" s="87"/>
      <c r="BI41" s="87">
        <v>296985.0</v>
      </c>
      <c r="BJ41" s="87">
        <v>22810.0</v>
      </c>
      <c r="BK41" s="87">
        <v>8257.0</v>
      </c>
      <c r="BL41" s="87">
        <v>5802.0</v>
      </c>
      <c r="BM41" s="87">
        <v>4037.0</v>
      </c>
      <c r="BN41" s="87">
        <v>3132.0</v>
      </c>
      <c r="BO41" s="87">
        <v>138.0</v>
      </c>
      <c r="BP41" s="87">
        <v>27153.0</v>
      </c>
      <c r="BQ41" s="87">
        <v>637.0</v>
      </c>
      <c r="BR41" s="87">
        <v>945.0</v>
      </c>
      <c r="BS41" s="87">
        <v>3258.0</v>
      </c>
      <c r="BT41" s="87">
        <v>152.0</v>
      </c>
      <c r="BU41" s="87">
        <v>439.0</v>
      </c>
      <c r="BV41" s="87">
        <v>2113.0</v>
      </c>
      <c r="BW41" s="87">
        <v>1280.0</v>
      </c>
      <c r="BX41" s="87">
        <v>7303.0</v>
      </c>
      <c r="BY41" s="87"/>
      <c r="BZ41" s="87">
        <v>10.0</v>
      </c>
      <c r="CA41" s="87">
        <v>571.0</v>
      </c>
      <c r="CB41" s="87">
        <v>246.0</v>
      </c>
      <c r="CC41" s="87"/>
      <c r="CD41" s="87">
        <v>39.0</v>
      </c>
      <c r="CE41" s="87">
        <v>30.0</v>
      </c>
      <c r="CF41" s="87"/>
      <c r="CG41" s="87">
        <v>1218.0</v>
      </c>
      <c r="CH41" s="87">
        <v>42958.0</v>
      </c>
      <c r="CI41" s="87"/>
      <c r="CJ41" s="87">
        <v>12796.0</v>
      </c>
      <c r="CK41" s="87">
        <v>22158.0</v>
      </c>
      <c r="CL41" s="87">
        <v>5763.0</v>
      </c>
      <c r="CM41" s="87">
        <v>222.0</v>
      </c>
      <c r="CN41" s="87">
        <v>131.0</v>
      </c>
      <c r="CO41" s="87">
        <v>1942.0</v>
      </c>
      <c r="CP41" s="87"/>
      <c r="CQ41" s="87">
        <v>1164.0</v>
      </c>
      <c r="CR41" s="87"/>
      <c r="CS41" s="87"/>
      <c r="CT41" s="87">
        <v>3278.0</v>
      </c>
      <c r="CU41" s="87">
        <v>1365.0</v>
      </c>
      <c r="CV41" s="87">
        <v>214.0</v>
      </c>
      <c r="CW41" s="87">
        <v>3172.0</v>
      </c>
      <c r="CX41" s="87">
        <v>3356.0</v>
      </c>
      <c r="CY41" s="87">
        <v>1267.0</v>
      </c>
      <c r="CZ41" s="87">
        <v>56.0</v>
      </c>
      <c r="DA41" s="87">
        <v>65.0</v>
      </c>
      <c r="DB41" s="87">
        <v>6009.0</v>
      </c>
      <c r="DC41" s="87">
        <v>2028.0</v>
      </c>
      <c r="DD41" s="87">
        <v>3577.0</v>
      </c>
      <c r="DE41" s="87">
        <v>659.0</v>
      </c>
      <c r="DF41" s="87">
        <v>1188.0</v>
      </c>
      <c r="DG41" s="87">
        <v>1839.0</v>
      </c>
      <c r="DH41" s="87">
        <v>5097.0</v>
      </c>
      <c r="DI41" s="87">
        <v>4246.0</v>
      </c>
      <c r="DJ41" s="87">
        <v>76.0</v>
      </c>
      <c r="DK41" s="87">
        <v>798.0</v>
      </c>
      <c r="DL41" s="87">
        <v>5366.0</v>
      </c>
      <c r="DM41" s="87">
        <v>517.0</v>
      </c>
      <c r="DN41" s="87">
        <v>3.0</v>
      </c>
      <c r="DO41" s="87">
        <v>4633.0</v>
      </c>
      <c r="DP41" s="87">
        <v>3951.0</v>
      </c>
      <c r="DQ41" s="87">
        <v>4266.0</v>
      </c>
      <c r="DR41" s="87">
        <v>4974.0</v>
      </c>
      <c r="DS41" s="87">
        <v>27.0</v>
      </c>
      <c r="DT41" s="87">
        <v>52.0</v>
      </c>
      <c r="DU41" s="87">
        <v>19.0</v>
      </c>
      <c r="DV41" s="87">
        <v>471.0</v>
      </c>
      <c r="DW41" s="87">
        <v>174.0</v>
      </c>
      <c r="DX41" s="87">
        <v>1212.0</v>
      </c>
      <c r="DY41" s="87">
        <v>2608.0</v>
      </c>
      <c r="DZ41" s="87">
        <v>983.0</v>
      </c>
      <c r="EA41" s="87">
        <v>137.0</v>
      </c>
      <c r="EB41" s="87">
        <v>931.0</v>
      </c>
      <c r="EC41" s="87">
        <v>496.0</v>
      </c>
      <c r="ED41" s="87">
        <v>18469.0</v>
      </c>
      <c r="EE41" s="87">
        <v>773.0</v>
      </c>
      <c r="EF41" s="87">
        <v>59.0</v>
      </c>
      <c r="EG41" s="87">
        <v>2347.0</v>
      </c>
      <c r="EH41" s="87">
        <v>12.0</v>
      </c>
      <c r="EI41" s="87">
        <v>163.0</v>
      </c>
      <c r="EJ41" s="87">
        <v>41595.0</v>
      </c>
      <c r="EK41" s="88"/>
      <c r="EL41" s="88"/>
      <c r="EM41" s="88"/>
      <c r="EN41" s="88"/>
      <c r="EO41" s="88"/>
      <c r="EP41" s="88"/>
      <c r="EQ41" s="90"/>
    </row>
    <row r="42" ht="12.0" customHeight="1">
      <c r="A42" s="89">
        <v>1.06100797E8</v>
      </c>
      <c r="B42" s="89" t="s">
        <v>677</v>
      </c>
      <c r="C42" s="89" t="s">
        <v>657</v>
      </c>
      <c r="D42" s="89" t="s">
        <v>678</v>
      </c>
      <c r="E42" s="89" t="s">
        <v>679</v>
      </c>
      <c r="F42" s="89" t="s">
        <v>680</v>
      </c>
      <c r="G42" s="89" t="s">
        <v>681</v>
      </c>
      <c r="H42" s="89" t="s">
        <v>447</v>
      </c>
      <c r="I42" s="89" t="s">
        <v>543</v>
      </c>
      <c r="J42" s="89" t="s">
        <v>499</v>
      </c>
      <c r="K42" s="89" t="s">
        <v>591</v>
      </c>
      <c r="L42" s="89" t="s">
        <v>670</v>
      </c>
      <c r="M42" s="89" t="s">
        <v>682</v>
      </c>
      <c r="N42" s="89" t="s">
        <v>547</v>
      </c>
      <c r="O42" s="87">
        <v>2843.0</v>
      </c>
      <c r="P42" s="87">
        <v>203.0</v>
      </c>
      <c r="Q42" s="87"/>
      <c r="R42" s="87"/>
      <c r="S42" s="87"/>
      <c r="T42" s="87"/>
      <c r="U42" s="87">
        <v>879.0</v>
      </c>
      <c r="V42" s="87">
        <v>2167.0</v>
      </c>
      <c r="W42" s="87"/>
      <c r="X42" s="87">
        <v>1263.0</v>
      </c>
      <c r="Y42" s="87">
        <v>81.0</v>
      </c>
      <c r="Z42" s="87">
        <v>728.0</v>
      </c>
      <c r="AA42" s="87">
        <v>502.0</v>
      </c>
      <c r="AB42" s="87">
        <v>98.0</v>
      </c>
      <c r="AC42" s="87">
        <v>92.0</v>
      </c>
      <c r="AD42" s="87">
        <v>92.0</v>
      </c>
      <c r="AE42" s="87">
        <v>90.0</v>
      </c>
      <c r="AF42" s="87">
        <v>100.0</v>
      </c>
      <c r="AG42" s="87"/>
      <c r="AH42" s="87">
        <v>2567.0</v>
      </c>
      <c r="AI42" s="87">
        <v>399.0</v>
      </c>
      <c r="AJ42" s="87">
        <v>80.0</v>
      </c>
      <c r="AK42" s="87"/>
      <c r="AL42" s="87">
        <v>25.0</v>
      </c>
      <c r="AM42" s="87"/>
      <c r="AN42" s="87">
        <v>12.0</v>
      </c>
      <c r="AO42" s="87">
        <v>2208.0</v>
      </c>
      <c r="AP42" s="87">
        <v>86.0</v>
      </c>
      <c r="AQ42" s="87">
        <v>715.0</v>
      </c>
      <c r="AR42" s="87"/>
      <c r="AS42" s="87">
        <v>1531.0</v>
      </c>
      <c r="AT42" s="87">
        <v>25.0</v>
      </c>
      <c r="AU42" s="87">
        <v>188.0</v>
      </c>
      <c r="AV42" s="87">
        <v>8.0</v>
      </c>
      <c r="AW42" s="87"/>
      <c r="AX42" s="87">
        <v>33.0</v>
      </c>
      <c r="AY42" s="87"/>
      <c r="AZ42" s="87"/>
      <c r="BA42" s="87"/>
      <c r="BB42" s="87"/>
      <c r="BC42" s="87">
        <v>1261.0</v>
      </c>
      <c r="BD42" s="87"/>
      <c r="BE42" s="87">
        <v>252.0</v>
      </c>
      <c r="BF42" s="87">
        <v>71.0</v>
      </c>
      <c r="BG42" s="87">
        <v>2718.0</v>
      </c>
      <c r="BH42" s="87">
        <v>5.0</v>
      </c>
      <c r="BI42" s="87">
        <v>10829.0</v>
      </c>
      <c r="BJ42" s="87">
        <v>234.0</v>
      </c>
      <c r="BK42" s="87">
        <v>360.0</v>
      </c>
      <c r="BL42" s="87">
        <v>1191.0</v>
      </c>
      <c r="BM42" s="87">
        <v>1261.0</v>
      </c>
      <c r="BN42" s="87"/>
      <c r="BO42" s="87"/>
      <c r="BP42" s="87">
        <v>2647.0</v>
      </c>
      <c r="BQ42" s="87">
        <v>79.0</v>
      </c>
      <c r="BR42" s="87">
        <v>1.0</v>
      </c>
      <c r="BS42" s="87">
        <v>71.0</v>
      </c>
      <c r="BT42" s="87">
        <v>1.0</v>
      </c>
      <c r="BU42" s="87"/>
      <c r="BV42" s="87">
        <v>27.0</v>
      </c>
      <c r="BW42" s="87">
        <v>8.0</v>
      </c>
      <c r="BX42" s="87">
        <v>182.0</v>
      </c>
      <c r="BY42" s="87"/>
      <c r="BZ42" s="87">
        <v>22.0</v>
      </c>
      <c r="CA42" s="87">
        <v>6.0</v>
      </c>
      <c r="CB42" s="87"/>
      <c r="CC42" s="87"/>
      <c r="CD42" s="87"/>
      <c r="CE42" s="87">
        <v>2.0</v>
      </c>
      <c r="CF42" s="87"/>
      <c r="CG42" s="87">
        <v>72.0</v>
      </c>
      <c r="CH42" s="87">
        <v>2974.0</v>
      </c>
      <c r="CI42" s="87"/>
      <c r="CJ42" s="87">
        <v>225.0</v>
      </c>
      <c r="CK42" s="87">
        <v>2307.0</v>
      </c>
      <c r="CL42" s="87">
        <v>456.0</v>
      </c>
      <c r="CM42" s="87"/>
      <c r="CN42" s="87"/>
      <c r="CO42" s="87">
        <v>13.0</v>
      </c>
      <c r="CP42" s="87"/>
      <c r="CQ42" s="87">
        <v>43.0</v>
      </c>
      <c r="CR42" s="87"/>
      <c r="CS42" s="87">
        <v>2.0</v>
      </c>
      <c r="CT42" s="87">
        <v>40.0</v>
      </c>
      <c r="CU42" s="87">
        <v>13.0</v>
      </c>
      <c r="CV42" s="87"/>
      <c r="CW42" s="87">
        <v>32.0</v>
      </c>
      <c r="CX42" s="87">
        <v>10.0</v>
      </c>
      <c r="CY42" s="87">
        <v>11.0</v>
      </c>
      <c r="CZ42" s="87">
        <v>1.0</v>
      </c>
      <c r="DA42" s="87">
        <v>1.0</v>
      </c>
      <c r="DB42" s="87">
        <v>67.0</v>
      </c>
      <c r="DC42" s="87">
        <v>69.0</v>
      </c>
      <c r="DD42" s="87">
        <v>34.0</v>
      </c>
      <c r="DE42" s="87">
        <v>8.0</v>
      </c>
      <c r="DF42" s="87">
        <v>21.0</v>
      </c>
      <c r="DG42" s="87">
        <v>63.0</v>
      </c>
      <c r="DH42" s="87">
        <v>1308.0</v>
      </c>
      <c r="DI42" s="87">
        <v>1263.0</v>
      </c>
      <c r="DJ42" s="87"/>
      <c r="DK42" s="87">
        <v>44.0</v>
      </c>
      <c r="DL42" s="87">
        <v>34.0</v>
      </c>
      <c r="DM42" s="87">
        <v>26.0</v>
      </c>
      <c r="DN42" s="87">
        <v>1.0</v>
      </c>
      <c r="DO42" s="87">
        <v>1313.0</v>
      </c>
      <c r="DP42" s="87">
        <v>1284.0</v>
      </c>
      <c r="DQ42" s="87">
        <v>21.0</v>
      </c>
      <c r="DR42" s="87">
        <v>2.0</v>
      </c>
      <c r="DS42" s="87"/>
      <c r="DT42" s="87"/>
      <c r="DU42" s="87"/>
      <c r="DV42" s="87">
        <v>38.0</v>
      </c>
      <c r="DW42" s="87"/>
      <c r="DX42" s="87">
        <v>7.0</v>
      </c>
      <c r="DY42" s="87">
        <v>1.0</v>
      </c>
      <c r="DZ42" s="87">
        <v>4.0</v>
      </c>
      <c r="EA42" s="87"/>
      <c r="EB42" s="87">
        <v>4.0</v>
      </c>
      <c r="EC42" s="87">
        <v>1.0</v>
      </c>
      <c r="ED42" s="87">
        <v>362.0</v>
      </c>
      <c r="EE42" s="87">
        <v>9.0</v>
      </c>
      <c r="EF42" s="87">
        <v>1.0</v>
      </c>
      <c r="EG42" s="87">
        <v>18.0</v>
      </c>
      <c r="EH42" s="87"/>
      <c r="EI42" s="87"/>
      <c r="EJ42" s="87">
        <v>3027.0</v>
      </c>
      <c r="EK42" s="88"/>
      <c r="EL42" s="88"/>
      <c r="EM42" s="88"/>
      <c r="EN42" s="88"/>
      <c r="EO42" s="88"/>
      <c r="EP42" s="88"/>
      <c r="EQ42" s="90"/>
    </row>
    <row r="43" ht="12.0" customHeight="1">
      <c r="A43" s="89">
        <v>1.06100899E8</v>
      </c>
      <c r="B43" s="89" t="s">
        <v>683</v>
      </c>
      <c r="C43" s="89" t="s">
        <v>657</v>
      </c>
      <c r="D43" s="89" t="s">
        <v>684</v>
      </c>
      <c r="E43" s="89" t="s">
        <v>685</v>
      </c>
      <c r="F43" s="89" t="s">
        <v>657</v>
      </c>
      <c r="G43" s="89" t="s">
        <v>686</v>
      </c>
      <c r="H43" s="89" t="s">
        <v>447</v>
      </c>
      <c r="I43" s="89" t="s">
        <v>543</v>
      </c>
      <c r="J43" s="89" t="s">
        <v>448</v>
      </c>
      <c r="K43" s="89" t="s">
        <v>544</v>
      </c>
      <c r="L43" s="89" t="s">
        <v>662</v>
      </c>
      <c r="M43" s="89" t="s">
        <v>687</v>
      </c>
      <c r="N43" s="89" t="s">
        <v>441</v>
      </c>
      <c r="O43" s="87">
        <v>26402.0</v>
      </c>
      <c r="P43" s="87"/>
      <c r="Q43" s="87"/>
      <c r="R43" s="87"/>
      <c r="S43" s="87"/>
      <c r="T43" s="87"/>
      <c r="U43" s="87">
        <v>10759.0</v>
      </c>
      <c r="V43" s="87">
        <v>15643.0</v>
      </c>
      <c r="W43" s="87"/>
      <c r="X43" s="87">
        <v>3974.0</v>
      </c>
      <c r="Y43" s="87">
        <v>258.0</v>
      </c>
      <c r="Z43" s="87">
        <v>2858.0</v>
      </c>
      <c r="AA43" s="87">
        <v>3057.0</v>
      </c>
      <c r="AB43" s="87">
        <v>1939.0</v>
      </c>
      <c r="AC43" s="87">
        <v>2566.0</v>
      </c>
      <c r="AD43" s="87">
        <v>3865.0</v>
      </c>
      <c r="AE43" s="87">
        <v>3875.0</v>
      </c>
      <c r="AF43" s="87">
        <v>4010.0</v>
      </c>
      <c r="AG43" s="87"/>
      <c r="AH43" s="87">
        <v>11085.0</v>
      </c>
      <c r="AI43" s="87">
        <v>15182.0</v>
      </c>
      <c r="AJ43" s="87">
        <v>135.0</v>
      </c>
      <c r="AK43" s="87">
        <v>119.0</v>
      </c>
      <c r="AL43" s="87">
        <v>1730.0</v>
      </c>
      <c r="AM43" s="87">
        <v>14.0</v>
      </c>
      <c r="AN43" s="87">
        <v>1720.0</v>
      </c>
      <c r="AO43" s="87">
        <v>20713.0</v>
      </c>
      <c r="AP43" s="87">
        <v>268.0</v>
      </c>
      <c r="AQ43" s="87">
        <v>1789.0</v>
      </c>
      <c r="AR43" s="87">
        <v>49.0</v>
      </c>
      <c r="AS43" s="87">
        <v>19574.0</v>
      </c>
      <c r="AT43" s="87">
        <v>2363.0</v>
      </c>
      <c r="AU43" s="87">
        <v>203.0</v>
      </c>
      <c r="AV43" s="87">
        <v>253.0</v>
      </c>
      <c r="AW43" s="87">
        <v>28.0</v>
      </c>
      <c r="AX43" s="87"/>
      <c r="AY43" s="87"/>
      <c r="AZ43" s="87"/>
      <c r="BA43" s="87">
        <v>1.0</v>
      </c>
      <c r="BB43" s="87">
        <v>6.0</v>
      </c>
      <c r="BC43" s="87">
        <v>3974.0</v>
      </c>
      <c r="BD43" s="87"/>
      <c r="BE43" s="87">
        <v>18733.0</v>
      </c>
      <c r="BF43" s="87">
        <v>33.0</v>
      </c>
      <c r="BG43" s="87">
        <v>7636.0</v>
      </c>
      <c r="BH43" s="87"/>
      <c r="BI43" s="87">
        <v>118627.0</v>
      </c>
      <c r="BJ43" s="87">
        <v>18760.0</v>
      </c>
      <c r="BK43" s="87">
        <v>644.0</v>
      </c>
      <c r="BL43" s="87">
        <v>3024.0</v>
      </c>
      <c r="BM43" s="87">
        <v>3974.0</v>
      </c>
      <c r="BN43" s="87"/>
      <c r="BO43" s="87"/>
      <c r="BP43" s="87">
        <v>17539.0</v>
      </c>
      <c r="BQ43" s="87">
        <v>290.0</v>
      </c>
      <c r="BR43" s="87">
        <v>226.0</v>
      </c>
      <c r="BS43" s="87">
        <v>1759.0</v>
      </c>
      <c r="BT43" s="87">
        <v>168.0</v>
      </c>
      <c r="BU43" s="87">
        <v>2.0</v>
      </c>
      <c r="BV43" s="87">
        <v>838.0</v>
      </c>
      <c r="BW43" s="87">
        <v>747.0</v>
      </c>
      <c r="BX43" s="87">
        <v>4020.0</v>
      </c>
      <c r="BY43" s="87"/>
      <c r="BZ43" s="87">
        <v>353.0</v>
      </c>
      <c r="CA43" s="87">
        <v>425.0</v>
      </c>
      <c r="CB43" s="87">
        <v>22.0</v>
      </c>
      <c r="CC43" s="87"/>
      <c r="CD43" s="87">
        <v>6.0</v>
      </c>
      <c r="CE43" s="87">
        <v>7.0</v>
      </c>
      <c r="CF43" s="87"/>
      <c r="CG43" s="87">
        <v>2402.0</v>
      </c>
      <c r="CH43" s="87">
        <v>24000.0</v>
      </c>
      <c r="CI43" s="87"/>
      <c r="CJ43" s="87">
        <v>10678.0</v>
      </c>
      <c r="CK43" s="87">
        <v>10667.0</v>
      </c>
      <c r="CL43" s="87">
        <v>4536.0</v>
      </c>
      <c r="CM43" s="87">
        <v>7.0</v>
      </c>
      <c r="CN43" s="87"/>
      <c r="CO43" s="87">
        <v>214.0</v>
      </c>
      <c r="CP43" s="87"/>
      <c r="CQ43" s="87">
        <v>174.0</v>
      </c>
      <c r="CR43" s="87">
        <v>126.0</v>
      </c>
      <c r="CS43" s="87"/>
      <c r="CT43" s="87">
        <v>2160.0</v>
      </c>
      <c r="CU43" s="87">
        <v>801.0</v>
      </c>
      <c r="CV43" s="87">
        <v>131.0</v>
      </c>
      <c r="CW43" s="87">
        <v>1397.0</v>
      </c>
      <c r="CX43" s="87">
        <v>379.0</v>
      </c>
      <c r="CY43" s="87">
        <v>527.0</v>
      </c>
      <c r="CZ43" s="87">
        <v>18.0</v>
      </c>
      <c r="DA43" s="87">
        <v>16.0</v>
      </c>
      <c r="DB43" s="87">
        <v>3833.0</v>
      </c>
      <c r="DC43" s="87">
        <v>1583.0</v>
      </c>
      <c r="DD43" s="87">
        <v>2580.0</v>
      </c>
      <c r="DE43" s="87">
        <v>426.0</v>
      </c>
      <c r="DF43" s="87">
        <v>522.0</v>
      </c>
      <c r="DG43" s="87">
        <v>1665.0</v>
      </c>
      <c r="DH43" s="87">
        <v>4318.0</v>
      </c>
      <c r="DI43" s="87">
        <v>3974.0</v>
      </c>
      <c r="DJ43" s="87">
        <v>18.0</v>
      </c>
      <c r="DK43" s="87">
        <v>489.0</v>
      </c>
      <c r="DL43" s="87">
        <v>1480.0</v>
      </c>
      <c r="DM43" s="87">
        <v>84.0</v>
      </c>
      <c r="DN43" s="87">
        <v>1.0</v>
      </c>
      <c r="DO43" s="87">
        <v>3070.0</v>
      </c>
      <c r="DP43" s="87">
        <v>3964.0</v>
      </c>
      <c r="DQ43" s="87">
        <v>2393.0</v>
      </c>
      <c r="DR43" s="87">
        <v>2587.0</v>
      </c>
      <c r="DS43" s="87">
        <v>6.0</v>
      </c>
      <c r="DT43" s="87">
        <v>12.0</v>
      </c>
      <c r="DU43" s="87">
        <v>2.0</v>
      </c>
      <c r="DV43" s="87">
        <v>344.0</v>
      </c>
      <c r="DW43" s="87">
        <v>70.0</v>
      </c>
      <c r="DX43" s="87">
        <v>543.0</v>
      </c>
      <c r="DY43" s="87">
        <v>1184.0</v>
      </c>
      <c r="DZ43" s="87">
        <v>108.0</v>
      </c>
      <c r="EA43" s="87">
        <v>81.0</v>
      </c>
      <c r="EB43" s="87">
        <v>466.0</v>
      </c>
      <c r="EC43" s="87">
        <v>412.0</v>
      </c>
      <c r="ED43" s="87">
        <v>10788.0</v>
      </c>
      <c r="EE43" s="87">
        <v>372.0</v>
      </c>
      <c r="EF43" s="87">
        <v>9.0</v>
      </c>
      <c r="EG43" s="87">
        <v>475.0</v>
      </c>
      <c r="EH43" s="87">
        <v>4.0</v>
      </c>
      <c r="EI43" s="87">
        <v>119.0</v>
      </c>
      <c r="EJ43" s="87">
        <v>25795.0</v>
      </c>
      <c r="EK43" s="88"/>
      <c r="EL43" s="88"/>
      <c r="EM43" s="88"/>
      <c r="EN43" s="88"/>
      <c r="EO43" s="88"/>
      <c r="EP43" s="88"/>
      <c r="EQ43" s="90"/>
    </row>
    <row r="44" ht="12.0" customHeight="1">
      <c r="A44" s="89">
        <v>1.06104023E8</v>
      </c>
      <c r="B44" s="89" t="s">
        <v>688</v>
      </c>
      <c r="C44" s="89" t="s">
        <v>657</v>
      </c>
      <c r="D44" s="89" t="s">
        <v>689</v>
      </c>
      <c r="E44" s="89" t="s">
        <v>690</v>
      </c>
      <c r="F44" s="89" t="s">
        <v>657</v>
      </c>
      <c r="G44" s="89" t="s">
        <v>686</v>
      </c>
      <c r="H44" s="89" t="s">
        <v>475</v>
      </c>
      <c r="I44" s="89" t="s">
        <v>543</v>
      </c>
      <c r="J44" s="89" t="s">
        <v>463</v>
      </c>
      <c r="K44" s="89" t="s">
        <v>544</v>
      </c>
      <c r="L44" s="89" t="s">
        <v>662</v>
      </c>
      <c r="M44" s="89" t="s">
        <v>691</v>
      </c>
      <c r="N44" s="89" t="s">
        <v>441</v>
      </c>
      <c r="O44" s="87">
        <v>1393.0</v>
      </c>
      <c r="P44" s="87"/>
      <c r="Q44" s="87"/>
      <c r="R44" s="87"/>
      <c r="S44" s="87"/>
      <c r="T44" s="87"/>
      <c r="U44" s="87">
        <v>623.0</v>
      </c>
      <c r="V44" s="87">
        <v>770.0</v>
      </c>
      <c r="W44" s="87"/>
      <c r="X44" s="87"/>
      <c r="Y44" s="87"/>
      <c r="Z44" s="87">
        <v>14.0</v>
      </c>
      <c r="AA44" s="87">
        <v>26.0</v>
      </c>
      <c r="AB44" s="87">
        <v>46.0</v>
      </c>
      <c r="AC44" s="87">
        <v>121.0</v>
      </c>
      <c r="AD44" s="87">
        <v>293.0</v>
      </c>
      <c r="AE44" s="87">
        <v>457.0</v>
      </c>
      <c r="AF44" s="87">
        <v>436.0</v>
      </c>
      <c r="AG44" s="87"/>
      <c r="AH44" s="87">
        <v>243.0</v>
      </c>
      <c r="AI44" s="87">
        <v>1128.0</v>
      </c>
      <c r="AJ44" s="87">
        <v>22.0</v>
      </c>
      <c r="AK44" s="87"/>
      <c r="AL44" s="87">
        <v>70.0</v>
      </c>
      <c r="AM44" s="87"/>
      <c r="AN44" s="87">
        <v>56.0</v>
      </c>
      <c r="AO44" s="87">
        <v>1237.0</v>
      </c>
      <c r="AP44" s="87">
        <v>30.0</v>
      </c>
      <c r="AQ44" s="87"/>
      <c r="AR44" s="87"/>
      <c r="AS44" s="87">
        <v>11.0</v>
      </c>
      <c r="AT44" s="87"/>
      <c r="AU44" s="87">
        <v>1368.0</v>
      </c>
      <c r="AV44" s="87">
        <v>14.0</v>
      </c>
      <c r="AW44" s="87"/>
      <c r="AX44" s="87"/>
      <c r="AY44" s="87"/>
      <c r="AZ44" s="87"/>
      <c r="BA44" s="87"/>
      <c r="BB44" s="87"/>
      <c r="BC44" s="87"/>
      <c r="BD44" s="87"/>
      <c r="BE44" s="87"/>
      <c r="BF44" s="87">
        <v>657.0</v>
      </c>
      <c r="BG44" s="87">
        <v>736.0</v>
      </c>
      <c r="BH44" s="87"/>
      <c r="BI44" s="87">
        <v>17127.0</v>
      </c>
      <c r="BJ44" s="87">
        <v>1.0</v>
      </c>
      <c r="BK44" s="87"/>
      <c r="BL44" s="87">
        <v>1392.0</v>
      </c>
      <c r="BM44" s="87"/>
      <c r="BN44" s="87"/>
      <c r="BO44" s="87"/>
      <c r="BP44" s="87">
        <v>645.0</v>
      </c>
      <c r="BQ44" s="87">
        <v>177.0</v>
      </c>
      <c r="BR44" s="87"/>
      <c r="BS44" s="87">
        <v>96.0</v>
      </c>
      <c r="BT44" s="87">
        <v>1.0</v>
      </c>
      <c r="BU44" s="87"/>
      <c r="BV44" s="87"/>
      <c r="BW44" s="87">
        <v>4.0</v>
      </c>
      <c r="BX44" s="87">
        <v>466.0</v>
      </c>
      <c r="BY44" s="87"/>
      <c r="BZ44" s="87"/>
      <c r="CA44" s="87">
        <v>3.0</v>
      </c>
      <c r="CB44" s="87"/>
      <c r="CC44" s="87"/>
      <c r="CD44" s="87"/>
      <c r="CE44" s="87">
        <v>1.0</v>
      </c>
      <c r="CF44" s="87"/>
      <c r="CG44" s="87">
        <v>13.0</v>
      </c>
      <c r="CH44" s="87">
        <v>1380.0</v>
      </c>
      <c r="CI44" s="87"/>
      <c r="CJ44" s="87">
        <v>1006.0</v>
      </c>
      <c r="CK44" s="87">
        <v>134.0</v>
      </c>
      <c r="CL44" s="87">
        <v>200.0</v>
      </c>
      <c r="CM44" s="87">
        <v>19.0</v>
      </c>
      <c r="CN44" s="87"/>
      <c r="CO44" s="87">
        <v>7.0</v>
      </c>
      <c r="CP44" s="87"/>
      <c r="CQ44" s="87">
        <v>2.0</v>
      </c>
      <c r="CR44" s="87">
        <v>25.0</v>
      </c>
      <c r="CS44" s="87"/>
      <c r="CT44" s="87">
        <v>1.0</v>
      </c>
      <c r="CU44" s="87">
        <v>11.0</v>
      </c>
      <c r="CV44" s="87"/>
      <c r="CW44" s="87">
        <v>8.0</v>
      </c>
      <c r="CX44" s="87"/>
      <c r="CY44" s="87">
        <v>333.0</v>
      </c>
      <c r="CZ44" s="87"/>
      <c r="DA44" s="87">
        <v>2.0</v>
      </c>
      <c r="DB44" s="87">
        <v>218.0</v>
      </c>
      <c r="DC44" s="87">
        <v>3.0</v>
      </c>
      <c r="DD44" s="87">
        <v>4.0</v>
      </c>
      <c r="DE44" s="87">
        <v>3.0</v>
      </c>
      <c r="DF44" s="87">
        <v>155.0</v>
      </c>
      <c r="DG44" s="87">
        <v>3.0</v>
      </c>
      <c r="DH44" s="87"/>
      <c r="DI44" s="87"/>
      <c r="DJ44" s="87">
        <v>1.0</v>
      </c>
      <c r="DK44" s="87">
        <v>51.0</v>
      </c>
      <c r="DL44" s="87">
        <v>364.0</v>
      </c>
      <c r="DM44" s="87">
        <v>236.0</v>
      </c>
      <c r="DN44" s="87"/>
      <c r="DO44" s="87">
        <v>11.0</v>
      </c>
      <c r="DP44" s="87"/>
      <c r="DQ44" s="87">
        <v>44.0</v>
      </c>
      <c r="DR44" s="87">
        <v>3.0</v>
      </c>
      <c r="DS44" s="87"/>
      <c r="DT44" s="87"/>
      <c r="DU44" s="87"/>
      <c r="DV44" s="87"/>
      <c r="DW44" s="87"/>
      <c r="DX44" s="87"/>
      <c r="DY44" s="87"/>
      <c r="DZ44" s="87"/>
      <c r="EA44" s="87"/>
      <c r="EB44" s="87"/>
      <c r="EC44" s="87"/>
      <c r="ED44" s="87">
        <v>1335.0</v>
      </c>
      <c r="EE44" s="87"/>
      <c r="EF44" s="87">
        <v>1.0</v>
      </c>
      <c r="EG44" s="87"/>
      <c r="EH44" s="87"/>
      <c r="EI44" s="87">
        <v>9.0</v>
      </c>
      <c r="EJ44" s="87">
        <v>1383.0</v>
      </c>
      <c r="EK44" s="88"/>
      <c r="EL44" s="88"/>
      <c r="EM44" s="88"/>
      <c r="EN44" s="88"/>
      <c r="EO44" s="88"/>
      <c r="EP44" s="88"/>
      <c r="EQ44" s="90"/>
    </row>
    <row r="45" ht="12.0" customHeight="1">
      <c r="A45" s="89">
        <v>1.06104047E8</v>
      </c>
      <c r="B45" s="89" t="s">
        <v>692</v>
      </c>
      <c r="C45" s="89" t="s">
        <v>657</v>
      </c>
      <c r="D45" s="89" t="s">
        <v>693</v>
      </c>
      <c r="E45" s="89" t="s">
        <v>694</v>
      </c>
      <c r="F45" s="89" t="s">
        <v>657</v>
      </c>
      <c r="G45" s="89" t="s">
        <v>695</v>
      </c>
      <c r="H45" s="89" t="s">
        <v>696</v>
      </c>
      <c r="I45" s="89" t="s">
        <v>543</v>
      </c>
      <c r="J45" s="89" t="s">
        <v>499</v>
      </c>
      <c r="K45" s="89" t="s">
        <v>544</v>
      </c>
      <c r="L45" s="89" t="s">
        <v>662</v>
      </c>
      <c r="M45" s="89" t="s">
        <v>687</v>
      </c>
      <c r="N45" s="89" t="s">
        <v>441</v>
      </c>
      <c r="O45" s="87">
        <v>921.0</v>
      </c>
      <c r="P45" s="87"/>
      <c r="Q45" s="87"/>
      <c r="R45" s="87"/>
      <c r="S45" s="87"/>
      <c r="T45" s="87"/>
      <c r="U45" s="87">
        <v>429.0</v>
      </c>
      <c r="V45" s="87">
        <v>492.0</v>
      </c>
      <c r="W45" s="87"/>
      <c r="X45" s="87"/>
      <c r="Y45" s="87"/>
      <c r="Z45" s="87"/>
      <c r="AA45" s="87">
        <v>31.0</v>
      </c>
      <c r="AB45" s="87">
        <v>67.0</v>
      </c>
      <c r="AC45" s="87">
        <v>143.0</v>
      </c>
      <c r="AD45" s="87">
        <v>302.0</v>
      </c>
      <c r="AE45" s="87">
        <v>308.0</v>
      </c>
      <c r="AF45" s="87">
        <v>65.0</v>
      </c>
      <c r="AG45" s="87">
        <v>5.0</v>
      </c>
      <c r="AH45" s="87">
        <v>246.0</v>
      </c>
      <c r="AI45" s="87">
        <v>675.0</v>
      </c>
      <c r="AJ45" s="87"/>
      <c r="AK45" s="87"/>
      <c r="AL45" s="87">
        <v>15.0</v>
      </c>
      <c r="AM45" s="87"/>
      <c r="AN45" s="87">
        <v>28.0</v>
      </c>
      <c r="AO45" s="87">
        <v>845.0</v>
      </c>
      <c r="AP45" s="87">
        <v>3.0</v>
      </c>
      <c r="AQ45" s="87">
        <v>30.0</v>
      </c>
      <c r="AR45" s="87"/>
      <c r="AS45" s="87">
        <v>915.0</v>
      </c>
      <c r="AT45" s="87"/>
      <c r="AU45" s="87">
        <v>3.0</v>
      </c>
      <c r="AV45" s="87">
        <v>1.0</v>
      </c>
      <c r="AW45" s="87"/>
      <c r="AX45" s="87"/>
      <c r="AY45" s="87"/>
      <c r="AZ45" s="87"/>
      <c r="BA45" s="87"/>
      <c r="BB45" s="87">
        <v>2.0</v>
      </c>
      <c r="BC45" s="87"/>
      <c r="BD45" s="87"/>
      <c r="BE45" s="87"/>
      <c r="BF45" s="87"/>
      <c r="BG45" s="87">
        <v>921.0</v>
      </c>
      <c r="BH45" s="87"/>
      <c r="BI45" s="87">
        <v>1839.0</v>
      </c>
      <c r="BJ45" s="87"/>
      <c r="BK45" s="87">
        <v>4.0</v>
      </c>
      <c r="BL45" s="87">
        <v>917.0</v>
      </c>
      <c r="BM45" s="87"/>
      <c r="BN45" s="87"/>
      <c r="BO45" s="87"/>
      <c r="BP45" s="87">
        <v>815.0</v>
      </c>
      <c r="BQ45" s="87">
        <v>7.0</v>
      </c>
      <c r="BR45" s="87">
        <v>46.0</v>
      </c>
      <c r="BS45" s="87">
        <v>21.0</v>
      </c>
      <c r="BT45" s="87"/>
      <c r="BU45" s="87"/>
      <c r="BV45" s="87"/>
      <c r="BW45" s="87"/>
      <c r="BX45" s="87">
        <v>32.0</v>
      </c>
      <c r="BY45" s="87"/>
      <c r="BZ45" s="87"/>
      <c r="CA45" s="87"/>
      <c r="CB45" s="87"/>
      <c r="CC45" s="87"/>
      <c r="CD45" s="87"/>
      <c r="CE45" s="87"/>
      <c r="CF45" s="87"/>
      <c r="CG45" s="87">
        <v>57.0</v>
      </c>
      <c r="CH45" s="87">
        <v>864.0</v>
      </c>
      <c r="CI45" s="87"/>
      <c r="CJ45" s="87">
        <v>525.0</v>
      </c>
      <c r="CK45" s="87">
        <v>51.0</v>
      </c>
      <c r="CL45" s="87">
        <v>177.0</v>
      </c>
      <c r="CM45" s="87">
        <v>143.0</v>
      </c>
      <c r="CN45" s="87"/>
      <c r="CO45" s="87">
        <v>23.0</v>
      </c>
      <c r="CP45" s="87"/>
      <c r="CQ45" s="87">
        <v>2.0</v>
      </c>
      <c r="CR45" s="87"/>
      <c r="CS45" s="87"/>
      <c r="CT45" s="87"/>
      <c r="CU45" s="87">
        <v>5.0</v>
      </c>
      <c r="CV45" s="87"/>
      <c r="CW45" s="87"/>
      <c r="CX45" s="87"/>
      <c r="CY45" s="87"/>
      <c r="CZ45" s="87"/>
      <c r="DA45" s="87"/>
      <c r="DB45" s="87"/>
      <c r="DC45" s="87"/>
      <c r="DD45" s="87"/>
      <c r="DE45" s="87"/>
      <c r="DF45" s="87">
        <v>722.0</v>
      </c>
      <c r="DG45" s="87">
        <v>24.0</v>
      </c>
      <c r="DH45" s="87"/>
      <c r="DI45" s="87"/>
      <c r="DJ45" s="87"/>
      <c r="DK45" s="87"/>
      <c r="DL45" s="87">
        <v>169.0</v>
      </c>
      <c r="DM45" s="87">
        <v>1.0</v>
      </c>
      <c r="DN45" s="87"/>
      <c r="DO45" s="87"/>
      <c r="DP45" s="87"/>
      <c r="DQ45" s="87"/>
      <c r="DR45" s="87"/>
      <c r="DS45" s="87"/>
      <c r="DT45" s="87"/>
      <c r="DU45" s="87"/>
      <c r="DV45" s="87">
        <v>11.0</v>
      </c>
      <c r="DW45" s="87"/>
      <c r="DX45" s="87">
        <v>10.0</v>
      </c>
      <c r="DY45" s="87">
        <v>881.0</v>
      </c>
      <c r="DZ45" s="87">
        <v>2.0</v>
      </c>
      <c r="EA45" s="87"/>
      <c r="EB45" s="87"/>
      <c r="EC45" s="87">
        <v>15.0</v>
      </c>
      <c r="ED45" s="87">
        <v>2.0</v>
      </c>
      <c r="EE45" s="87"/>
      <c r="EF45" s="87"/>
      <c r="EG45" s="87"/>
      <c r="EH45" s="87"/>
      <c r="EI45" s="87">
        <v>3.0</v>
      </c>
      <c r="EJ45" s="87">
        <v>918.0</v>
      </c>
      <c r="EK45" s="88"/>
      <c r="EL45" s="88"/>
      <c r="EM45" s="88"/>
      <c r="EN45" s="88"/>
      <c r="EO45" s="88"/>
      <c r="EP45" s="88"/>
      <c r="EQ45" s="90"/>
    </row>
    <row r="46" ht="12.0" customHeight="1">
      <c r="A46" s="89">
        <v>1.06104062E8</v>
      </c>
      <c r="B46" s="89" t="s">
        <v>697</v>
      </c>
      <c r="C46" s="89" t="s">
        <v>657</v>
      </c>
      <c r="D46" s="89" t="s">
        <v>698</v>
      </c>
      <c r="E46" s="89" t="s">
        <v>699</v>
      </c>
      <c r="F46" s="89" t="s">
        <v>657</v>
      </c>
      <c r="G46" s="89" t="s">
        <v>686</v>
      </c>
      <c r="H46" s="89" t="s">
        <v>447</v>
      </c>
      <c r="I46" s="89" t="s">
        <v>543</v>
      </c>
      <c r="J46" s="89" t="s">
        <v>457</v>
      </c>
      <c r="K46" s="89" t="s">
        <v>544</v>
      </c>
      <c r="L46" s="89" t="s">
        <v>662</v>
      </c>
      <c r="M46" s="89" t="s">
        <v>687</v>
      </c>
      <c r="N46" s="89" t="s">
        <v>441</v>
      </c>
      <c r="O46" s="87">
        <v>10025.0</v>
      </c>
      <c r="P46" s="87"/>
      <c r="Q46" s="87"/>
      <c r="R46" s="87"/>
      <c r="S46" s="87"/>
      <c r="T46" s="87"/>
      <c r="U46" s="87">
        <v>3807.0</v>
      </c>
      <c r="V46" s="87">
        <v>6218.0</v>
      </c>
      <c r="W46" s="87"/>
      <c r="X46" s="87">
        <v>1842.0</v>
      </c>
      <c r="Y46" s="87">
        <v>50.0</v>
      </c>
      <c r="Z46" s="87">
        <v>947.0</v>
      </c>
      <c r="AA46" s="87">
        <v>1332.0</v>
      </c>
      <c r="AB46" s="87">
        <v>549.0</v>
      </c>
      <c r="AC46" s="87">
        <v>668.0</v>
      </c>
      <c r="AD46" s="87">
        <v>1289.0</v>
      </c>
      <c r="AE46" s="87">
        <v>1603.0</v>
      </c>
      <c r="AF46" s="87">
        <v>1745.0</v>
      </c>
      <c r="AG46" s="87"/>
      <c r="AH46" s="87">
        <v>3753.0</v>
      </c>
      <c r="AI46" s="87">
        <v>6242.0</v>
      </c>
      <c r="AJ46" s="87">
        <v>30.0</v>
      </c>
      <c r="AK46" s="87">
        <v>63.0</v>
      </c>
      <c r="AL46" s="87">
        <v>998.0</v>
      </c>
      <c r="AM46" s="87">
        <v>16.0</v>
      </c>
      <c r="AN46" s="87">
        <v>618.0</v>
      </c>
      <c r="AO46" s="87">
        <v>4609.0</v>
      </c>
      <c r="AP46" s="87">
        <v>85.0</v>
      </c>
      <c r="AQ46" s="87">
        <v>3557.0</v>
      </c>
      <c r="AR46" s="87">
        <v>79.0</v>
      </c>
      <c r="AS46" s="87">
        <v>7686.0</v>
      </c>
      <c r="AT46" s="87">
        <v>135.0</v>
      </c>
      <c r="AU46" s="87">
        <v>161.0</v>
      </c>
      <c r="AV46" s="87">
        <v>207.0</v>
      </c>
      <c r="AW46" s="87">
        <v>53.0</v>
      </c>
      <c r="AX46" s="87">
        <v>1.0</v>
      </c>
      <c r="AY46" s="87"/>
      <c r="AZ46" s="87"/>
      <c r="BA46" s="87"/>
      <c r="BB46" s="87">
        <v>6.0</v>
      </c>
      <c r="BC46" s="87">
        <v>1776.0</v>
      </c>
      <c r="BD46" s="87"/>
      <c r="BE46" s="87">
        <v>5634.0</v>
      </c>
      <c r="BF46" s="87">
        <v>36.0</v>
      </c>
      <c r="BG46" s="87">
        <v>4355.0</v>
      </c>
      <c r="BH46" s="87"/>
      <c r="BI46" s="87">
        <v>35419.0</v>
      </c>
      <c r="BJ46" s="87">
        <v>366.0</v>
      </c>
      <c r="BK46" s="87">
        <v>7254.0</v>
      </c>
      <c r="BL46" s="87">
        <v>626.0</v>
      </c>
      <c r="BM46" s="87">
        <v>1776.0</v>
      </c>
      <c r="BN46" s="87"/>
      <c r="BO46" s="87">
        <v>3.0</v>
      </c>
      <c r="BP46" s="87">
        <v>6573.0</v>
      </c>
      <c r="BQ46" s="87">
        <v>160.0</v>
      </c>
      <c r="BR46" s="87">
        <v>28.0</v>
      </c>
      <c r="BS46" s="87">
        <v>634.0</v>
      </c>
      <c r="BT46" s="87"/>
      <c r="BU46" s="87"/>
      <c r="BV46" s="87">
        <v>53.0</v>
      </c>
      <c r="BW46" s="87">
        <v>295.0</v>
      </c>
      <c r="BX46" s="87">
        <v>1973.0</v>
      </c>
      <c r="BY46" s="87"/>
      <c r="BZ46" s="87">
        <v>11.0</v>
      </c>
      <c r="CA46" s="87">
        <v>265.0</v>
      </c>
      <c r="CB46" s="87">
        <v>19.0</v>
      </c>
      <c r="CC46" s="87"/>
      <c r="CD46" s="87">
        <v>4.0</v>
      </c>
      <c r="CE46" s="87">
        <v>10.0</v>
      </c>
      <c r="CF46" s="87"/>
      <c r="CG46" s="87">
        <v>918.0</v>
      </c>
      <c r="CH46" s="87">
        <v>9107.0</v>
      </c>
      <c r="CI46" s="87"/>
      <c r="CJ46" s="87">
        <v>4228.0</v>
      </c>
      <c r="CK46" s="87">
        <v>171.0</v>
      </c>
      <c r="CL46" s="87">
        <v>5551.0</v>
      </c>
      <c r="CM46" s="87">
        <v>10.0</v>
      </c>
      <c r="CN46" s="87"/>
      <c r="CO46" s="87">
        <v>4.0</v>
      </c>
      <c r="CP46" s="87"/>
      <c r="CQ46" s="87">
        <v>61.0</v>
      </c>
      <c r="CR46" s="87"/>
      <c r="CS46" s="87"/>
      <c r="CT46" s="87">
        <v>1447.0</v>
      </c>
      <c r="CU46" s="87">
        <v>147.0</v>
      </c>
      <c r="CV46" s="87">
        <v>68.0</v>
      </c>
      <c r="CW46" s="87">
        <v>506.0</v>
      </c>
      <c r="CX46" s="87">
        <v>57.0</v>
      </c>
      <c r="CY46" s="87">
        <v>185.0</v>
      </c>
      <c r="CZ46" s="87">
        <v>1.0</v>
      </c>
      <c r="DA46" s="87">
        <v>2.0</v>
      </c>
      <c r="DB46" s="87">
        <v>1158.0</v>
      </c>
      <c r="DC46" s="87">
        <v>514.0</v>
      </c>
      <c r="DD46" s="87">
        <v>897.0</v>
      </c>
      <c r="DE46" s="87">
        <v>65.0</v>
      </c>
      <c r="DF46" s="87">
        <v>173.0</v>
      </c>
      <c r="DG46" s="87">
        <v>390.0</v>
      </c>
      <c r="DH46" s="87">
        <v>1866.0</v>
      </c>
      <c r="DI46" s="87">
        <v>1841.0</v>
      </c>
      <c r="DJ46" s="87">
        <v>1.0</v>
      </c>
      <c r="DK46" s="87">
        <v>204.0</v>
      </c>
      <c r="DL46" s="87">
        <v>487.0</v>
      </c>
      <c r="DM46" s="87">
        <v>16.0</v>
      </c>
      <c r="DN46" s="87"/>
      <c r="DO46" s="87">
        <v>3626.0</v>
      </c>
      <c r="DP46" s="87">
        <v>1768.0</v>
      </c>
      <c r="DQ46" s="87">
        <v>487.0</v>
      </c>
      <c r="DR46" s="87">
        <v>970.0</v>
      </c>
      <c r="DS46" s="87">
        <v>10.0</v>
      </c>
      <c r="DT46" s="87">
        <v>2.0</v>
      </c>
      <c r="DU46" s="87"/>
      <c r="DV46" s="87">
        <v>179.0</v>
      </c>
      <c r="DW46" s="87">
        <v>8.0</v>
      </c>
      <c r="DX46" s="87">
        <v>144.0</v>
      </c>
      <c r="DY46" s="87">
        <v>469.0</v>
      </c>
      <c r="DZ46" s="87">
        <v>139.0</v>
      </c>
      <c r="EA46" s="87">
        <v>25.0</v>
      </c>
      <c r="EB46" s="87">
        <v>224.0</v>
      </c>
      <c r="EC46" s="87">
        <v>287.0</v>
      </c>
      <c r="ED46" s="87">
        <v>1518.0</v>
      </c>
      <c r="EE46" s="87">
        <v>169.0</v>
      </c>
      <c r="EF46" s="87">
        <v>2.0</v>
      </c>
      <c r="EG46" s="87">
        <v>21.0</v>
      </c>
      <c r="EH46" s="87"/>
      <c r="EI46" s="87">
        <v>18.0</v>
      </c>
      <c r="EJ46" s="87">
        <v>9984.0</v>
      </c>
      <c r="EK46" s="88"/>
      <c r="EL46" s="88"/>
      <c r="EM46" s="88"/>
      <c r="EN46" s="88"/>
      <c r="EO46" s="88"/>
      <c r="EP46" s="88"/>
      <c r="EQ46" s="90"/>
    </row>
    <row r="47" ht="12.0" customHeight="1">
      <c r="A47" s="89">
        <v>1.06104089E8</v>
      </c>
      <c r="B47" s="89" t="s">
        <v>700</v>
      </c>
      <c r="C47" s="89" t="s">
        <v>657</v>
      </c>
      <c r="D47" s="89" t="s">
        <v>701</v>
      </c>
      <c r="E47" s="89" t="s">
        <v>702</v>
      </c>
      <c r="F47" s="89" t="s">
        <v>657</v>
      </c>
      <c r="G47" s="89" t="s">
        <v>703</v>
      </c>
      <c r="H47" s="89" t="s">
        <v>503</v>
      </c>
      <c r="I47" s="89" t="s">
        <v>543</v>
      </c>
      <c r="J47" s="89" t="s">
        <v>499</v>
      </c>
      <c r="K47" s="89" t="s">
        <v>591</v>
      </c>
      <c r="L47" s="89" t="s">
        <v>670</v>
      </c>
      <c r="M47" s="89" t="s">
        <v>704</v>
      </c>
      <c r="N47" s="89" t="s">
        <v>441</v>
      </c>
      <c r="O47" s="87"/>
      <c r="P47" s="87"/>
      <c r="Q47" s="87">
        <v>210.0</v>
      </c>
      <c r="R47" s="87"/>
      <c r="S47" s="87"/>
      <c r="T47" s="87"/>
      <c r="U47" s="87">
        <v>139.0</v>
      </c>
      <c r="V47" s="87">
        <v>71.0</v>
      </c>
      <c r="W47" s="87"/>
      <c r="X47" s="87"/>
      <c r="Y47" s="87"/>
      <c r="Z47" s="87">
        <v>63.0</v>
      </c>
      <c r="AA47" s="87">
        <v>68.0</v>
      </c>
      <c r="AB47" s="87">
        <v>42.0</v>
      </c>
      <c r="AC47" s="87">
        <v>24.0</v>
      </c>
      <c r="AD47" s="87"/>
      <c r="AE47" s="87"/>
      <c r="AF47" s="87"/>
      <c r="AG47" s="87">
        <v>13.0</v>
      </c>
      <c r="AH47" s="87">
        <v>87.0</v>
      </c>
      <c r="AI47" s="87">
        <v>104.0</v>
      </c>
      <c r="AJ47" s="87">
        <v>19.0</v>
      </c>
      <c r="AK47" s="87"/>
      <c r="AL47" s="87"/>
      <c r="AM47" s="87"/>
      <c r="AN47" s="87">
        <v>42.0</v>
      </c>
      <c r="AO47" s="87">
        <v>129.0</v>
      </c>
      <c r="AP47" s="87">
        <v>19.0</v>
      </c>
      <c r="AQ47" s="87">
        <v>20.0</v>
      </c>
      <c r="AR47" s="87"/>
      <c r="AS47" s="87"/>
      <c r="AT47" s="87"/>
      <c r="AU47" s="87">
        <v>20.0</v>
      </c>
      <c r="AV47" s="87"/>
      <c r="AW47" s="87">
        <v>170.0</v>
      </c>
      <c r="AX47" s="87"/>
      <c r="AY47" s="87"/>
      <c r="AZ47" s="87"/>
      <c r="BA47" s="87">
        <v>20.0</v>
      </c>
      <c r="BB47" s="87"/>
      <c r="BC47" s="87"/>
      <c r="BD47" s="87"/>
      <c r="BE47" s="87"/>
      <c r="BF47" s="87">
        <v>20.0</v>
      </c>
      <c r="BG47" s="87">
        <v>190.0</v>
      </c>
      <c r="BH47" s="87"/>
      <c r="BI47" s="87">
        <v>5645.0</v>
      </c>
      <c r="BJ47" s="87"/>
      <c r="BK47" s="87">
        <v>210.0</v>
      </c>
      <c r="BL47" s="87"/>
      <c r="BM47" s="87"/>
      <c r="BN47" s="87"/>
      <c r="BO47" s="87"/>
      <c r="BP47" s="87">
        <v>190.0</v>
      </c>
      <c r="BQ47" s="87">
        <v>4.0</v>
      </c>
      <c r="BR47" s="87"/>
      <c r="BS47" s="87"/>
      <c r="BT47" s="87"/>
      <c r="BU47" s="87">
        <v>10.0</v>
      </c>
      <c r="BV47" s="87"/>
      <c r="BW47" s="87"/>
      <c r="BX47" s="87"/>
      <c r="BY47" s="87"/>
      <c r="BZ47" s="87"/>
      <c r="CA47" s="87"/>
      <c r="CB47" s="87"/>
      <c r="CC47" s="87"/>
      <c r="CD47" s="87">
        <v>6.0</v>
      </c>
      <c r="CE47" s="87"/>
      <c r="CF47" s="87"/>
      <c r="CG47" s="87"/>
      <c r="CH47" s="87">
        <v>210.0</v>
      </c>
      <c r="CI47" s="87"/>
      <c r="CJ47" s="87"/>
      <c r="CK47" s="87">
        <v>187.0</v>
      </c>
      <c r="CL47" s="87"/>
      <c r="CM47" s="87"/>
      <c r="CN47" s="87">
        <v>23.0</v>
      </c>
      <c r="CO47" s="87"/>
      <c r="CP47" s="87"/>
      <c r="CQ47" s="87"/>
      <c r="CR47" s="87"/>
      <c r="CS47" s="87"/>
      <c r="CT47" s="87"/>
      <c r="CU47" s="87"/>
      <c r="CV47" s="87"/>
      <c r="CW47" s="87"/>
      <c r="CX47" s="87">
        <v>210.0</v>
      </c>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v>210.0</v>
      </c>
      <c r="EE47" s="87"/>
      <c r="EF47" s="87"/>
      <c r="EG47" s="87">
        <v>22.0</v>
      </c>
      <c r="EH47" s="87"/>
      <c r="EI47" s="87"/>
      <c r="EJ47" s="87">
        <v>188.0</v>
      </c>
      <c r="EK47" s="88"/>
      <c r="EL47" s="88"/>
      <c r="EM47" s="88"/>
      <c r="EN47" s="88"/>
      <c r="EO47" s="88"/>
      <c r="EP47" s="88"/>
      <c r="EQ47" s="90"/>
    </row>
    <row r="48" ht="12.0" customHeight="1">
      <c r="A48" s="89">
        <v>1.06105125E8</v>
      </c>
      <c r="B48" s="89" t="s">
        <v>705</v>
      </c>
      <c r="C48" s="89" t="s">
        <v>657</v>
      </c>
      <c r="D48" s="89" t="s">
        <v>706</v>
      </c>
      <c r="E48" s="89" t="s">
        <v>702</v>
      </c>
      <c r="F48" s="89" t="s">
        <v>657</v>
      </c>
      <c r="G48" s="89" t="s">
        <v>703</v>
      </c>
      <c r="H48" s="89" t="s">
        <v>503</v>
      </c>
      <c r="I48" s="89" t="s">
        <v>543</v>
      </c>
      <c r="J48" s="89" t="s">
        <v>499</v>
      </c>
      <c r="K48" s="89" t="s">
        <v>591</v>
      </c>
      <c r="L48" s="89" t="s">
        <v>670</v>
      </c>
      <c r="M48" s="89" t="s">
        <v>704</v>
      </c>
      <c r="N48" s="89" t="s">
        <v>441</v>
      </c>
      <c r="O48" s="87"/>
      <c r="P48" s="87"/>
      <c r="Q48" s="87">
        <v>426.0</v>
      </c>
      <c r="R48" s="87"/>
      <c r="S48" s="87"/>
      <c r="T48" s="87"/>
      <c r="U48" s="87">
        <v>144.0</v>
      </c>
      <c r="V48" s="87">
        <v>282.0</v>
      </c>
      <c r="W48" s="87"/>
      <c r="X48" s="87"/>
      <c r="Y48" s="87">
        <v>426.0</v>
      </c>
      <c r="Z48" s="87"/>
      <c r="AA48" s="87"/>
      <c r="AB48" s="87"/>
      <c r="AC48" s="87"/>
      <c r="AD48" s="87"/>
      <c r="AE48" s="87"/>
      <c r="AF48" s="87"/>
      <c r="AG48" s="87"/>
      <c r="AH48" s="87">
        <v>230.0</v>
      </c>
      <c r="AI48" s="87">
        <v>186.0</v>
      </c>
      <c r="AJ48" s="87">
        <v>10.0</v>
      </c>
      <c r="AK48" s="87"/>
      <c r="AL48" s="87">
        <v>12.0</v>
      </c>
      <c r="AM48" s="87"/>
      <c r="AN48" s="87">
        <v>30.0</v>
      </c>
      <c r="AO48" s="87">
        <v>134.0</v>
      </c>
      <c r="AP48" s="87">
        <v>9.0</v>
      </c>
      <c r="AQ48" s="87">
        <v>190.0</v>
      </c>
      <c r="AR48" s="87">
        <v>51.0</v>
      </c>
      <c r="AS48" s="87"/>
      <c r="AT48" s="87"/>
      <c r="AU48" s="87">
        <v>237.0</v>
      </c>
      <c r="AV48" s="87"/>
      <c r="AW48" s="87">
        <v>189.0</v>
      </c>
      <c r="AX48" s="87"/>
      <c r="AY48" s="87"/>
      <c r="AZ48" s="87"/>
      <c r="BA48" s="87"/>
      <c r="BB48" s="87"/>
      <c r="BC48" s="87"/>
      <c r="BD48" s="87"/>
      <c r="BE48" s="87"/>
      <c r="BF48" s="87">
        <v>117.0</v>
      </c>
      <c r="BG48" s="87">
        <v>309.0</v>
      </c>
      <c r="BH48" s="87"/>
      <c r="BI48" s="87">
        <v>3830.0</v>
      </c>
      <c r="BJ48" s="87"/>
      <c r="BK48" s="87">
        <v>426.0</v>
      </c>
      <c r="BL48" s="87"/>
      <c r="BM48" s="87"/>
      <c r="BN48" s="87"/>
      <c r="BO48" s="87"/>
      <c r="BP48" s="87">
        <v>422.0</v>
      </c>
      <c r="BQ48" s="87">
        <v>4.0</v>
      </c>
      <c r="BR48" s="87"/>
      <c r="BS48" s="87"/>
      <c r="BT48" s="87"/>
      <c r="BU48" s="87"/>
      <c r="BV48" s="87"/>
      <c r="BW48" s="87"/>
      <c r="BX48" s="87"/>
      <c r="BY48" s="87"/>
      <c r="BZ48" s="87"/>
      <c r="CA48" s="87"/>
      <c r="CB48" s="87"/>
      <c r="CC48" s="87"/>
      <c r="CD48" s="87"/>
      <c r="CE48" s="87"/>
      <c r="CF48" s="87"/>
      <c r="CG48" s="87"/>
      <c r="CH48" s="87">
        <v>426.0</v>
      </c>
      <c r="CI48" s="87"/>
      <c r="CJ48" s="87"/>
      <c r="CK48" s="87">
        <v>337.0</v>
      </c>
      <c r="CL48" s="87">
        <v>87.0</v>
      </c>
      <c r="CM48" s="87"/>
      <c r="CN48" s="87"/>
      <c r="CO48" s="87"/>
      <c r="CP48" s="87"/>
      <c r="CQ48" s="87"/>
      <c r="CR48" s="87">
        <v>2.0</v>
      </c>
      <c r="CS48" s="87"/>
      <c r="CT48" s="87"/>
      <c r="CU48" s="87"/>
      <c r="CV48" s="87"/>
      <c r="CW48" s="87"/>
      <c r="CX48" s="87">
        <v>237.0</v>
      </c>
      <c r="CY48" s="87"/>
      <c r="CZ48" s="87"/>
      <c r="DA48" s="87"/>
      <c r="DB48" s="87"/>
      <c r="DC48" s="87"/>
      <c r="DD48" s="87"/>
      <c r="DE48" s="87"/>
      <c r="DF48" s="87"/>
      <c r="DG48" s="87"/>
      <c r="DH48" s="87"/>
      <c r="DI48" s="87"/>
      <c r="DJ48" s="87"/>
      <c r="DK48" s="87"/>
      <c r="DL48" s="87"/>
      <c r="DM48" s="87">
        <v>188.0</v>
      </c>
      <c r="DN48" s="87">
        <v>1.0</v>
      </c>
      <c r="DO48" s="87">
        <v>426.0</v>
      </c>
      <c r="DP48" s="87"/>
      <c r="DQ48" s="87"/>
      <c r="DR48" s="87"/>
      <c r="DS48" s="87"/>
      <c r="DT48" s="87"/>
      <c r="DU48" s="87"/>
      <c r="DV48" s="87"/>
      <c r="DW48" s="87"/>
      <c r="DX48" s="87"/>
      <c r="DY48" s="87"/>
      <c r="DZ48" s="87"/>
      <c r="EA48" s="87"/>
      <c r="EB48" s="87"/>
      <c r="EC48" s="87"/>
      <c r="ED48" s="87"/>
      <c r="EE48" s="87"/>
      <c r="EF48" s="87">
        <v>1.0</v>
      </c>
      <c r="EG48" s="87">
        <v>1.0</v>
      </c>
      <c r="EH48" s="87"/>
      <c r="EI48" s="87"/>
      <c r="EJ48" s="87">
        <v>424.0</v>
      </c>
      <c r="EK48" s="88"/>
      <c r="EL48" s="88"/>
      <c r="EM48" s="88"/>
      <c r="EN48" s="88"/>
      <c r="EO48" s="88"/>
      <c r="EP48" s="88"/>
      <c r="EQ48" s="90"/>
    </row>
    <row r="49" ht="12.0" customHeight="1">
      <c r="A49" s="89">
        <v>1.06110889E8</v>
      </c>
      <c r="B49" s="89" t="s">
        <v>707</v>
      </c>
      <c r="C49" s="89" t="s">
        <v>708</v>
      </c>
      <c r="D49" s="89" t="s">
        <v>709</v>
      </c>
      <c r="E49" s="89" t="s">
        <v>710</v>
      </c>
      <c r="F49" s="89" t="s">
        <v>711</v>
      </c>
      <c r="G49" s="89" t="s">
        <v>712</v>
      </c>
      <c r="H49" s="89" t="s">
        <v>475</v>
      </c>
      <c r="I49" s="89" t="s">
        <v>543</v>
      </c>
      <c r="J49" s="89" t="s">
        <v>499</v>
      </c>
      <c r="K49" s="89" t="s">
        <v>554</v>
      </c>
      <c r="L49" s="89" t="s">
        <v>555</v>
      </c>
      <c r="M49" s="89" t="s">
        <v>713</v>
      </c>
      <c r="N49" s="89" t="s">
        <v>714</v>
      </c>
      <c r="O49" s="87">
        <v>220.0</v>
      </c>
      <c r="P49" s="87">
        <v>246.0</v>
      </c>
      <c r="Q49" s="87"/>
      <c r="R49" s="87"/>
      <c r="S49" s="87"/>
      <c r="T49" s="87"/>
      <c r="U49" s="87">
        <v>213.0</v>
      </c>
      <c r="V49" s="87">
        <v>253.0</v>
      </c>
      <c r="W49" s="87"/>
      <c r="X49" s="87"/>
      <c r="Y49" s="87"/>
      <c r="Z49" s="87"/>
      <c r="AA49" s="87"/>
      <c r="AB49" s="87">
        <v>11.0</v>
      </c>
      <c r="AC49" s="87">
        <v>24.0</v>
      </c>
      <c r="AD49" s="87">
        <v>99.0</v>
      </c>
      <c r="AE49" s="87">
        <v>174.0</v>
      </c>
      <c r="AF49" s="87">
        <v>145.0</v>
      </c>
      <c r="AG49" s="87">
        <v>13.0</v>
      </c>
      <c r="AH49" s="87">
        <v>34.0</v>
      </c>
      <c r="AI49" s="87">
        <v>431.0</v>
      </c>
      <c r="AJ49" s="87">
        <v>1.0</v>
      </c>
      <c r="AK49" s="87"/>
      <c r="AL49" s="87"/>
      <c r="AM49" s="87">
        <v>11.0</v>
      </c>
      <c r="AN49" s="87"/>
      <c r="AO49" s="87">
        <v>407.0</v>
      </c>
      <c r="AP49" s="87">
        <v>16.0</v>
      </c>
      <c r="AQ49" s="87">
        <v>32.0</v>
      </c>
      <c r="AR49" s="87"/>
      <c r="AS49" s="87">
        <v>216.0</v>
      </c>
      <c r="AT49" s="87"/>
      <c r="AU49" s="87">
        <v>162.0</v>
      </c>
      <c r="AV49" s="87"/>
      <c r="AW49" s="87"/>
      <c r="AX49" s="87">
        <v>88.0</v>
      </c>
      <c r="AY49" s="87"/>
      <c r="AZ49" s="87"/>
      <c r="BA49" s="87"/>
      <c r="BB49" s="87"/>
      <c r="BC49" s="87"/>
      <c r="BD49" s="87"/>
      <c r="BE49" s="87">
        <v>220.0</v>
      </c>
      <c r="BF49" s="87"/>
      <c r="BG49" s="87">
        <v>246.0</v>
      </c>
      <c r="BH49" s="87"/>
      <c r="BI49" s="87">
        <v>7397.0</v>
      </c>
      <c r="BJ49" s="87">
        <v>220.0</v>
      </c>
      <c r="BK49" s="87"/>
      <c r="BL49" s="87">
        <v>246.0</v>
      </c>
      <c r="BM49" s="87"/>
      <c r="BN49" s="87"/>
      <c r="BO49" s="87"/>
      <c r="BP49" s="87">
        <v>208.0</v>
      </c>
      <c r="BQ49" s="87">
        <v>36.0</v>
      </c>
      <c r="BR49" s="87"/>
      <c r="BS49" s="87">
        <v>133.0</v>
      </c>
      <c r="BT49" s="87">
        <v>9.0</v>
      </c>
      <c r="BU49" s="87"/>
      <c r="BV49" s="87">
        <v>28.0</v>
      </c>
      <c r="BW49" s="87">
        <v>43.0</v>
      </c>
      <c r="BX49" s="87">
        <v>3.0</v>
      </c>
      <c r="BY49" s="87"/>
      <c r="BZ49" s="87"/>
      <c r="CA49" s="87"/>
      <c r="CB49" s="87">
        <v>1.0</v>
      </c>
      <c r="CC49" s="87">
        <v>1.0</v>
      </c>
      <c r="CD49" s="87">
        <v>3.0</v>
      </c>
      <c r="CE49" s="87">
        <v>1.0</v>
      </c>
      <c r="CF49" s="87"/>
      <c r="CG49" s="87">
        <v>57.0</v>
      </c>
      <c r="CH49" s="87">
        <v>409.0</v>
      </c>
      <c r="CI49" s="87"/>
      <c r="CJ49" s="87">
        <v>341.0</v>
      </c>
      <c r="CK49" s="87">
        <v>98.0</v>
      </c>
      <c r="CL49" s="87">
        <v>27.0</v>
      </c>
      <c r="CM49" s="87"/>
      <c r="CN49" s="87"/>
      <c r="CO49" s="87"/>
      <c r="CP49" s="87"/>
      <c r="CQ49" s="87"/>
      <c r="CR49" s="87"/>
      <c r="CS49" s="87"/>
      <c r="CT49" s="87">
        <v>107.0</v>
      </c>
      <c r="CU49" s="87">
        <v>4.0</v>
      </c>
      <c r="CV49" s="87">
        <v>5.0</v>
      </c>
      <c r="CW49" s="87">
        <v>12.0</v>
      </c>
      <c r="CX49" s="87">
        <v>3.0</v>
      </c>
      <c r="CY49" s="87">
        <v>11.0</v>
      </c>
      <c r="CZ49" s="87"/>
      <c r="DA49" s="87"/>
      <c r="DB49" s="87">
        <v>38.0</v>
      </c>
      <c r="DC49" s="87">
        <v>62.0</v>
      </c>
      <c r="DD49" s="87">
        <v>22.0</v>
      </c>
      <c r="DE49" s="87">
        <v>27.0</v>
      </c>
      <c r="DF49" s="87">
        <v>5.0</v>
      </c>
      <c r="DG49" s="87">
        <v>38.0</v>
      </c>
      <c r="DH49" s="87"/>
      <c r="DI49" s="87"/>
      <c r="DJ49" s="87"/>
      <c r="DK49" s="87">
        <v>71.0</v>
      </c>
      <c r="DL49" s="87">
        <v>23.0</v>
      </c>
      <c r="DM49" s="87">
        <v>38.0</v>
      </c>
      <c r="DN49" s="87"/>
      <c r="DO49" s="87">
        <v>3.0</v>
      </c>
      <c r="DP49" s="87"/>
      <c r="DQ49" s="87"/>
      <c r="DR49" s="87">
        <v>1.0</v>
      </c>
      <c r="DS49" s="87"/>
      <c r="DT49" s="87"/>
      <c r="DU49" s="87"/>
      <c r="DV49" s="87"/>
      <c r="DW49" s="87"/>
      <c r="DX49" s="87">
        <v>2.0</v>
      </c>
      <c r="DY49" s="87"/>
      <c r="DZ49" s="87"/>
      <c r="EA49" s="87"/>
      <c r="EB49" s="87"/>
      <c r="EC49" s="87"/>
      <c r="ED49" s="87">
        <v>460.0</v>
      </c>
      <c r="EE49" s="87"/>
      <c r="EF49" s="87"/>
      <c r="EG49" s="87">
        <v>16.0</v>
      </c>
      <c r="EH49" s="87"/>
      <c r="EI49" s="87">
        <v>3.0</v>
      </c>
      <c r="EJ49" s="87">
        <v>447.0</v>
      </c>
      <c r="EK49" s="88"/>
      <c r="EL49" s="88"/>
      <c r="EM49" s="88"/>
      <c r="EN49" s="88"/>
      <c r="EO49" s="88"/>
      <c r="EP49" s="88"/>
      <c r="EQ49" s="90"/>
    </row>
    <row r="50" ht="12.0" customHeight="1">
      <c r="A50" s="89">
        <v>1.06121002E8</v>
      </c>
      <c r="B50" s="89" t="s">
        <v>715</v>
      </c>
      <c r="C50" s="89" t="s">
        <v>716</v>
      </c>
      <c r="D50" s="89" t="s">
        <v>717</v>
      </c>
      <c r="E50" s="89" t="s">
        <v>718</v>
      </c>
      <c r="F50" s="89" t="s">
        <v>719</v>
      </c>
      <c r="G50" s="89" t="s">
        <v>720</v>
      </c>
      <c r="H50" s="89" t="s">
        <v>503</v>
      </c>
      <c r="I50" s="89" t="s">
        <v>543</v>
      </c>
      <c r="J50" s="89" t="s">
        <v>463</v>
      </c>
      <c r="K50" s="89" t="s">
        <v>637</v>
      </c>
      <c r="L50" s="89" t="s">
        <v>637</v>
      </c>
      <c r="M50" s="89" t="s">
        <v>721</v>
      </c>
      <c r="N50" s="89" t="s">
        <v>547</v>
      </c>
      <c r="O50" s="87">
        <v>1636.0</v>
      </c>
      <c r="P50" s="87">
        <v>11.0</v>
      </c>
      <c r="Q50" s="87"/>
      <c r="R50" s="87"/>
      <c r="S50" s="87"/>
      <c r="T50" s="87"/>
      <c r="U50" s="87">
        <v>607.0</v>
      </c>
      <c r="V50" s="87">
        <v>1040.0</v>
      </c>
      <c r="W50" s="87"/>
      <c r="X50" s="87">
        <v>415.0</v>
      </c>
      <c r="Y50" s="87">
        <v>28.0</v>
      </c>
      <c r="Z50" s="87">
        <v>176.0</v>
      </c>
      <c r="AA50" s="87">
        <v>276.0</v>
      </c>
      <c r="AB50" s="87">
        <v>112.0</v>
      </c>
      <c r="AC50" s="87">
        <v>93.0</v>
      </c>
      <c r="AD50" s="87">
        <v>176.0</v>
      </c>
      <c r="AE50" s="87">
        <v>191.0</v>
      </c>
      <c r="AF50" s="87">
        <v>180.0</v>
      </c>
      <c r="AG50" s="87"/>
      <c r="AH50" s="87">
        <v>201.0</v>
      </c>
      <c r="AI50" s="87">
        <v>1410.0</v>
      </c>
      <c r="AJ50" s="87">
        <v>36.0</v>
      </c>
      <c r="AK50" s="87">
        <v>208.0</v>
      </c>
      <c r="AL50" s="87">
        <v>21.0</v>
      </c>
      <c r="AM50" s="87"/>
      <c r="AN50" s="87">
        <v>23.0</v>
      </c>
      <c r="AO50" s="87">
        <v>1263.0</v>
      </c>
      <c r="AP50" s="87">
        <v>8.0</v>
      </c>
      <c r="AQ50" s="87">
        <v>68.0</v>
      </c>
      <c r="AR50" s="87">
        <v>56.0</v>
      </c>
      <c r="AS50" s="87">
        <v>1219.0</v>
      </c>
      <c r="AT50" s="87">
        <v>1.0</v>
      </c>
      <c r="AU50" s="87">
        <v>3.0</v>
      </c>
      <c r="AV50" s="87">
        <v>1.0</v>
      </c>
      <c r="AW50" s="87">
        <v>1.0</v>
      </c>
      <c r="AX50" s="87">
        <v>11.0</v>
      </c>
      <c r="AY50" s="87"/>
      <c r="AZ50" s="87"/>
      <c r="BA50" s="87">
        <v>1.0</v>
      </c>
      <c r="BB50" s="87">
        <v>12.0</v>
      </c>
      <c r="BC50" s="87">
        <v>398.0</v>
      </c>
      <c r="BD50" s="87"/>
      <c r="BE50" s="87">
        <v>1181.0</v>
      </c>
      <c r="BF50" s="87"/>
      <c r="BG50" s="87">
        <v>466.0</v>
      </c>
      <c r="BH50" s="87"/>
      <c r="BI50" s="87">
        <v>5750.0</v>
      </c>
      <c r="BJ50" s="87">
        <v>775.0</v>
      </c>
      <c r="BK50" s="87">
        <v>3.0</v>
      </c>
      <c r="BL50" s="87">
        <v>471.0</v>
      </c>
      <c r="BM50" s="87">
        <v>398.0</v>
      </c>
      <c r="BN50" s="87"/>
      <c r="BO50" s="87"/>
      <c r="BP50" s="87">
        <v>1395.0</v>
      </c>
      <c r="BQ50" s="87">
        <v>40.0</v>
      </c>
      <c r="BR50" s="87">
        <v>11.0</v>
      </c>
      <c r="BS50" s="87">
        <v>68.0</v>
      </c>
      <c r="BT50" s="87">
        <v>14.0</v>
      </c>
      <c r="BU50" s="87"/>
      <c r="BV50" s="87">
        <v>38.0</v>
      </c>
      <c r="BW50" s="87">
        <v>45.0</v>
      </c>
      <c r="BX50" s="87">
        <v>21.0</v>
      </c>
      <c r="BY50" s="87"/>
      <c r="BZ50" s="87">
        <v>1.0</v>
      </c>
      <c r="CA50" s="87">
        <v>10.0</v>
      </c>
      <c r="CB50" s="87"/>
      <c r="CC50" s="87">
        <v>3.0</v>
      </c>
      <c r="CD50" s="87">
        <v>1.0</v>
      </c>
      <c r="CE50" s="87"/>
      <c r="CF50" s="87"/>
      <c r="CG50" s="87">
        <v>132.0</v>
      </c>
      <c r="CH50" s="87">
        <v>1515.0</v>
      </c>
      <c r="CI50" s="87"/>
      <c r="CJ50" s="87">
        <v>500.0</v>
      </c>
      <c r="CK50" s="87">
        <v>727.0</v>
      </c>
      <c r="CL50" s="87">
        <v>364.0</v>
      </c>
      <c r="CM50" s="87">
        <v>1.0</v>
      </c>
      <c r="CN50" s="87"/>
      <c r="CO50" s="87">
        <v>42.0</v>
      </c>
      <c r="CP50" s="87"/>
      <c r="CQ50" s="87">
        <v>8.0</v>
      </c>
      <c r="CR50" s="87"/>
      <c r="CS50" s="87">
        <v>5.0</v>
      </c>
      <c r="CT50" s="87">
        <v>159.0</v>
      </c>
      <c r="CU50" s="87">
        <v>19.0</v>
      </c>
      <c r="CV50" s="87">
        <v>9.0</v>
      </c>
      <c r="CW50" s="87">
        <v>63.0</v>
      </c>
      <c r="CX50" s="87">
        <v>38.0</v>
      </c>
      <c r="CY50" s="87">
        <v>24.0</v>
      </c>
      <c r="CZ50" s="87"/>
      <c r="DA50" s="87"/>
      <c r="DB50" s="87">
        <v>83.0</v>
      </c>
      <c r="DC50" s="87">
        <v>116.0</v>
      </c>
      <c r="DD50" s="87">
        <v>119.0</v>
      </c>
      <c r="DE50" s="87">
        <v>29.0</v>
      </c>
      <c r="DF50" s="87">
        <v>26.0</v>
      </c>
      <c r="DG50" s="87">
        <v>35.0</v>
      </c>
      <c r="DH50" s="87">
        <v>405.0</v>
      </c>
      <c r="DI50" s="87">
        <v>405.0</v>
      </c>
      <c r="DJ50" s="87"/>
      <c r="DK50" s="87">
        <v>9.0</v>
      </c>
      <c r="DL50" s="87">
        <v>103.0</v>
      </c>
      <c r="DM50" s="87">
        <v>5.0</v>
      </c>
      <c r="DN50" s="87"/>
      <c r="DO50" s="87">
        <v>74.0</v>
      </c>
      <c r="DP50" s="87">
        <v>397.0</v>
      </c>
      <c r="DQ50" s="87">
        <v>24.0</v>
      </c>
      <c r="DR50" s="87">
        <v>82.0</v>
      </c>
      <c r="DS50" s="87"/>
      <c r="DT50" s="87"/>
      <c r="DU50" s="87"/>
      <c r="DV50" s="87">
        <v>19.0</v>
      </c>
      <c r="DW50" s="87"/>
      <c r="DX50" s="87">
        <v>26.0</v>
      </c>
      <c r="DY50" s="87">
        <v>111.0</v>
      </c>
      <c r="DZ50" s="87">
        <v>2.0</v>
      </c>
      <c r="EA50" s="87">
        <v>13.0</v>
      </c>
      <c r="EB50" s="87">
        <v>15.0</v>
      </c>
      <c r="EC50" s="87">
        <v>1.0</v>
      </c>
      <c r="ED50" s="87">
        <v>851.0</v>
      </c>
      <c r="EE50" s="87">
        <v>32.0</v>
      </c>
      <c r="EF50" s="87"/>
      <c r="EG50" s="87">
        <v>27.0</v>
      </c>
      <c r="EH50" s="87"/>
      <c r="EI50" s="87">
        <v>16.0</v>
      </c>
      <c r="EJ50" s="87">
        <v>1604.0</v>
      </c>
      <c r="EK50" s="88"/>
      <c r="EL50" s="88"/>
      <c r="EM50" s="88"/>
      <c r="EN50" s="88"/>
      <c r="EO50" s="88"/>
      <c r="EP50" s="88"/>
      <c r="EQ50" s="90"/>
    </row>
    <row r="51" ht="12.0" customHeight="1">
      <c r="A51" s="89">
        <v>1.06121031E8</v>
      </c>
      <c r="B51" s="89" t="s">
        <v>722</v>
      </c>
      <c r="C51" s="89" t="s">
        <v>716</v>
      </c>
      <c r="D51" s="89" t="s">
        <v>723</v>
      </c>
      <c r="E51" s="89" t="s">
        <v>724</v>
      </c>
      <c r="F51" s="89" t="s">
        <v>725</v>
      </c>
      <c r="G51" s="89" t="s">
        <v>726</v>
      </c>
      <c r="H51" s="89" t="s">
        <v>494</v>
      </c>
      <c r="I51" s="89" t="s">
        <v>543</v>
      </c>
      <c r="J51" s="89" t="s">
        <v>499</v>
      </c>
      <c r="K51" s="89" t="s">
        <v>637</v>
      </c>
      <c r="L51" s="89" t="s">
        <v>637</v>
      </c>
      <c r="M51" s="89" t="s">
        <v>727</v>
      </c>
      <c r="N51" s="89" t="s">
        <v>714</v>
      </c>
      <c r="O51" s="87">
        <v>35.0</v>
      </c>
      <c r="P51" s="87">
        <v>38.0</v>
      </c>
      <c r="Q51" s="87"/>
      <c r="R51" s="87"/>
      <c r="S51" s="87"/>
      <c r="T51" s="87"/>
      <c r="U51" s="87">
        <v>47.0</v>
      </c>
      <c r="V51" s="87">
        <v>26.0</v>
      </c>
      <c r="W51" s="87"/>
      <c r="X51" s="87"/>
      <c r="Y51" s="87"/>
      <c r="Z51" s="87"/>
      <c r="AA51" s="87"/>
      <c r="AB51" s="87"/>
      <c r="AC51" s="87"/>
      <c r="AD51" s="87">
        <v>20.0</v>
      </c>
      <c r="AE51" s="87">
        <v>29.0</v>
      </c>
      <c r="AF51" s="87">
        <v>19.0</v>
      </c>
      <c r="AG51" s="87">
        <v>5.0</v>
      </c>
      <c r="AH51" s="87"/>
      <c r="AI51" s="87">
        <v>61.0</v>
      </c>
      <c r="AJ51" s="87">
        <v>12.0</v>
      </c>
      <c r="AK51" s="87"/>
      <c r="AL51" s="87"/>
      <c r="AM51" s="87"/>
      <c r="AN51" s="87"/>
      <c r="AO51" s="87">
        <v>63.0</v>
      </c>
      <c r="AP51" s="87">
        <v>10.0</v>
      </c>
      <c r="AQ51" s="87"/>
      <c r="AR51" s="87"/>
      <c r="AS51" s="87">
        <v>31.0</v>
      </c>
      <c r="AT51" s="87">
        <v>2.0</v>
      </c>
      <c r="AU51" s="87">
        <v>16.0</v>
      </c>
      <c r="AV51" s="87">
        <v>1.0</v>
      </c>
      <c r="AW51" s="87">
        <v>2.0</v>
      </c>
      <c r="AX51" s="87">
        <v>21.0</v>
      </c>
      <c r="AY51" s="87"/>
      <c r="AZ51" s="87"/>
      <c r="BA51" s="87"/>
      <c r="BB51" s="87"/>
      <c r="BC51" s="87"/>
      <c r="BD51" s="87"/>
      <c r="BE51" s="87">
        <v>33.0</v>
      </c>
      <c r="BF51" s="87">
        <v>2.0</v>
      </c>
      <c r="BG51" s="87">
        <v>38.0</v>
      </c>
      <c r="BH51" s="87"/>
      <c r="BI51" s="87">
        <v>1043.0</v>
      </c>
      <c r="BJ51" s="87">
        <v>36.0</v>
      </c>
      <c r="BK51" s="87"/>
      <c r="BL51" s="87">
        <v>37.0</v>
      </c>
      <c r="BM51" s="87"/>
      <c r="BN51" s="87"/>
      <c r="BO51" s="87"/>
      <c r="BP51" s="87">
        <v>28.0</v>
      </c>
      <c r="BQ51" s="87">
        <v>15.0</v>
      </c>
      <c r="BR51" s="87"/>
      <c r="BS51" s="87">
        <v>24.0</v>
      </c>
      <c r="BT51" s="87"/>
      <c r="BU51" s="87"/>
      <c r="BV51" s="87">
        <v>3.0</v>
      </c>
      <c r="BW51" s="87">
        <v>3.0</v>
      </c>
      <c r="BX51" s="87"/>
      <c r="BY51" s="87"/>
      <c r="BZ51" s="87"/>
      <c r="CA51" s="87"/>
      <c r="CB51" s="87"/>
      <c r="CC51" s="87"/>
      <c r="CD51" s="87"/>
      <c r="CE51" s="87"/>
      <c r="CF51" s="87"/>
      <c r="CG51" s="87">
        <v>26.0</v>
      </c>
      <c r="CH51" s="87">
        <v>47.0</v>
      </c>
      <c r="CI51" s="87"/>
      <c r="CJ51" s="87">
        <v>54.0</v>
      </c>
      <c r="CK51" s="87">
        <v>17.0</v>
      </c>
      <c r="CL51" s="87">
        <v>1.0</v>
      </c>
      <c r="CM51" s="87"/>
      <c r="CN51" s="87"/>
      <c r="CO51" s="87">
        <v>1.0</v>
      </c>
      <c r="CP51" s="87"/>
      <c r="CQ51" s="87"/>
      <c r="CR51" s="87"/>
      <c r="CS51" s="87"/>
      <c r="CT51" s="87">
        <v>7.0</v>
      </c>
      <c r="CU51" s="87">
        <v>1.0</v>
      </c>
      <c r="CV51" s="87">
        <v>1.0</v>
      </c>
      <c r="CW51" s="87">
        <v>1.0</v>
      </c>
      <c r="CX51" s="87">
        <v>2.0</v>
      </c>
      <c r="CY51" s="87">
        <v>3.0</v>
      </c>
      <c r="CZ51" s="87"/>
      <c r="DA51" s="87"/>
      <c r="DB51" s="87">
        <v>6.0</v>
      </c>
      <c r="DC51" s="87">
        <v>8.0</v>
      </c>
      <c r="DD51" s="87">
        <v>8.0</v>
      </c>
      <c r="DE51" s="87">
        <v>6.0</v>
      </c>
      <c r="DF51" s="87">
        <v>3.0</v>
      </c>
      <c r="DG51" s="87">
        <v>3.0</v>
      </c>
      <c r="DH51" s="87"/>
      <c r="DI51" s="87"/>
      <c r="DJ51" s="87"/>
      <c r="DK51" s="87">
        <v>7.0</v>
      </c>
      <c r="DL51" s="87">
        <v>13.0</v>
      </c>
      <c r="DM51" s="87">
        <v>4.0</v>
      </c>
      <c r="DN51" s="87"/>
      <c r="DO51" s="87">
        <v>1.0</v>
      </c>
      <c r="DP51" s="87"/>
      <c r="DQ51" s="87"/>
      <c r="DR51" s="87"/>
      <c r="DS51" s="87"/>
      <c r="DT51" s="87"/>
      <c r="DU51" s="87"/>
      <c r="DV51" s="87"/>
      <c r="DW51" s="87"/>
      <c r="DX51" s="87"/>
      <c r="DY51" s="87"/>
      <c r="DZ51" s="87"/>
      <c r="EA51" s="87"/>
      <c r="EB51" s="87"/>
      <c r="EC51" s="87"/>
      <c r="ED51" s="87">
        <v>72.0</v>
      </c>
      <c r="EE51" s="87"/>
      <c r="EF51" s="87"/>
      <c r="EG51" s="87">
        <v>5.0</v>
      </c>
      <c r="EH51" s="87"/>
      <c r="EI51" s="87"/>
      <c r="EJ51" s="87">
        <v>68.0</v>
      </c>
      <c r="EK51" s="88"/>
      <c r="EL51" s="88"/>
      <c r="EM51" s="88"/>
      <c r="EN51" s="88"/>
      <c r="EO51" s="88"/>
      <c r="EP51" s="88"/>
      <c r="EQ51" s="90"/>
    </row>
    <row r="52" ht="12.0" customHeight="1">
      <c r="A52" s="89">
        <v>1.06121051E8</v>
      </c>
      <c r="B52" s="89" t="s">
        <v>728</v>
      </c>
      <c r="C52" s="89" t="s">
        <v>716</v>
      </c>
      <c r="D52" s="89" t="s">
        <v>729</v>
      </c>
      <c r="E52" s="89" t="s">
        <v>730</v>
      </c>
      <c r="F52" s="89" t="s">
        <v>731</v>
      </c>
      <c r="G52" s="89" t="s">
        <v>732</v>
      </c>
      <c r="H52" s="89" t="s">
        <v>475</v>
      </c>
      <c r="I52" s="89" t="s">
        <v>543</v>
      </c>
      <c r="J52" s="89" t="s">
        <v>499</v>
      </c>
      <c r="K52" s="89" t="s">
        <v>637</v>
      </c>
      <c r="L52" s="89" t="s">
        <v>637</v>
      </c>
      <c r="M52" s="89" t="s">
        <v>733</v>
      </c>
      <c r="N52" s="89" t="s">
        <v>547</v>
      </c>
      <c r="O52" s="87">
        <v>697.0</v>
      </c>
      <c r="P52" s="87">
        <v>38.0</v>
      </c>
      <c r="Q52" s="87"/>
      <c r="R52" s="87"/>
      <c r="S52" s="87"/>
      <c r="T52" s="87"/>
      <c r="U52" s="87">
        <v>348.0</v>
      </c>
      <c r="V52" s="87">
        <v>387.0</v>
      </c>
      <c r="W52" s="87"/>
      <c r="X52" s="87"/>
      <c r="Y52" s="87"/>
      <c r="Z52" s="87">
        <v>20.0</v>
      </c>
      <c r="AA52" s="87">
        <v>49.0</v>
      </c>
      <c r="AB52" s="87">
        <v>66.0</v>
      </c>
      <c r="AC52" s="87">
        <v>89.0</v>
      </c>
      <c r="AD52" s="87">
        <v>148.0</v>
      </c>
      <c r="AE52" s="87">
        <v>156.0</v>
      </c>
      <c r="AF52" s="87">
        <v>202.0</v>
      </c>
      <c r="AG52" s="87">
        <v>5.0</v>
      </c>
      <c r="AH52" s="87">
        <v>22.0</v>
      </c>
      <c r="AI52" s="87">
        <v>688.0</v>
      </c>
      <c r="AJ52" s="87">
        <v>25.0</v>
      </c>
      <c r="AK52" s="87">
        <v>17.0</v>
      </c>
      <c r="AL52" s="87"/>
      <c r="AM52" s="87"/>
      <c r="AN52" s="87"/>
      <c r="AO52" s="87">
        <v>670.0</v>
      </c>
      <c r="AP52" s="87">
        <v>21.0</v>
      </c>
      <c r="AQ52" s="87">
        <v>27.0</v>
      </c>
      <c r="AR52" s="87"/>
      <c r="AS52" s="87">
        <v>588.0</v>
      </c>
      <c r="AT52" s="87">
        <v>4.0</v>
      </c>
      <c r="AU52" s="87">
        <v>93.0</v>
      </c>
      <c r="AV52" s="87">
        <v>7.0</v>
      </c>
      <c r="AW52" s="87">
        <v>1.0</v>
      </c>
      <c r="AX52" s="87">
        <v>42.0</v>
      </c>
      <c r="AY52" s="87"/>
      <c r="AZ52" s="87"/>
      <c r="BA52" s="87"/>
      <c r="BB52" s="87"/>
      <c r="BC52" s="87"/>
      <c r="BD52" s="87"/>
      <c r="BE52" s="87">
        <v>580.0</v>
      </c>
      <c r="BF52" s="87">
        <v>59.0</v>
      </c>
      <c r="BG52" s="87">
        <v>96.0</v>
      </c>
      <c r="BH52" s="87"/>
      <c r="BI52" s="87">
        <v>4354.0</v>
      </c>
      <c r="BJ52" s="87">
        <v>571.0</v>
      </c>
      <c r="BK52" s="87">
        <v>115.0</v>
      </c>
      <c r="BL52" s="87">
        <v>48.0</v>
      </c>
      <c r="BM52" s="87"/>
      <c r="BN52" s="87"/>
      <c r="BO52" s="87">
        <v>1.0</v>
      </c>
      <c r="BP52" s="87">
        <v>435.0</v>
      </c>
      <c r="BQ52" s="87">
        <v>53.0</v>
      </c>
      <c r="BR52" s="87">
        <v>11.0</v>
      </c>
      <c r="BS52" s="87">
        <v>120.0</v>
      </c>
      <c r="BT52" s="87">
        <v>2.0</v>
      </c>
      <c r="BU52" s="87"/>
      <c r="BV52" s="87">
        <v>27.0</v>
      </c>
      <c r="BW52" s="87">
        <v>35.0</v>
      </c>
      <c r="BX52" s="87">
        <v>32.0</v>
      </c>
      <c r="BY52" s="87"/>
      <c r="BZ52" s="87"/>
      <c r="CA52" s="87">
        <v>17.0</v>
      </c>
      <c r="CB52" s="87">
        <v>1.0</v>
      </c>
      <c r="CC52" s="87">
        <v>2.0</v>
      </c>
      <c r="CD52" s="87"/>
      <c r="CE52" s="87"/>
      <c r="CF52" s="87"/>
      <c r="CG52" s="87">
        <v>225.0</v>
      </c>
      <c r="CH52" s="87">
        <v>510.0</v>
      </c>
      <c r="CI52" s="87"/>
      <c r="CJ52" s="87">
        <v>475.0</v>
      </c>
      <c r="CK52" s="87">
        <v>153.0</v>
      </c>
      <c r="CL52" s="87">
        <v>76.0</v>
      </c>
      <c r="CM52" s="87"/>
      <c r="CN52" s="87"/>
      <c r="CO52" s="87">
        <v>23.0</v>
      </c>
      <c r="CP52" s="87"/>
      <c r="CQ52" s="87">
        <v>8.0</v>
      </c>
      <c r="CR52" s="87"/>
      <c r="CS52" s="87"/>
      <c r="CT52" s="87">
        <v>190.0</v>
      </c>
      <c r="CU52" s="87">
        <v>12.0</v>
      </c>
      <c r="CV52" s="87">
        <v>4.0</v>
      </c>
      <c r="CW52" s="87">
        <v>70.0</v>
      </c>
      <c r="CX52" s="87">
        <v>17.0</v>
      </c>
      <c r="CY52" s="87">
        <v>13.0</v>
      </c>
      <c r="CZ52" s="87"/>
      <c r="DA52" s="87">
        <v>1.0</v>
      </c>
      <c r="DB52" s="87">
        <v>68.0</v>
      </c>
      <c r="DC52" s="87">
        <v>69.0</v>
      </c>
      <c r="DD52" s="87">
        <v>142.0</v>
      </c>
      <c r="DE52" s="87">
        <v>36.0</v>
      </c>
      <c r="DF52" s="87">
        <v>16.0</v>
      </c>
      <c r="DG52" s="87">
        <v>27.0</v>
      </c>
      <c r="DH52" s="87"/>
      <c r="DI52" s="87"/>
      <c r="DJ52" s="87"/>
      <c r="DK52" s="87">
        <v>19.0</v>
      </c>
      <c r="DL52" s="87">
        <v>32.0</v>
      </c>
      <c r="DM52" s="87">
        <v>18.0</v>
      </c>
      <c r="DN52" s="87">
        <v>1.0</v>
      </c>
      <c r="DO52" s="87">
        <v>107.0</v>
      </c>
      <c r="DP52" s="87"/>
      <c r="DQ52" s="87">
        <v>26.0</v>
      </c>
      <c r="DR52" s="87">
        <v>113.0</v>
      </c>
      <c r="DS52" s="87">
        <v>1.0</v>
      </c>
      <c r="DT52" s="87">
        <v>1.0</v>
      </c>
      <c r="DU52" s="87"/>
      <c r="DV52" s="87"/>
      <c r="DW52" s="87"/>
      <c r="DX52" s="87">
        <v>19.0</v>
      </c>
      <c r="DY52" s="87">
        <v>15.0</v>
      </c>
      <c r="DZ52" s="87">
        <v>2.0</v>
      </c>
      <c r="EA52" s="87">
        <v>3.0</v>
      </c>
      <c r="EB52" s="87">
        <v>9.0</v>
      </c>
      <c r="EC52" s="87">
        <v>1.0</v>
      </c>
      <c r="ED52" s="87">
        <v>372.0</v>
      </c>
      <c r="EE52" s="87">
        <v>66.0</v>
      </c>
      <c r="EF52" s="87"/>
      <c r="EG52" s="87">
        <v>44.0</v>
      </c>
      <c r="EH52" s="87"/>
      <c r="EI52" s="87">
        <v>8.0</v>
      </c>
      <c r="EJ52" s="87">
        <v>683.0</v>
      </c>
      <c r="EK52" s="88"/>
      <c r="EL52" s="88"/>
      <c r="EM52" s="88"/>
      <c r="EN52" s="88"/>
      <c r="EO52" s="88"/>
      <c r="EP52" s="88"/>
      <c r="EQ52" s="90"/>
    </row>
    <row r="53" ht="12.0" customHeight="1">
      <c r="A53" s="89">
        <v>1.0612108E8</v>
      </c>
      <c r="B53" s="89" t="s">
        <v>734</v>
      </c>
      <c r="C53" s="89" t="s">
        <v>716</v>
      </c>
      <c r="D53" s="89" t="s">
        <v>735</v>
      </c>
      <c r="E53" s="89" t="s">
        <v>736</v>
      </c>
      <c r="F53" s="89" t="s">
        <v>737</v>
      </c>
      <c r="G53" s="89" t="s">
        <v>738</v>
      </c>
      <c r="H53" s="89" t="s">
        <v>475</v>
      </c>
      <c r="I53" s="89" t="s">
        <v>543</v>
      </c>
      <c r="J53" s="89" t="s">
        <v>437</v>
      </c>
      <c r="K53" s="89" t="s">
        <v>637</v>
      </c>
      <c r="L53" s="89" t="s">
        <v>637</v>
      </c>
      <c r="M53" s="89" t="s">
        <v>721</v>
      </c>
      <c r="N53" s="89" t="s">
        <v>547</v>
      </c>
      <c r="O53" s="87">
        <v>6951.0</v>
      </c>
      <c r="P53" s="87"/>
      <c r="Q53" s="87"/>
      <c r="R53" s="87"/>
      <c r="S53" s="87">
        <v>257.0</v>
      </c>
      <c r="T53" s="87"/>
      <c r="U53" s="87">
        <v>3430.0</v>
      </c>
      <c r="V53" s="87">
        <v>3778.0</v>
      </c>
      <c r="W53" s="87"/>
      <c r="X53" s="87">
        <v>784.0</v>
      </c>
      <c r="Y53" s="87">
        <v>68.0</v>
      </c>
      <c r="Z53" s="87">
        <v>573.0</v>
      </c>
      <c r="AA53" s="87">
        <v>732.0</v>
      </c>
      <c r="AB53" s="87">
        <v>532.0</v>
      </c>
      <c r="AC53" s="87">
        <v>760.0</v>
      </c>
      <c r="AD53" s="87">
        <v>1358.0</v>
      </c>
      <c r="AE53" s="87">
        <v>1378.0</v>
      </c>
      <c r="AF53" s="87">
        <v>1023.0</v>
      </c>
      <c r="AG53" s="87"/>
      <c r="AH53" s="87">
        <v>452.0</v>
      </c>
      <c r="AI53" s="87">
        <v>6136.0</v>
      </c>
      <c r="AJ53" s="87">
        <v>620.0</v>
      </c>
      <c r="AK53" s="87">
        <v>363.0</v>
      </c>
      <c r="AL53" s="87">
        <v>132.0</v>
      </c>
      <c r="AM53" s="87">
        <v>25.0</v>
      </c>
      <c r="AN53" s="87">
        <v>100.0</v>
      </c>
      <c r="AO53" s="87">
        <v>5470.0</v>
      </c>
      <c r="AP53" s="87">
        <v>527.0</v>
      </c>
      <c r="AQ53" s="87">
        <v>490.0</v>
      </c>
      <c r="AR53" s="87">
        <v>101.0</v>
      </c>
      <c r="AS53" s="87">
        <v>5765.0</v>
      </c>
      <c r="AT53" s="87">
        <v>84.0</v>
      </c>
      <c r="AU53" s="87">
        <v>369.0</v>
      </c>
      <c r="AV53" s="87">
        <v>49.0</v>
      </c>
      <c r="AW53" s="87">
        <v>72.0</v>
      </c>
      <c r="AX53" s="87">
        <v>125.0</v>
      </c>
      <c r="AY53" s="87">
        <v>2.0</v>
      </c>
      <c r="AZ53" s="87"/>
      <c r="BA53" s="87">
        <v>6.0</v>
      </c>
      <c r="BB53" s="87">
        <v>1.0</v>
      </c>
      <c r="BC53" s="87">
        <v>735.0</v>
      </c>
      <c r="BD53" s="87"/>
      <c r="BE53" s="87">
        <v>4545.0</v>
      </c>
      <c r="BF53" s="87">
        <v>127.0</v>
      </c>
      <c r="BG53" s="87">
        <v>2536.0</v>
      </c>
      <c r="BH53" s="87"/>
      <c r="BI53" s="87">
        <v>38415.0</v>
      </c>
      <c r="BJ53" s="87">
        <v>4422.0</v>
      </c>
      <c r="BK53" s="87">
        <v>539.0</v>
      </c>
      <c r="BL53" s="87">
        <v>1367.0</v>
      </c>
      <c r="BM53" s="87">
        <v>735.0</v>
      </c>
      <c r="BN53" s="87">
        <v>124.0</v>
      </c>
      <c r="BO53" s="87">
        <v>21.0</v>
      </c>
      <c r="BP53" s="87">
        <v>5022.0</v>
      </c>
      <c r="BQ53" s="87">
        <v>242.0</v>
      </c>
      <c r="BR53" s="87">
        <v>238.0</v>
      </c>
      <c r="BS53" s="87">
        <v>463.0</v>
      </c>
      <c r="BT53" s="87">
        <v>24.0</v>
      </c>
      <c r="BU53" s="87">
        <v>18.0</v>
      </c>
      <c r="BV53" s="87">
        <v>270.0</v>
      </c>
      <c r="BW53" s="87">
        <v>238.0</v>
      </c>
      <c r="BX53" s="87">
        <v>452.0</v>
      </c>
      <c r="BY53" s="87"/>
      <c r="BZ53" s="87">
        <v>15.0</v>
      </c>
      <c r="CA53" s="87">
        <v>184.0</v>
      </c>
      <c r="CB53" s="87">
        <v>30.0</v>
      </c>
      <c r="CC53" s="87">
        <v>4.0</v>
      </c>
      <c r="CD53" s="87">
        <v>7.0</v>
      </c>
      <c r="CE53" s="87"/>
      <c r="CF53" s="87">
        <v>1.0</v>
      </c>
      <c r="CG53" s="87">
        <v>900.0</v>
      </c>
      <c r="CH53" s="87">
        <v>6308.0</v>
      </c>
      <c r="CI53" s="87"/>
      <c r="CJ53" s="87">
        <v>3282.0</v>
      </c>
      <c r="CK53" s="87">
        <v>2309.0</v>
      </c>
      <c r="CL53" s="87">
        <v>1259.0</v>
      </c>
      <c r="CM53" s="87">
        <v>21.0</v>
      </c>
      <c r="CN53" s="87"/>
      <c r="CO53" s="87">
        <v>263.0</v>
      </c>
      <c r="CP53" s="87"/>
      <c r="CQ53" s="87">
        <v>74.0</v>
      </c>
      <c r="CR53" s="87"/>
      <c r="CS53" s="87"/>
      <c r="CT53" s="87">
        <v>935.0</v>
      </c>
      <c r="CU53" s="87">
        <v>198.0</v>
      </c>
      <c r="CV53" s="87">
        <v>29.0</v>
      </c>
      <c r="CW53" s="87">
        <v>200.0</v>
      </c>
      <c r="CX53" s="87">
        <v>129.0</v>
      </c>
      <c r="CY53" s="87">
        <v>118.0</v>
      </c>
      <c r="CZ53" s="87">
        <v>2.0</v>
      </c>
      <c r="DA53" s="87">
        <v>4.0</v>
      </c>
      <c r="DB53" s="87">
        <v>1200.0</v>
      </c>
      <c r="DC53" s="87">
        <v>361.0</v>
      </c>
      <c r="DD53" s="87">
        <v>668.0</v>
      </c>
      <c r="DE53" s="87">
        <v>154.0</v>
      </c>
      <c r="DF53" s="87">
        <v>325.0</v>
      </c>
      <c r="DG53" s="87">
        <v>289.0</v>
      </c>
      <c r="DH53" s="87">
        <v>807.0</v>
      </c>
      <c r="DI53" s="87">
        <v>762.0</v>
      </c>
      <c r="DJ53" s="87">
        <v>4.0</v>
      </c>
      <c r="DK53" s="87">
        <v>95.0</v>
      </c>
      <c r="DL53" s="87">
        <v>846.0</v>
      </c>
      <c r="DM53" s="87">
        <v>82.0</v>
      </c>
      <c r="DN53" s="87"/>
      <c r="DO53" s="87">
        <v>1549.0</v>
      </c>
      <c r="DP53" s="87">
        <v>729.0</v>
      </c>
      <c r="DQ53" s="87">
        <v>818.0</v>
      </c>
      <c r="DR53" s="87">
        <v>595.0</v>
      </c>
      <c r="DS53" s="87">
        <v>1.0</v>
      </c>
      <c r="DT53" s="87">
        <v>7.0</v>
      </c>
      <c r="DU53" s="87"/>
      <c r="DV53" s="87">
        <v>64.0</v>
      </c>
      <c r="DW53" s="87">
        <v>14.0</v>
      </c>
      <c r="DX53" s="87">
        <v>182.0</v>
      </c>
      <c r="DY53" s="87">
        <v>629.0</v>
      </c>
      <c r="DZ53" s="87">
        <v>89.0</v>
      </c>
      <c r="EA53" s="87">
        <v>18.0</v>
      </c>
      <c r="EB53" s="87">
        <v>137.0</v>
      </c>
      <c r="EC53" s="87">
        <v>102.0</v>
      </c>
      <c r="ED53" s="87">
        <v>2112.0</v>
      </c>
      <c r="EE53" s="87">
        <v>162.0</v>
      </c>
      <c r="EF53" s="87"/>
      <c r="EG53" s="87">
        <v>400.0</v>
      </c>
      <c r="EH53" s="87"/>
      <c r="EI53" s="87">
        <v>62.0</v>
      </c>
      <c r="EJ53" s="87">
        <v>6746.0</v>
      </c>
      <c r="EK53" s="88"/>
      <c r="EL53" s="88"/>
      <c r="EM53" s="88"/>
      <c r="EN53" s="88"/>
      <c r="EO53" s="88"/>
      <c r="EP53" s="88"/>
      <c r="EQ53" s="90"/>
    </row>
    <row r="54" ht="12.0" customHeight="1">
      <c r="A54" s="89">
        <v>1.06124004E8</v>
      </c>
      <c r="B54" s="89" t="s">
        <v>739</v>
      </c>
      <c r="C54" s="89" t="s">
        <v>716</v>
      </c>
      <c r="D54" s="89" t="s">
        <v>740</v>
      </c>
      <c r="E54" s="89" t="s">
        <v>741</v>
      </c>
      <c r="F54" s="89" t="s">
        <v>737</v>
      </c>
      <c r="G54" s="89" t="s">
        <v>738</v>
      </c>
      <c r="H54" s="89" t="s">
        <v>435</v>
      </c>
      <c r="I54" s="89" t="s">
        <v>543</v>
      </c>
      <c r="J54" s="89" t="s">
        <v>499</v>
      </c>
      <c r="K54" s="89" t="s">
        <v>637</v>
      </c>
      <c r="L54" s="89" t="s">
        <v>637</v>
      </c>
      <c r="M54" s="89" t="s">
        <v>721</v>
      </c>
      <c r="N54" s="89" t="s">
        <v>547</v>
      </c>
      <c r="O54" s="87"/>
      <c r="P54" s="87"/>
      <c r="Q54" s="87">
        <v>299.0</v>
      </c>
      <c r="R54" s="87"/>
      <c r="S54" s="87"/>
      <c r="T54" s="87"/>
      <c r="U54" s="87">
        <v>164.0</v>
      </c>
      <c r="V54" s="87">
        <v>135.0</v>
      </c>
      <c r="W54" s="87"/>
      <c r="X54" s="87"/>
      <c r="Y54" s="87">
        <v>13.0</v>
      </c>
      <c r="Z54" s="87">
        <v>81.0</v>
      </c>
      <c r="AA54" s="87">
        <v>94.0</v>
      </c>
      <c r="AB54" s="87">
        <v>49.0</v>
      </c>
      <c r="AC54" s="87">
        <v>20.0</v>
      </c>
      <c r="AD54" s="87">
        <v>35.0</v>
      </c>
      <c r="AE54" s="87"/>
      <c r="AF54" s="87"/>
      <c r="AG54" s="87">
        <v>7.0</v>
      </c>
      <c r="AH54" s="87">
        <v>39.0</v>
      </c>
      <c r="AI54" s="87">
        <v>214.0</v>
      </c>
      <c r="AJ54" s="87">
        <v>46.0</v>
      </c>
      <c r="AK54" s="87">
        <v>25.0</v>
      </c>
      <c r="AL54" s="87"/>
      <c r="AM54" s="87"/>
      <c r="AN54" s="87"/>
      <c r="AO54" s="87">
        <v>188.0</v>
      </c>
      <c r="AP54" s="87">
        <v>18.0</v>
      </c>
      <c r="AQ54" s="87"/>
      <c r="AR54" s="87">
        <v>68.0</v>
      </c>
      <c r="AS54" s="87">
        <v>20.0</v>
      </c>
      <c r="AT54" s="87"/>
      <c r="AU54" s="87">
        <v>232.0</v>
      </c>
      <c r="AV54" s="87">
        <v>9.0</v>
      </c>
      <c r="AW54" s="87">
        <v>1.0</v>
      </c>
      <c r="AX54" s="87"/>
      <c r="AY54" s="87"/>
      <c r="AZ54" s="87"/>
      <c r="BA54" s="87">
        <v>37.0</v>
      </c>
      <c r="BB54" s="87"/>
      <c r="BC54" s="87"/>
      <c r="BD54" s="87"/>
      <c r="BE54" s="87"/>
      <c r="BF54" s="87">
        <v>232.0</v>
      </c>
      <c r="BG54" s="87">
        <v>67.0</v>
      </c>
      <c r="BH54" s="87"/>
      <c r="BI54" s="87">
        <v>4311.0</v>
      </c>
      <c r="BJ54" s="87">
        <v>295.0</v>
      </c>
      <c r="BK54" s="87">
        <v>4.0</v>
      </c>
      <c r="BL54" s="87"/>
      <c r="BM54" s="87"/>
      <c r="BN54" s="87"/>
      <c r="BO54" s="87"/>
      <c r="BP54" s="87">
        <v>214.0</v>
      </c>
      <c r="BQ54" s="87">
        <v>10.0</v>
      </c>
      <c r="BR54" s="87"/>
      <c r="BS54" s="87"/>
      <c r="BT54" s="87">
        <v>42.0</v>
      </c>
      <c r="BU54" s="87">
        <v>10.0</v>
      </c>
      <c r="BV54" s="87">
        <v>23.0</v>
      </c>
      <c r="BW54" s="87"/>
      <c r="BX54" s="87"/>
      <c r="BY54" s="87"/>
      <c r="BZ54" s="87"/>
      <c r="CA54" s="87"/>
      <c r="CB54" s="87"/>
      <c r="CC54" s="87"/>
      <c r="CD54" s="87"/>
      <c r="CE54" s="87"/>
      <c r="CF54" s="87"/>
      <c r="CG54" s="87"/>
      <c r="CH54" s="87">
        <v>299.0</v>
      </c>
      <c r="CI54" s="87"/>
      <c r="CJ54" s="87">
        <v>91.0</v>
      </c>
      <c r="CK54" s="87">
        <v>164.0</v>
      </c>
      <c r="CL54" s="87">
        <v>25.0</v>
      </c>
      <c r="CM54" s="87"/>
      <c r="CN54" s="87">
        <v>7.0</v>
      </c>
      <c r="CO54" s="87">
        <v>2.0</v>
      </c>
      <c r="CP54" s="87"/>
      <c r="CQ54" s="87">
        <v>10.0</v>
      </c>
      <c r="CR54" s="87"/>
      <c r="CS54" s="87"/>
      <c r="CT54" s="87"/>
      <c r="CU54" s="87"/>
      <c r="CV54" s="87"/>
      <c r="CW54" s="87"/>
      <c r="CX54" s="87">
        <v>298.0</v>
      </c>
      <c r="CY54" s="87"/>
      <c r="CZ54" s="87"/>
      <c r="DA54" s="87"/>
      <c r="DB54" s="87"/>
      <c r="DC54" s="87"/>
      <c r="DD54" s="87"/>
      <c r="DE54" s="87"/>
      <c r="DF54" s="87"/>
      <c r="DG54" s="87"/>
      <c r="DH54" s="87"/>
      <c r="DI54" s="87"/>
      <c r="DJ54" s="87"/>
      <c r="DK54" s="87"/>
      <c r="DL54" s="87"/>
      <c r="DM54" s="87"/>
      <c r="DN54" s="87">
        <v>1.0</v>
      </c>
      <c r="DO54" s="87">
        <v>299.0</v>
      </c>
      <c r="DP54" s="87"/>
      <c r="DQ54" s="87"/>
      <c r="DR54" s="87"/>
      <c r="DS54" s="87"/>
      <c r="DT54" s="87"/>
      <c r="DU54" s="87"/>
      <c r="DV54" s="87"/>
      <c r="DW54" s="87"/>
      <c r="DX54" s="87"/>
      <c r="DY54" s="87"/>
      <c r="DZ54" s="87"/>
      <c r="EA54" s="87"/>
      <c r="EB54" s="87"/>
      <c r="EC54" s="87"/>
      <c r="ED54" s="87"/>
      <c r="EE54" s="87"/>
      <c r="EF54" s="87"/>
      <c r="EG54" s="87">
        <v>83.0</v>
      </c>
      <c r="EH54" s="87"/>
      <c r="EI54" s="87">
        <v>3.0</v>
      </c>
      <c r="EJ54" s="87">
        <v>213.0</v>
      </c>
      <c r="EK54" s="88"/>
      <c r="EL54" s="88"/>
      <c r="EM54" s="88"/>
      <c r="EN54" s="88"/>
      <c r="EO54" s="88"/>
      <c r="EP54" s="88"/>
      <c r="EQ54" s="90"/>
    </row>
    <row r="55" ht="12.0" customHeight="1">
      <c r="A55" s="89">
        <v>1.06130699E8</v>
      </c>
      <c r="B55" s="89" t="s">
        <v>742</v>
      </c>
      <c r="C55" s="89" t="s">
        <v>743</v>
      </c>
      <c r="D55" s="89" t="s">
        <v>744</v>
      </c>
      <c r="E55" s="89" t="s">
        <v>745</v>
      </c>
      <c r="F55" s="89" t="s">
        <v>746</v>
      </c>
      <c r="G55" s="89" t="s">
        <v>747</v>
      </c>
      <c r="H55" s="89" t="s">
        <v>435</v>
      </c>
      <c r="I55" s="89" t="s">
        <v>543</v>
      </c>
      <c r="J55" s="89" t="s">
        <v>457</v>
      </c>
      <c r="K55" s="89" t="s">
        <v>748</v>
      </c>
      <c r="L55" s="89" t="s">
        <v>749</v>
      </c>
      <c r="M55" s="89" t="s">
        <v>750</v>
      </c>
      <c r="N55" s="89" t="s">
        <v>547</v>
      </c>
      <c r="O55" s="87">
        <v>5121.0</v>
      </c>
      <c r="P55" s="87"/>
      <c r="Q55" s="87"/>
      <c r="R55" s="87"/>
      <c r="S55" s="87"/>
      <c r="T55" s="87"/>
      <c r="U55" s="87">
        <v>2390.0</v>
      </c>
      <c r="V55" s="87">
        <v>2731.0</v>
      </c>
      <c r="W55" s="87"/>
      <c r="X55" s="87">
        <v>795.0</v>
      </c>
      <c r="Y55" s="87">
        <v>68.0</v>
      </c>
      <c r="Z55" s="87">
        <v>514.0</v>
      </c>
      <c r="AA55" s="87">
        <v>537.0</v>
      </c>
      <c r="AB55" s="87">
        <v>317.0</v>
      </c>
      <c r="AC55" s="87">
        <v>419.0</v>
      </c>
      <c r="AD55" s="87">
        <v>888.0</v>
      </c>
      <c r="AE55" s="87">
        <v>742.0</v>
      </c>
      <c r="AF55" s="87">
        <v>841.0</v>
      </c>
      <c r="AG55" s="87"/>
      <c r="AH55" s="87">
        <v>4536.0</v>
      </c>
      <c r="AI55" s="87">
        <v>566.0</v>
      </c>
      <c r="AJ55" s="87">
        <v>19.0</v>
      </c>
      <c r="AK55" s="87"/>
      <c r="AL55" s="87">
        <v>38.0</v>
      </c>
      <c r="AM55" s="87"/>
      <c r="AN55" s="87">
        <v>67.0</v>
      </c>
      <c r="AO55" s="87">
        <v>2937.0</v>
      </c>
      <c r="AP55" s="87">
        <v>45.0</v>
      </c>
      <c r="AQ55" s="87">
        <v>1963.0</v>
      </c>
      <c r="AR55" s="87">
        <v>71.0</v>
      </c>
      <c r="AS55" s="87">
        <v>3682.0</v>
      </c>
      <c r="AT55" s="87">
        <v>554.0</v>
      </c>
      <c r="AU55" s="87">
        <v>20.0</v>
      </c>
      <c r="AV55" s="87">
        <v>85.0</v>
      </c>
      <c r="AW55" s="87"/>
      <c r="AX55" s="87"/>
      <c r="AY55" s="87"/>
      <c r="AZ55" s="87"/>
      <c r="BA55" s="87">
        <v>16.0</v>
      </c>
      <c r="BB55" s="87"/>
      <c r="BC55" s="87">
        <v>764.0</v>
      </c>
      <c r="BD55" s="87"/>
      <c r="BE55" s="87">
        <v>3483.0</v>
      </c>
      <c r="BF55" s="87"/>
      <c r="BG55" s="87">
        <v>1638.0</v>
      </c>
      <c r="BH55" s="87"/>
      <c r="BI55" s="87">
        <v>24947.0</v>
      </c>
      <c r="BJ55" s="87">
        <v>1173.0</v>
      </c>
      <c r="BK55" s="87">
        <v>2308.0</v>
      </c>
      <c r="BL55" s="87">
        <v>876.0</v>
      </c>
      <c r="BM55" s="87">
        <v>764.0</v>
      </c>
      <c r="BN55" s="87"/>
      <c r="BO55" s="87"/>
      <c r="BP55" s="87">
        <v>3160.0</v>
      </c>
      <c r="BQ55" s="87">
        <v>176.0</v>
      </c>
      <c r="BR55" s="87">
        <v>6.0</v>
      </c>
      <c r="BS55" s="87">
        <v>422.0</v>
      </c>
      <c r="BT55" s="87">
        <v>15.0</v>
      </c>
      <c r="BU55" s="87">
        <v>40.0</v>
      </c>
      <c r="BV55" s="87">
        <v>148.0</v>
      </c>
      <c r="BW55" s="87">
        <v>277.0</v>
      </c>
      <c r="BX55" s="87">
        <v>771.0</v>
      </c>
      <c r="BY55" s="87"/>
      <c r="BZ55" s="87">
        <v>29.0</v>
      </c>
      <c r="CA55" s="87">
        <v>76.0</v>
      </c>
      <c r="CB55" s="87">
        <v>1.0</v>
      </c>
      <c r="CC55" s="87"/>
      <c r="CD55" s="87"/>
      <c r="CE55" s="87"/>
      <c r="CF55" s="87"/>
      <c r="CG55" s="87">
        <v>217.0</v>
      </c>
      <c r="CH55" s="87">
        <v>4904.0</v>
      </c>
      <c r="CI55" s="87"/>
      <c r="CJ55" s="87">
        <v>2225.0</v>
      </c>
      <c r="CK55" s="87">
        <v>1693.0</v>
      </c>
      <c r="CL55" s="87">
        <v>662.0</v>
      </c>
      <c r="CM55" s="87">
        <v>11.0</v>
      </c>
      <c r="CN55" s="87">
        <v>1.0</v>
      </c>
      <c r="CO55" s="87">
        <v>72.0</v>
      </c>
      <c r="CP55" s="87">
        <v>32.0</v>
      </c>
      <c r="CQ55" s="87">
        <v>425.0</v>
      </c>
      <c r="CR55" s="87"/>
      <c r="CS55" s="87"/>
      <c r="CT55" s="87">
        <v>694.0</v>
      </c>
      <c r="CU55" s="87">
        <v>109.0</v>
      </c>
      <c r="CV55" s="87">
        <v>54.0</v>
      </c>
      <c r="CW55" s="87">
        <v>287.0</v>
      </c>
      <c r="CX55" s="87">
        <v>34.0</v>
      </c>
      <c r="CY55" s="87">
        <v>84.0</v>
      </c>
      <c r="CZ55" s="87">
        <v>3.0</v>
      </c>
      <c r="DA55" s="87">
        <v>1.0</v>
      </c>
      <c r="DB55" s="87">
        <v>527.0</v>
      </c>
      <c r="DC55" s="87">
        <v>376.0</v>
      </c>
      <c r="DD55" s="87">
        <v>699.0</v>
      </c>
      <c r="DE55" s="87">
        <v>110.0</v>
      </c>
      <c r="DF55" s="87">
        <v>65.0</v>
      </c>
      <c r="DG55" s="87">
        <v>346.0</v>
      </c>
      <c r="DH55" s="87">
        <v>808.0</v>
      </c>
      <c r="DI55" s="87">
        <v>771.0</v>
      </c>
      <c r="DJ55" s="87">
        <v>2.0</v>
      </c>
      <c r="DK55" s="87">
        <v>29.0</v>
      </c>
      <c r="DL55" s="87">
        <v>110.0</v>
      </c>
      <c r="DM55" s="87">
        <v>12.0</v>
      </c>
      <c r="DN55" s="87"/>
      <c r="DO55" s="87">
        <v>221.0</v>
      </c>
      <c r="DP55" s="87">
        <v>757.0</v>
      </c>
      <c r="DQ55" s="87">
        <v>255.0</v>
      </c>
      <c r="DR55" s="87">
        <v>603.0</v>
      </c>
      <c r="DS55" s="87">
        <v>1.0</v>
      </c>
      <c r="DT55" s="87">
        <v>2.0</v>
      </c>
      <c r="DU55" s="87"/>
      <c r="DV55" s="87">
        <v>22.0</v>
      </c>
      <c r="DW55" s="87">
        <v>12.0</v>
      </c>
      <c r="DX55" s="87">
        <v>62.0</v>
      </c>
      <c r="DY55" s="87">
        <v>132.0</v>
      </c>
      <c r="DZ55" s="87">
        <v>28.0</v>
      </c>
      <c r="EA55" s="87">
        <v>15.0</v>
      </c>
      <c r="EB55" s="87">
        <v>102.0</v>
      </c>
      <c r="EC55" s="87">
        <v>83.0</v>
      </c>
      <c r="ED55" s="87">
        <v>2737.0</v>
      </c>
      <c r="EE55" s="87">
        <v>89.0</v>
      </c>
      <c r="EF55" s="87">
        <v>3.0</v>
      </c>
      <c r="EG55" s="87">
        <v>124.0</v>
      </c>
      <c r="EH55" s="87">
        <v>98.0</v>
      </c>
      <c r="EI55" s="87">
        <v>129.0</v>
      </c>
      <c r="EJ55" s="87">
        <v>4767.0</v>
      </c>
      <c r="EK55" s="88"/>
      <c r="EL55" s="88"/>
      <c r="EM55" s="88"/>
      <c r="EN55" s="88"/>
      <c r="EO55" s="88"/>
      <c r="EP55" s="88"/>
      <c r="EQ55" s="90"/>
    </row>
    <row r="56" ht="12.0" customHeight="1">
      <c r="A56" s="89">
        <v>1.0613076E8</v>
      </c>
      <c r="B56" s="89" t="s">
        <v>751</v>
      </c>
      <c r="C56" s="89" t="s">
        <v>743</v>
      </c>
      <c r="D56" s="89" t="s">
        <v>752</v>
      </c>
      <c r="E56" s="89" t="s">
        <v>753</v>
      </c>
      <c r="F56" s="89" t="s">
        <v>754</v>
      </c>
      <c r="G56" s="89" t="s">
        <v>755</v>
      </c>
      <c r="H56" s="89" t="s">
        <v>494</v>
      </c>
      <c r="I56" s="89" t="s">
        <v>543</v>
      </c>
      <c r="J56" s="89" t="s">
        <v>437</v>
      </c>
      <c r="K56" s="89" t="s">
        <v>748</v>
      </c>
      <c r="L56" s="89" t="s">
        <v>749</v>
      </c>
      <c r="M56" s="89" t="s">
        <v>756</v>
      </c>
      <c r="N56" s="89" t="s">
        <v>547</v>
      </c>
      <c r="O56" s="87">
        <v>5965.0</v>
      </c>
      <c r="P56" s="87"/>
      <c r="Q56" s="87"/>
      <c r="R56" s="87"/>
      <c r="S56" s="87"/>
      <c r="T56" s="87"/>
      <c r="U56" s="87">
        <v>2139.0</v>
      </c>
      <c r="V56" s="87">
        <v>3826.0</v>
      </c>
      <c r="W56" s="87"/>
      <c r="X56" s="87">
        <v>1980.0</v>
      </c>
      <c r="Y56" s="87">
        <v>103.0</v>
      </c>
      <c r="Z56" s="87">
        <v>1091.0</v>
      </c>
      <c r="AA56" s="87">
        <v>929.0</v>
      </c>
      <c r="AB56" s="87">
        <v>235.0</v>
      </c>
      <c r="AC56" s="87">
        <v>339.0</v>
      </c>
      <c r="AD56" s="87">
        <v>476.0</v>
      </c>
      <c r="AE56" s="87">
        <v>398.0</v>
      </c>
      <c r="AF56" s="87">
        <v>414.0</v>
      </c>
      <c r="AG56" s="87"/>
      <c r="AH56" s="87">
        <v>5233.0</v>
      </c>
      <c r="AI56" s="87">
        <v>717.0</v>
      </c>
      <c r="AJ56" s="87">
        <v>15.0</v>
      </c>
      <c r="AK56" s="87"/>
      <c r="AL56" s="87">
        <v>14.0</v>
      </c>
      <c r="AM56" s="87"/>
      <c r="AN56" s="87">
        <v>56.0</v>
      </c>
      <c r="AO56" s="87">
        <v>5823.0</v>
      </c>
      <c r="AP56" s="87">
        <v>17.0</v>
      </c>
      <c r="AQ56" s="87">
        <v>55.0</v>
      </c>
      <c r="AR56" s="87"/>
      <c r="AS56" s="87">
        <v>4128.0</v>
      </c>
      <c r="AT56" s="87">
        <v>1.0</v>
      </c>
      <c r="AU56" s="87">
        <v>9.0</v>
      </c>
      <c r="AV56" s="87">
        <v>15.0</v>
      </c>
      <c r="AW56" s="87"/>
      <c r="AX56" s="87"/>
      <c r="AY56" s="87"/>
      <c r="AZ56" s="87"/>
      <c r="BA56" s="87">
        <v>25.0</v>
      </c>
      <c r="BB56" s="87"/>
      <c r="BC56" s="87">
        <v>1787.0</v>
      </c>
      <c r="BD56" s="87"/>
      <c r="BE56" s="87">
        <v>3904.0</v>
      </c>
      <c r="BF56" s="87"/>
      <c r="BG56" s="87">
        <v>2061.0</v>
      </c>
      <c r="BH56" s="87"/>
      <c r="BI56" s="87">
        <v>19259.0</v>
      </c>
      <c r="BJ56" s="87">
        <v>1513.0</v>
      </c>
      <c r="BK56" s="87">
        <v>1847.0</v>
      </c>
      <c r="BL56" s="87">
        <v>818.0</v>
      </c>
      <c r="BM56" s="87">
        <v>1787.0</v>
      </c>
      <c r="BN56" s="87"/>
      <c r="BO56" s="87"/>
      <c r="BP56" s="87">
        <v>4993.0</v>
      </c>
      <c r="BQ56" s="87">
        <v>170.0</v>
      </c>
      <c r="BR56" s="87">
        <v>15.0</v>
      </c>
      <c r="BS56" s="87">
        <v>226.0</v>
      </c>
      <c r="BT56" s="87">
        <v>5.0</v>
      </c>
      <c r="BU56" s="87">
        <v>41.0</v>
      </c>
      <c r="BV56" s="87">
        <v>134.0</v>
      </c>
      <c r="BW56" s="87">
        <v>120.0</v>
      </c>
      <c r="BX56" s="87">
        <v>204.0</v>
      </c>
      <c r="BY56" s="87"/>
      <c r="BZ56" s="87">
        <v>5.0</v>
      </c>
      <c r="CA56" s="87">
        <v>43.0</v>
      </c>
      <c r="CB56" s="87">
        <v>2.0</v>
      </c>
      <c r="CC56" s="87">
        <v>1.0</v>
      </c>
      <c r="CD56" s="87">
        <v>5.0</v>
      </c>
      <c r="CE56" s="87">
        <v>1.0</v>
      </c>
      <c r="CF56" s="87"/>
      <c r="CG56" s="87">
        <v>91.0</v>
      </c>
      <c r="CH56" s="87">
        <v>5874.0</v>
      </c>
      <c r="CI56" s="87"/>
      <c r="CJ56" s="87">
        <v>1144.0</v>
      </c>
      <c r="CK56" s="87">
        <v>2965.0</v>
      </c>
      <c r="CL56" s="87">
        <v>1168.0</v>
      </c>
      <c r="CM56" s="87">
        <v>5.0</v>
      </c>
      <c r="CN56" s="87">
        <v>2.0</v>
      </c>
      <c r="CO56" s="87">
        <v>90.0</v>
      </c>
      <c r="CP56" s="87">
        <v>3.0</v>
      </c>
      <c r="CQ56" s="87">
        <v>588.0</v>
      </c>
      <c r="CR56" s="87"/>
      <c r="CS56" s="87"/>
      <c r="CT56" s="87">
        <v>486.0</v>
      </c>
      <c r="CU56" s="87">
        <v>25.0</v>
      </c>
      <c r="CV56" s="87">
        <v>8.0</v>
      </c>
      <c r="CW56" s="87">
        <v>171.0</v>
      </c>
      <c r="CX56" s="87">
        <v>10.0</v>
      </c>
      <c r="CY56" s="87">
        <v>57.0</v>
      </c>
      <c r="CZ56" s="87">
        <v>2.0</v>
      </c>
      <c r="DA56" s="87">
        <v>2.0</v>
      </c>
      <c r="DB56" s="87">
        <v>306.0</v>
      </c>
      <c r="DC56" s="87">
        <v>311.0</v>
      </c>
      <c r="DD56" s="87">
        <v>338.0</v>
      </c>
      <c r="DE56" s="87">
        <v>94.0</v>
      </c>
      <c r="DF56" s="87">
        <v>102.0</v>
      </c>
      <c r="DG56" s="87">
        <v>187.0</v>
      </c>
      <c r="DH56" s="87">
        <v>1877.0</v>
      </c>
      <c r="DI56" s="87">
        <v>1826.0</v>
      </c>
      <c r="DJ56" s="87"/>
      <c r="DK56" s="87">
        <v>19.0</v>
      </c>
      <c r="DL56" s="87">
        <v>140.0</v>
      </c>
      <c r="DM56" s="87">
        <v>3.0</v>
      </c>
      <c r="DN56" s="87">
        <v>1.0</v>
      </c>
      <c r="DO56" s="87">
        <v>440.0</v>
      </c>
      <c r="DP56" s="87">
        <v>1774.0</v>
      </c>
      <c r="DQ56" s="87">
        <v>145.0</v>
      </c>
      <c r="DR56" s="87">
        <v>227.0</v>
      </c>
      <c r="DS56" s="87"/>
      <c r="DT56" s="87"/>
      <c r="DU56" s="87"/>
      <c r="DV56" s="87">
        <v>23.0</v>
      </c>
      <c r="DW56" s="87">
        <v>1.0</v>
      </c>
      <c r="DX56" s="87">
        <v>64.0</v>
      </c>
      <c r="DY56" s="87">
        <v>129.0</v>
      </c>
      <c r="DZ56" s="87">
        <v>32.0</v>
      </c>
      <c r="EA56" s="87">
        <v>16.0</v>
      </c>
      <c r="EB56" s="87">
        <v>41.0</v>
      </c>
      <c r="EC56" s="87">
        <v>46.0</v>
      </c>
      <c r="ED56" s="87">
        <v>2947.0</v>
      </c>
      <c r="EE56" s="87">
        <v>80.0</v>
      </c>
      <c r="EF56" s="87">
        <v>4.0</v>
      </c>
      <c r="EG56" s="87">
        <v>40.0</v>
      </c>
      <c r="EH56" s="87">
        <v>383.0</v>
      </c>
      <c r="EI56" s="87">
        <v>51.0</v>
      </c>
      <c r="EJ56" s="87">
        <v>5487.0</v>
      </c>
      <c r="EK56" s="88"/>
      <c r="EL56" s="88"/>
      <c r="EM56" s="88"/>
      <c r="EN56" s="88"/>
      <c r="EO56" s="88"/>
      <c r="EP56" s="88"/>
      <c r="EQ56" s="90"/>
    </row>
    <row r="57" ht="12.0" customHeight="1">
      <c r="A57" s="89">
        <v>1.06141273E8</v>
      </c>
      <c r="B57" s="89" t="s">
        <v>757</v>
      </c>
      <c r="C57" s="89" t="s">
        <v>758</v>
      </c>
      <c r="D57" s="89" t="s">
        <v>759</v>
      </c>
      <c r="E57" s="89" t="s">
        <v>760</v>
      </c>
      <c r="F57" s="89" t="s">
        <v>761</v>
      </c>
      <c r="G57" s="89" t="s">
        <v>762</v>
      </c>
      <c r="H57" s="89" t="s">
        <v>494</v>
      </c>
      <c r="I57" s="89" t="s">
        <v>543</v>
      </c>
      <c r="J57" s="89" t="s">
        <v>499</v>
      </c>
      <c r="K57" s="89" t="s">
        <v>544</v>
      </c>
      <c r="L57" s="89" t="s">
        <v>763</v>
      </c>
      <c r="M57" s="89" t="s">
        <v>764</v>
      </c>
      <c r="N57" s="89" t="s">
        <v>547</v>
      </c>
      <c r="O57" s="87">
        <v>1001.0</v>
      </c>
      <c r="P57" s="87">
        <v>8.0</v>
      </c>
      <c r="Q57" s="87"/>
      <c r="R57" s="87"/>
      <c r="S57" s="87"/>
      <c r="T57" s="87"/>
      <c r="U57" s="87">
        <v>436.0</v>
      </c>
      <c r="V57" s="87">
        <v>573.0</v>
      </c>
      <c r="W57" s="87"/>
      <c r="X57" s="87">
        <v>254.0</v>
      </c>
      <c r="Y57" s="87">
        <v>18.0</v>
      </c>
      <c r="Z57" s="87">
        <v>105.0</v>
      </c>
      <c r="AA57" s="87">
        <v>139.0</v>
      </c>
      <c r="AB57" s="87">
        <v>45.0</v>
      </c>
      <c r="AC57" s="87">
        <v>48.0</v>
      </c>
      <c r="AD57" s="87">
        <v>112.0</v>
      </c>
      <c r="AE57" s="87">
        <v>130.0</v>
      </c>
      <c r="AF57" s="87">
        <v>158.0</v>
      </c>
      <c r="AG57" s="87"/>
      <c r="AH57" s="87">
        <v>173.0</v>
      </c>
      <c r="AI57" s="87">
        <v>738.0</v>
      </c>
      <c r="AJ57" s="87">
        <v>98.0</v>
      </c>
      <c r="AK57" s="87">
        <v>118.0</v>
      </c>
      <c r="AL57" s="87"/>
      <c r="AM57" s="87"/>
      <c r="AN57" s="87"/>
      <c r="AO57" s="87">
        <v>709.0</v>
      </c>
      <c r="AP57" s="87">
        <v>80.0</v>
      </c>
      <c r="AQ57" s="87">
        <v>81.0</v>
      </c>
      <c r="AR57" s="87">
        <v>21.0</v>
      </c>
      <c r="AS57" s="87">
        <v>662.0</v>
      </c>
      <c r="AT57" s="87">
        <v>103.0</v>
      </c>
      <c r="AU57" s="87">
        <v>16.0</v>
      </c>
      <c r="AV57" s="87">
        <v>1.0</v>
      </c>
      <c r="AW57" s="87">
        <v>4.0</v>
      </c>
      <c r="AX57" s="87"/>
      <c r="AY57" s="87"/>
      <c r="AZ57" s="87"/>
      <c r="BA57" s="87"/>
      <c r="BB57" s="87">
        <v>13.0</v>
      </c>
      <c r="BC57" s="87">
        <v>210.0</v>
      </c>
      <c r="BD57" s="87"/>
      <c r="BE57" s="87">
        <v>561.0</v>
      </c>
      <c r="BF57" s="87"/>
      <c r="BG57" s="87">
        <v>448.0</v>
      </c>
      <c r="BH57" s="87"/>
      <c r="BI57" s="87">
        <v>2919.0</v>
      </c>
      <c r="BJ57" s="87">
        <v>72.0</v>
      </c>
      <c r="BK57" s="87">
        <v>487.0</v>
      </c>
      <c r="BL57" s="87">
        <v>239.0</v>
      </c>
      <c r="BM57" s="87">
        <v>210.0</v>
      </c>
      <c r="BN57" s="87">
        <v>1.0</v>
      </c>
      <c r="BO57" s="87"/>
      <c r="BP57" s="87">
        <v>800.0</v>
      </c>
      <c r="BQ57" s="87">
        <v>54.0</v>
      </c>
      <c r="BR57" s="87">
        <v>5.0</v>
      </c>
      <c r="BS57" s="87">
        <v>83.0</v>
      </c>
      <c r="BT57" s="87"/>
      <c r="BU57" s="87"/>
      <c r="BV57" s="87">
        <v>6.0</v>
      </c>
      <c r="BW57" s="87">
        <v>27.0</v>
      </c>
      <c r="BX57" s="87">
        <v>26.0</v>
      </c>
      <c r="BY57" s="87"/>
      <c r="BZ57" s="87"/>
      <c r="CA57" s="87">
        <v>7.0</v>
      </c>
      <c r="CB57" s="87">
        <v>1.0</v>
      </c>
      <c r="CC57" s="87"/>
      <c r="CD57" s="87"/>
      <c r="CE57" s="87"/>
      <c r="CF57" s="87"/>
      <c r="CG57" s="87">
        <v>135.0</v>
      </c>
      <c r="CH57" s="87">
        <v>874.0</v>
      </c>
      <c r="CI57" s="87"/>
      <c r="CJ57" s="87">
        <v>325.0</v>
      </c>
      <c r="CK57" s="87">
        <v>339.0</v>
      </c>
      <c r="CL57" s="87">
        <v>317.0</v>
      </c>
      <c r="CM57" s="87">
        <v>4.0</v>
      </c>
      <c r="CN57" s="87"/>
      <c r="CO57" s="87">
        <v>2.0</v>
      </c>
      <c r="CP57" s="87"/>
      <c r="CQ57" s="87">
        <v>21.0</v>
      </c>
      <c r="CR57" s="87">
        <v>1.0</v>
      </c>
      <c r="CS57" s="87"/>
      <c r="CT57" s="87">
        <v>109.0</v>
      </c>
      <c r="CU57" s="87">
        <v>11.0</v>
      </c>
      <c r="CV57" s="87">
        <v>3.0</v>
      </c>
      <c r="CW57" s="87">
        <v>52.0</v>
      </c>
      <c r="CX57" s="87">
        <v>14.0</v>
      </c>
      <c r="CY57" s="87">
        <v>9.0</v>
      </c>
      <c r="CZ57" s="87">
        <v>1.0</v>
      </c>
      <c r="DA57" s="87">
        <v>2.0</v>
      </c>
      <c r="DB57" s="87">
        <v>55.0</v>
      </c>
      <c r="DC57" s="87">
        <v>59.0</v>
      </c>
      <c r="DD57" s="87">
        <v>99.0</v>
      </c>
      <c r="DE57" s="87">
        <v>19.0</v>
      </c>
      <c r="DF57" s="87">
        <v>23.0</v>
      </c>
      <c r="DG57" s="87">
        <v>22.0</v>
      </c>
      <c r="DH57" s="87">
        <v>213.0</v>
      </c>
      <c r="DI57" s="87">
        <v>221.0</v>
      </c>
      <c r="DJ57" s="87"/>
      <c r="DK57" s="87">
        <v>30.0</v>
      </c>
      <c r="DL57" s="87">
        <v>65.0</v>
      </c>
      <c r="DM57" s="87">
        <v>2.0</v>
      </c>
      <c r="DN57" s="87"/>
      <c r="DO57" s="87">
        <v>220.0</v>
      </c>
      <c r="DP57" s="87">
        <v>182.0</v>
      </c>
      <c r="DQ57" s="87">
        <v>5.0</v>
      </c>
      <c r="DR57" s="87">
        <v>64.0</v>
      </c>
      <c r="DS57" s="87"/>
      <c r="DT57" s="87"/>
      <c r="DU57" s="87"/>
      <c r="DV57" s="87">
        <v>8.0</v>
      </c>
      <c r="DW57" s="87"/>
      <c r="DX57" s="87">
        <v>27.0</v>
      </c>
      <c r="DY57" s="87">
        <v>65.0</v>
      </c>
      <c r="DZ57" s="87">
        <v>3.0</v>
      </c>
      <c r="EA57" s="87">
        <v>8.0</v>
      </c>
      <c r="EB57" s="87">
        <v>3.0</v>
      </c>
      <c r="EC57" s="87">
        <v>1.0</v>
      </c>
      <c r="ED57" s="87">
        <v>418.0</v>
      </c>
      <c r="EE57" s="87">
        <v>5.0</v>
      </c>
      <c r="EF57" s="87"/>
      <c r="EG57" s="87">
        <v>8.0</v>
      </c>
      <c r="EH57" s="87"/>
      <c r="EI57" s="87">
        <v>44.0</v>
      </c>
      <c r="EJ57" s="87">
        <v>957.0</v>
      </c>
      <c r="EK57" s="88"/>
      <c r="EL57" s="88"/>
      <c r="EM57" s="88"/>
      <c r="EN57" s="88"/>
      <c r="EO57" s="88"/>
      <c r="EP57" s="88"/>
      <c r="EQ57" s="90"/>
    </row>
    <row r="58" ht="12.0" customHeight="1">
      <c r="A58" s="89">
        <v>1.06141338E8</v>
      </c>
      <c r="B58" s="89" t="s">
        <v>765</v>
      </c>
      <c r="C58" s="89" t="s">
        <v>758</v>
      </c>
      <c r="D58" s="89" t="s">
        <v>766</v>
      </c>
      <c r="E58" s="89" t="s">
        <v>767</v>
      </c>
      <c r="F58" s="89" t="s">
        <v>768</v>
      </c>
      <c r="G58" s="89" t="s">
        <v>769</v>
      </c>
      <c r="H58" s="89" t="s">
        <v>494</v>
      </c>
      <c r="I58" s="89" t="s">
        <v>543</v>
      </c>
      <c r="J58" s="89" t="s">
        <v>499</v>
      </c>
      <c r="K58" s="89" t="s">
        <v>544</v>
      </c>
      <c r="L58" s="89" t="s">
        <v>763</v>
      </c>
      <c r="M58" s="89" t="s">
        <v>770</v>
      </c>
      <c r="N58" s="89" t="s">
        <v>714</v>
      </c>
      <c r="O58" s="87"/>
      <c r="P58" s="87">
        <v>10.0</v>
      </c>
      <c r="Q58" s="87"/>
      <c r="R58" s="87"/>
      <c r="S58" s="87"/>
      <c r="T58" s="87"/>
      <c r="U58" s="87">
        <v>4.0</v>
      </c>
      <c r="V58" s="87">
        <v>6.0</v>
      </c>
      <c r="W58" s="87"/>
      <c r="X58" s="87"/>
      <c r="Y58" s="87"/>
      <c r="Z58" s="87"/>
      <c r="AA58" s="87"/>
      <c r="AB58" s="87"/>
      <c r="AC58" s="87"/>
      <c r="AD58" s="87"/>
      <c r="AE58" s="87"/>
      <c r="AF58" s="87"/>
      <c r="AG58" s="87">
        <v>10.0</v>
      </c>
      <c r="AH58" s="87"/>
      <c r="AI58" s="87"/>
      <c r="AJ58" s="87">
        <v>10.0</v>
      </c>
      <c r="AK58" s="87"/>
      <c r="AL58" s="87"/>
      <c r="AM58" s="87"/>
      <c r="AN58" s="87"/>
      <c r="AO58" s="87"/>
      <c r="AP58" s="87">
        <v>10.0</v>
      </c>
      <c r="AQ58" s="87"/>
      <c r="AR58" s="87"/>
      <c r="AS58" s="87"/>
      <c r="AT58" s="87">
        <v>3.0</v>
      </c>
      <c r="AU58" s="87">
        <v>5.0</v>
      </c>
      <c r="AV58" s="87"/>
      <c r="AW58" s="87"/>
      <c r="AX58" s="87">
        <v>2.0</v>
      </c>
      <c r="AY58" s="87"/>
      <c r="AZ58" s="87"/>
      <c r="BA58" s="87"/>
      <c r="BB58" s="87"/>
      <c r="BC58" s="87"/>
      <c r="BD58" s="87"/>
      <c r="BE58" s="87">
        <v>2.0</v>
      </c>
      <c r="BF58" s="87"/>
      <c r="BG58" s="87">
        <v>8.0</v>
      </c>
      <c r="BH58" s="87"/>
      <c r="BI58" s="87">
        <v>422.0</v>
      </c>
      <c r="BJ58" s="87">
        <v>1.0</v>
      </c>
      <c r="BK58" s="87">
        <v>1.0</v>
      </c>
      <c r="BL58" s="87">
        <v>8.0</v>
      </c>
      <c r="BM58" s="87"/>
      <c r="BN58" s="87"/>
      <c r="BO58" s="87"/>
      <c r="BP58" s="87">
        <v>6.0</v>
      </c>
      <c r="BQ58" s="87"/>
      <c r="BR58" s="87"/>
      <c r="BS58" s="87">
        <v>3.0</v>
      </c>
      <c r="BT58" s="87"/>
      <c r="BU58" s="87"/>
      <c r="BV58" s="87"/>
      <c r="BW58" s="87">
        <v>1.0</v>
      </c>
      <c r="BX58" s="87"/>
      <c r="BY58" s="87"/>
      <c r="BZ58" s="87"/>
      <c r="CA58" s="87"/>
      <c r="CB58" s="87"/>
      <c r="CC58" s="87"/>
      <c r="CD58" s="87"/>
      <c r="CE58" s="87"/>
      <c r="CF58" s="87"/>
      <c r="CG58" s="87">
        <v>6.0</v>
      </c>
      <c r="CH58" s="87">
        <v>4.0</v>
      </c>
      <c r="CI58" s="87"/>
      <c r="CJ58" s="87">
        <v>8.0</v>
      </c>
      <c r="CK58" s="87">
        <v>1.0</v>
      </c>
      <c r="CL58" s="87">
        <v>1.0</v>
      </c>
      <c r="CM58" s="87"/>
      <c r="CN58" s="87"/>
      <c r="CO58" s="87"/>
      <c r="CP58" s="87"/>
      <c r="CQ58" s="87"/>
      <c r="CR58" s="87"/>
      <c r="CS58" s="87"/>
      <c r="CT58" s="87"/>
      <c r="CU58" s="87">
        <v>1.0</v>
      </c>
      <c r="CV58" s="87"/>
      <c r="CW58" s="87"/>
      <c r="CX58" s="87">
        <v>1.0</v>
      </c>
      <c r="CY58" s="87"/>
      <c r="CZ58" s="87"/>
      <c r="DA58" s="87"/>
      <c r="DB58" s="87">
        <v>1.0</v>
      </c>
      <c r="DC58" s="87"/>
      <c r="DD58" s="87"/>
      <c r="DE58" s="87"/>
      <c r="DF58" s="87">
        <v>3.0</v>
      </c>
      <c r="DG58" s="87">
        <v>1.0</v>
      </c>
      <c r="DH58" s="87"/>
      <c r="DI58" s="87"/>
      <c r="DJ58" s="87"/>
      <c r="DK58" s="87"/>
      <c r="DL58" s="87">
        <v>3.0</v>
      </c>
      <c r="DM58" s="87"/>
      <c r="DN58" s="87"/>
      <c r="DO58" s="87">
        <v>10.0</v>
      </c>
      <c r="DP58" s="87"/>
      <c r="DQ58" s="87"/>
      <c r="DR58" s="87"/>
      <c r="DS58" s="87"/>
      <c r="DT58" s="87"/>
      <c r="DU58" s="87"/>
      <c r="DV58" s="87"/>
      <c r="DW58" s="87"/>
      <c r="DX58" s="87"/>
      <c r="DY58" s="87"/>
      <c r="DZ58" s="87"/>
      <c r="EA58" s="87"/>
      <c r="EB58" s="87"/>
      <c r="EC58" s="87"/>
      <c r="ED58" s="87"/>
      <c r="EE58" s="87"/>
      <c r="EF58" s="87"/>
      <c r="EG58" s="87"/>
      <c r="EH58" s="87"/>
      <c r="EI58" s="87"/>
      <c r="EJ58" s="87">
        <v>10.0</v>
      </c>
      <c r="EK58" s="88"/>
      <c r="EL58" s="88"/>
      <c r="EM58" s="88"/>
      <c r="EN58" s="88"/>
      <c r="EO58" s="88"/>
      <c r="EP58" s="88"/>
      <c r="EQ58" s="90"/>
    </row>
    <row r="59" ht="12.0" customHeight="1">
      <c r="A59" s="89">
        <v>1.06150706E8</v>
      </c>
      <c r="B59" s="89" t="s">
        <v>771</v>
      </c>
      <c r="C59" s="89" t="s">
        <v>772</v>
      </c>
      <c r="D59" s="89" t="s">
        <v>773</v>
      </c>
      <c r="E59" s="89" t="s">
        <v>774</v>
      </c>
      <c r="F59" s="89" t="s">
        <v>775</v>
      </c>
      <c r="G59" s="89" t="s">
        <v>776</v>
      </c>
      <c r="H59" s="89" t="s">
        <v>447</v>
      </c>
      <c r="I59" s="89" t="s">
        <v>543</v>
      </c>
      <c r="J59" s="89" t="s">
        <v>457</v>
      </c>
      <c r="K59" s="89" t="s">
        <v>591</v>
      </c>
      <c r="L59" s="89" t="s">
        <v>777</v>
      </c>
      <c r="M59" s="89" t="s">
        <v>778</v>
      </c>
      <c r="N59" s="89" t="s">
        <v>441</v>
      </c>
      <c r="O59" s="87">
        <v>2704.0</v>
      </c>
      <c r="P59" s="87">
        <v>20.0</v>
      </c>
      <c r="Q59" s="87"/>
      <c r="R59" s="87"/>
      <c r="S59" s="87"/>
      <c r="T59" s="87"/>
      <c r="U59" s="87">
        <v>1038.0</v>
      </c>
      <c r="V59" s="87">
        <v>1686.0</v>
      </c>
      <c r="W59" s="87"/>
      <c r="X59" s="87">
        <v>632.0</v>
      </c>
      <c r="Y59" s="87">
        <v>64.0</v>
      </c>
      <c r="Z59" s="87">
        <v>459.0</v>
      </c>
      <c r="AA59" s="87">
        <v>373.0</v>
      </c>
      <c r="AB59" s="87">
        <v>192.0</v>
      </c>
      <c r="AC59" s="87">
        <v>233.0</v>
      </c>
      <c r="AD59" s="87">
        <v>305.0</v>
      </c>
      <c r="AE59" s="87">
        <v>224.0</v>
      </c>
      <c r="AF59" s="87">
        <v>242.0</v>
      </c>
      <c r="AG59" s="87"/>
      <c r="AH59" s="87">
        <v>2139.0</v>
      </c>
      <c r="AI59" s="87">
        <v>552.0</v>
      </c>
      <c r="AJ59" s="87">
        <v>33.0</v>
      </c>
      <c r="AK59" s="87"/>
      <c r="AL59" s="87">
        <v>187.0</v>
      </c>
      <c r="AM59" s="87"/>
      <c r="AN59" s="87">
        <v>45.0</v>
      </c>
      <c r="AO59" s="87">
        <v>1072.0</v>
      </c>
      <c r="AP59" s="87">
        <v>57.0</v>
      </c>
      <c r="AQ59" s="87">
        <v>1318.0</v>
      </c>
      <c r="AR59" s="87">
        <v>45.0</v>
      </c>
      <c r="AS59" s="87">
        <v>2030.0</v>
      </c>
      <c r="AT59" s="87">
        <v>3.0</v>
      </c>
      <c r="AU59" s="87">
        <v>15.0</v>
      </c>
      <c r="AV59" s="87">
        <v>17.0</v>
      </c>
      <c r="AW59" s="87"/>
      <c r="AX59" s="87">
        <v>12.0</v>
      </c>
      <c r="AY59" s="87"/>
      <c r="AZ59" s="87"/>
      <c r="BA59" s="87">
        <v>32.0</v>
      </c>
      <c r="BB59" s="87">
        <v>4.0</v>
      </c>
      <c r="BC59" s="87">
        <v>611.0</v>
      </c>
      <c r="BD59" s="87"/>
      <c r="BE59" s="87">
        <v>1293.0</v>
      </c>
      <c r="BF59" s="87"/>
      <c r="BG59" s="87">
        <v>1428.0</v>
      </c>
      <c r="BH59" s="87">
        <v>3.0</v>
      </c>
      <c r="BI59" s="87">
        <v>24759.0</v>
      </c>
      <c r="BJ59" s="87">
        <v>1220.0</v>
      </c>
      <c r="BK59" s="87">
        <v>255.0</v>
      </c>
      <c r="BL59" s="87">
        <v>633.0</v>
      </c>
      <c r="BM59" s="87">
        <v>611.0</v>
      </c>
      <c r="BN59" s="87"/>
      <c r="BO59" s="87">
        <v>5.0</v>
      </c>
      <c r="BP59" s="87">
        <v>2259.0</v>
      </c>
      <c r="BQ59" s="87">
        <v>87.0</v>
      </c>
      <c r="BR59" s="87">
        <v>13.0</v>
      </c>
      <c r="BS59" s="87">
        <v>154.0</v>
      </c>
      <c r="BT59" s="87">
        <v>11.0</v>
      </c>
      <c r="BU59" s="87">
        <v>36.0</v>
      </c>
      <c r="BV59" s="87">
        <v>53.0</v>
      </c>
      <c r="BW59" s="87">
        <v>68.0</v>
      </c>
      <c r="BX59" s="87">
        <v>16.0</v>
      </c>
      <c r="BY59" s="87"/>
      <c r="BZ59" s="87">
        <v>2.0</v>
      </c>
      <c r="CA59" s="87">
        <v>20.0</v>
      </c>
      <c r="CB59" s="87">
        <v>1.0</v>
      </c>
      <c r="CC59" s="87"/>
      <c r="CD59" s="87">
        <v>1.0</v>
      </c>
      <c r="CE59" s="87"/>
      <c r="CF59" s="87">
        <v>3.0</v>
      </c>
      <c r="CG59" s="87">
        <v>1407.0</v>
      </c>
      <c r="CH59" s="87">
        <v>1317.0</v>
      </c>
      <c r="CI59" s="87"/>
      <c r="CJ59" s="87">
        <v>552.0</v>
      </c>
      <c r="CK59" s="87">
        <v>1862.0</v>
      </c>
      <c r="CL59" s="87">
        <v>220.0</v>
      </c>
      <c r="CM59" s="87">
        <v>1.0</v>
      </c>
      <c r="CN59" s="87"/>
      <c r="CO59" s="87">
        <v>42.0</v>
      </c>
      <c r="CP59" s="87"/>
      <c r="CQ59" s="87">
        <v>40.0</v>
      </c>
      <c r="CR59" s="87">
        <v>7.0</v>
      </c>
      <c r="CS59" s="87"/>
      <c r="CT59" s="87">
        <v>365.0</v>
      </c>
      <c r="CU59" s="87">
        <v>34.0</v>
      </c>
      <c r="CV59" s="87">
        <v>13.0</v>
      </c>
      <c r="CW59" s="87">
        <v>173.0</v>
      </c>
      <c r="CX59" s="87">
        <v>21.0</v>
      </c>
      <c r="CY59" s="87">
        <v>21.0</v>
      </c>
      <c r="CZ59" s="87"/>
      <c r="DA59" s="87"/>
      <c r="DB59" s="87">
        <v>142.0</v>
      </c>
      <c r="DC59" s="87">
        <v>141.0</v>
      </c>
      <c r="DD59" s="87">
        <v>234.0</v>
      </c>
      <c r="DE59" s="87">
        <v>34.0</v>
      </c>
      <c r="DF59" s="87">
        <v>64.0</v>
      </c>
      <c r="DG59" s="87">
        <v>99.0</v>
      </c>
      <c r="DH59" s="87">
        <v>648.0</v>
      </c>
      <c r="DI59" s="87">
        <v>618.0</v>
      </c>
      <c r="DJ59" s="87">
        <v>1.0</v>
      </c>
      <c r="DK59" s="87">
        <v>24.0</v>
      </c>
      <c r="DL59" s="87">
        <v>89.0</v>
      </c>
      <c r="DM59" s="87">
        <v>3.0</v>
      </c>
      <c r="DN59" s="87"/>
      <c r="DO59" s="87">
        <v>1278.0</v>
      </c>
      <c r="DP59" s="87">
        <v>610.0</v>
      </c>
      <c r="DQ59" s="87">
        <v>119.0</v>
      </c>
      <c r="DR59" s="87">
        <v>169.0</v>
      </c>
      <c r="DS59" s="87"/>
      <c r="DT59" s="87"/>
      <c r="DU59" s="87"/>
      <c r="DV59" s="87">
        <v>35.0</v>
      </c>
      <c r="DW59" s="87"/>
      <c r="DX59" s="87">
        <v>32.0</v>
      </c>
      <c r="DY59" s="87">
        <v>106.0</v>
      </c>
      <c r="DZ59" s="87">
        <v>9.0</v>
      </c>
      <c r="EA59" s="87">
        <v>2.0</v>
      </c>
      <c r="EB59" s="87">
        <v>26.0</v>
      </c>
      <c r="EC59" s="87"/>
      <c r="ED59" s="87">
        <v>325.0</v>
      </c>
      <c r="EE59" s="87">
        <v>13.0</v>
      </c>
      <c r="EF59" s="87">
        <v>2.0</v>
      </c>
      <c r="EG59" s="87">
        <v>17.0</v>
      </c>
      <c r="EH59" s="87"/>
      <c r="EI59" s="87">
        <v>9.0</v>
      </c>
      <c r="EJ59" s="87">
        <v>2696.0</v>
      </c>
      <c r="EK59" s="88"/>
      <c r="EL59" s="88"/>
      <c r="EM59" s="88"/>
      <c r="EN59" s="88"/>
      <c r="EO59" s="88"/>
      <c r="EP59" s="88"/>
      <c r="EQ59" s="90"/>
    </row>
    <row r="60" ht="12.0" customHeight="1">
      <c r="A60" s="89">
        <v>1.06150722E8</v>
      </c>
      <c r="B60" s="89" t="s">
        <v>779</v>
      </c>
      <c r="C60" s="89" t="s">
        <v>772</v>
      </c>
      <c r="D60" s="89" t="s">
        <v>780</v>
      </c>
      <c r="E60" s="89" t="s">
        <v>781</v>
      </c>
      <c r="F60" s="89" t="s">
        <v>782</v>
      </c>
      <c r="G60" s="89" t="s">
        <v>783</v>
      </c>
      <c r="H60" s="89" t="s">
        <v>447</v>
      </c>
      <c r="I60" s="89" t="s">
        <v>543</v>
      </c>
      <c r="J60" s="89" t="s">
        <v>448</v>
      </c>
      <c r="K60" s="89" t="s">
        <v>512</v>
      </c>
      <c r="L60" s="89" t="s">
        <v>784</v>
      </c>
      <c r="M60" s="89" t="s">
        <v>785</v>
      </c>
      <c r="N60" s="89" t="s">
        <v>441</v>
      </c>
      <c r="O60" s="87">
        <v>19545.0</v>
      </c>
      <c r="P60" s="87"/>
      <c r="Q60" s="87"/>
      <c r="R60" s="87"/>
      <c r="S60" s="87"/>
      <c r="T60" s="87"/>
      <c r="U60" s="87">
        <v>8077.0</v>
      </c>
      <c r="V60" s="87">
        <v>11468.0</v>
      </c>
      <c r="W60" s="87"/>
      <c r="X60" s="87">
        <v>4820.0</v>
      </c>
      <c r="Y60" s="87">
        <v>685.0</v>
      </c>
      <c r="Z60" s="87">
        <v>2582.0</v>
      </c>
      <c r="AA60" s="87">
        <v>2084.0</v>
      </c>
      <c r="AB60" s="87">
        <v>1170.0</v>
      </c>
      <c r="AC60" s="87">
        <v>1844.0</v>
      </c>
      <c r="AD60" s="87">
        <v>2560.0</v>
      </c>
      <c r="AE60" s="87">
        <v>2190.0</v>
      </c>
      <c r="AF60" s="87">
        <v>1610.0</v>
      </c>
      <c r="AG60" s="87"/>
      <c r="AH60" s="87">
        <v>10242.0</v>
      </c>
      <c r="AI60" s="87">
        <v>9200.0</v>
      </c>
      <c r="AJ60" s="87">
        <v>103.0</v>
      </c>
      <c r="AK60" s="87">
        <v>130.0</v>
      </c>
      <c r="AL60" s="87">
        <v>496.0</v>
      </c>
      <c r="AM60" s="87">
        <v>29.0</v>
      </c>
      <c r="AN60" s="87">
        <v>1214.0</v>
      </c>
      <c r="AO60" s="87">
        <v>14386.0</v>
      </c>
      <c r="AP60" s="87">
        <v>431.0</v>
      </c>
      <c r="AQ60" s="87">
        <v>2844.0</v>
      </c>
      <c r="AR60" s="87">
        <v>15.0</v>
      </c>
      <c r="AS60" s="87">
        <v>11574.0</v>
      </c>
      <c r="AT60" s="87">
        <v>3033.0</v>
      </c>
      <c r="AU60" s="87">
        <v>1016.0</v>
      </c>
      <c r="AV60" s="87">
        <v>213.0</v>
      </c>
      <c r="AW60" s="87">
        <v>11.0</v>
      </c>
      <c r="AX60" s="87">
        <v>1.0</v>
      </c>
      <c r="AY60" s="87"/>
      <c r="AZ60" s="87"/>
      <c r="BA60" s="87">
        <v>2.0</v>
      </c>
      <c r="BB60" s="87"/>
      <c r="BC60" s="87">
        <v>3695.0</v>
      </c>
      <c r="BD60" s="87"/>
      <c r="BE60" s="87">
        <v>11557.0</v>
      </c>
      <c r="BF60" s="87">
        <v>55.0</v>
      </c>
      <c r="BG60" s="87">
        <v>7933.0</v>
      </c>
      <c r="BH60" s="87"/>
      <c r="BI60" s="87">
        <v>77549.0</v>
      </c>
      <c r="BJ60" s="87">
        <v>9856.0</v>
      </c>
      <c r="BK60" s="87">
        <v>3357.0</v>
      </c>
      <c r="BL60" s="87">
        <v>2616.0</v>
      </c>
      <c r="BM60" s="87">
        <v>3695.0</v>
      </c>
      <c r="BN60" s="87">
        <v>21.0</v>
      </c>
      <c r="BO60" s="87"/>
      <c r="BP60" s="87">
        <v>15155.0</v>
      </c>
      <c r="BQ60" s="87">
        <v>211.0</v>
      </c>
      <c r="BR60" s="87">
        <v>327.0</v>
      </c>
      <c r="BS60" s="87">
        <v>1230.0</v>
      </c>
      <c r="BT60" s="87">
        <v>118.0</v>
      </c>
      <c r="BU60" s="87">
        <v>14.0</v>
      </c>
      <c r="BV60" s="87">
        <v>360.0</v>
      </c>
      <c r="BW60" s="87">
        <v>541.0</v>
      </c>
      <c r="BX60" s="87">
        <v>1261.0</v>
      </c>
      <c r="BY60" s="87"/>
      <c r="BZ60" s="87">
        <v>41.0</v>
      </c>
      <c r="CA60" s="87">
        <v>270.0</v>
      </c>
      <c r="CB60" s="87">
        <v>7.0</v>
      </c>
      <c r="CC60" s="87"/>
      <c r="CD60" s="87">
        <v>10.0</v>
      </c>
      <c r="CE60" s="87"/>
      <c r="CF60" s="87"/>
      <c r="CG60" s="87">
        <v>339.0</v>
      </c>
      <c r="CH60" s="87">
        <v>19206.0</v>
      </c>
      <c r="CI60" s="87"/>
      <c r="CJ60" s="87">
        <v>5516.0</v>
      </c>
      <c r="CK60" s="87">
        <v>10446.0</v>
      </c>
      <c r="CL60" s="87">
        <v>3240.0</v>
      </c>
      <c r="CM60" s="87">
        <v>99.0</v>
      </c>
      <c r="CN60" s="87"/>
      <c r="CO60" s="87">
        <v>122.0</v>
      </c>
      <c r="CP60" s="87"/>
      <c r="CQ60" s="87">
        <v>117.0</v>
      </c>
      <c r="CR60" s="87">
        <v>5.0</v>
      </c>
      <c r="CS60" s="87"/>
      <c r="CT60" s="87">
        <v>2311.0</v>
      </c>
      <c r="CU60" s="87">
        <v>330.0</v>
      </c>
      <c r="CV60" s="87">
        <v>71.0</v>
      </c>
      <c r="CW60" s="87">
        <v>775.0</v>
      </c>
      <c r="CX60" s="87">
        <v>82.0</v>
      </c>
      <c r="CY60" s="87">
        <v>450.0</v>
      </c>
      <c r="CZ60" s="87">
        <v>9.0</v>
      </c>
      <c r="DA60" s="87">
        <v>4.0</v>
      </c>
      <c r="DB60" s="87">
        <v>2502.0</v>
      </c>
      <c r="DC60" s="87">
        <v>972.0</v>
      </c>
      <c r="DD60" s="87">
        <v>1447.0</v>
      </c>
      <c r="DE60" s="87">
        <v>159.0</v>
      </c>
      <c r="DF60" s="87">
        <v>604.0</v>
      </c>
      <c r="DG60" s="87">
        <v>676.0</v>
      </c>
      <c r="DH60" s="87">
        <v>3869.0</v>
      </c>
      <c r="DI60" s="87">
        <v>3912.0</v>
      </c>
      <c r="DJ60" s="87">
        <v>15.0</v>
      </c>
      <c r="DK60" s="87">
        <v>167.0</v>
      </c>
      <c r="DL60" s="87">
        <v>1158.0</v>
      </c>
      <c r="DM60" s="87">
        <v>32.0</v>
      </c>
      <c r="DN60" s="87"/>
      <c r="DO60" s="87">
        <v>2451.0</v>
      </c>
      <c r="DP60" s="87">
        <v>3605.0</v>
      </c>
      <c r="DQ60" s="87">
        <v>2028.0</v>
      </c>
      <c r="DR60" s="87">
        <v>1385.0</v>
      </c>
      <c r="DS60" s="87"/>
      <c r="DT60" s="87">
        <v>14.0</v>
      </c>
      <c r="DU60" s="87">
        <v>1.0</v>
      </c>
      <c r="DV60" s="87">
        <v>206.0</v>
      </c>
      <c r="DW60" s="87">
        <v>7.0</v>
      </c>
      <c r="DX60" s="87">
        <v>409.0</v>
      </c>
      <c r="DY60" s="87">
        <v>989.0</v>
      </c>
      <c r="DZ60" s="87">
        <v>425.0</v>
      </c>
      <c r="EA60" s="87">
        <v>6.0</v>
      </c>
      <c r="EB60" s="87">
        <v>207.0</v>
      </c>
      <c r="EC60" s="87">
        <v>195.0</v>
      </c>
      <c r="ED60" s="87">
        <v>7393.0</v>
      </c>
      <c r="EE60" s="87">
        <v>224.0</v>
      </c>
      <c r="EF60" s="87">
        <v>5.0</v>
      </c>
      <c r="EG60" s="87">
        <v>351.0</v>
      </c>
      <c r="EH60" s="87">
        <v>3.0</v>
      </c>
      <c r="EI60" s="87">
        <v>53.0</v>
      </c>
      <c r="EJ60" s="87">
        <v>19133.0</v>
      </c>
      <c r="EK60" s="88"/>
      <c r="EL60" s="88"/>
      <c r="EM60" s="88"/>
      <c r="EN60" s="88"/>
      <c r="EO60" s="88"/>
      <c r="EP60" s="88"/>
      <c r="EQ60" s="90"/>
    </row>
    <row r="61" ht="12.0" customHeight="1">
      <c r="A61" s="89">
        <v>1.06150736E8</v>
      </c>
      <c r="B61" s="89" t="s">
        <v>786</v>
      </c>
      <c r="C61" s="89" t="s">
        <v>772</v>
      </c>
      <c r="D61" s="89" t="s">
        <v>787</v>
      </c>
      <c r="E61" s="89" t="s">
        <v>788</v>
      </c>
      <c r="F61" s="89" t="s">
        <v>782</v>
      </c>
      <c r="G61" s="89" t="s">
        <v>789</v>
      </c>
      <c r="H61" s="89" t="s">
        <v>435</v>
      </c>
      <c r="I61" s="89" t="s">
        <v>456</v>
      </c>
      <c r="J61" s="89" t="s">
        <v>469</v>
      </c>
      <c r="K61" s="89" t="s">
        <v>512</v>
      </c>
      <c r="L61" s="89" t="s">
        <v>777</v>
      </c>
      <c r="M61" s="89" t="s">
        <v>785</v>
      </c>
      <c r="N61" s="89" t="s">
        <v>441</v>
      </c>
      <c r="O61" s="87">
        <v>11861.0</v>
      </c>
      <c r="P61" s="87"/>
      <c r="Q61" s="87">
        <v>670.0</v>
      </c>
      <c r="R61" s="87"/>
      <c r="S61" s="87"/>
      <c r="T61" s="87"/>
      <c r="U61" s="87">
        <v>5699.0</v>
      </c>
      <c r="V61" s="87">
        <v>6831.0</v>
      </c>
      <c r="W61" s="87">
        <v>1.0</v>
      </c>
      <c r="X61" s="87">
        <v>2754.0</v>
      </c>
      <c r="Y61" s="87">
        <v>485.0</v>
      </c>
      <c r="Z61" s="87">
        <v>2233.0</v>
      </c>
      <c r="AA61" s="87">
        <v>2176.0</v>
      </c>
      <c r="AB61" s="87">
        <v>1270.0</v>
      </c>
      <c r="AC61" s="87">
        <v>1419.0</v>
      </c>
      <c r="AD61" s="87">
        <v>1290.0</v>
      </c>
      <c r="AE61" s="87">
        <v>617.0</v>
      </c>
      <c r="AF61" s="87">
        <v>287.0</v>
      </c>
      <c r="AG61" s="87"/>
      <c r="AH61" s="87">
        <v>7985.0</v>
      </c>
      <c r="AI61" s="87">
        <v>4478.0</v>
      </c>
      <c r="AJ61" s="87">
        <v>68.0</v>
      </c>
      <c r="AK61" s="87">
        <v>27.0</v>
      </c>
      <c r="AL61" s="87">
        <v>230.0</v>
      </c>
      <c r="AM61" s="87">
        <v>22.0</v>
      </c>
      <c r="AN61" s="87">
        <v>1068.0</v>
      </c>
      <c r="AO61" s="87">
        <v>10980.0</v>
      </c>
      <c r="AP61" s="87">
        <v>44.0</v>
      </c>
      <c r="AQ61" s="87">
        <v>113.0</v>
      </c>
      <c r="AR61" s="87">
        <v>47.0</v>
      </c>
      <c r="AS61" s="87">
        <v>8105.0</v>
      </c>
      <c r="AT61" s="87">
        <v>1648.0</v>
      </c>
      <c r="AU61" s="87">
        <v>189.0</v>
      </c>
      <c r="AV61" s="87">
        <v>8.0</v>
      </c>
      <c r="AW61" s="87">
        <v>30.0</v>
      </c>
      <c r="AX61" s="87"/>
      <c r="AY61" s="87">
        <v>1.0</v>
      </c>
      <c r="AZ61" s="87"/>
      <c r="BA61" s="87">
        <v>120.0</v>
      </c>
      <c r="BB61" s="87"/>
      <c r="BC61" s="87">
        <v>2430.0</v>
      </c>
      <c r="BD61" s="87"/>
      <c r="BE61" s="87">
        <v>8038.0</v>
      </c>
      <c r="BF61" s="87"/>
      <c r="BG61" s="87">
        <v>4493.0</v>
      </c>
      <c r="BH61" s="87"/>
      <c r="BI61" s="87">
        <v>64176.0</v>
      </c>
      <c r="BJ61" s="87">
        <v>5317.0</v>
      </c>
      <c r="BK61" s="87">
        <v>2396.0</v>
      </c>
      <c r="BL61" s="87">
        <v>1482.0</v>
      </c>
      <c r="BM61" s="87">
        <v>2430.0</v>
      </c>
      <c r="BN61" s="87">
        <v>904.0</v>
      </c>
      <c r="BO61" s="87">
        <v>2.0</v>
      </c>
      <c r="BP61" s="87">
        <v>9718.0</v>
      </c>
      <c r="BQ61" s="87">
        <v>189.0</v>
      </c>
      <c r="BR61" s="87">
        <v>385.0</v>
      </c>
      <c r="BS61" s="87">
        <v>452.0</v>
      </c>
      <c r="BT61" s="87"/>
      <c r="BU61" s="87">
        <v>205.0</v>
      </c>
      <c r="BV61" s="87">
        <v>606.0</v>
      </c>
      <c r="BW61" s="87">
        <v>213.0</v>
      </c>
      <c r="BX61" s="87">
        <v>412.0</v>
      </c>
      <c r="BY61" s="87">
        <v>1.0</v>
      </c>
      <c r="BZ61" s="87">
        <v>52.0</v>
      </c>
      <c r="CA61" s="87">
        <v>119.0</v>
      </c>
      <c r="CB61" s="87">
        <v>169.0</v>
      </c>
      <c r="CC61" s="87"/>
      <c r="CD61" s="87">
        <v>6.0</v>
      </c>
      <c r="CE61" s="87">
        <v>4.0</v>
      </c>
      <c r="CF61" s="87"/>
      <c r="CG61" s="87">
        <v>10386.0</v>
      </c>
      <c r="CH61" s="87">
        <v>2145.0</v>
      </c>
      <c r="CI61" s="87"/>
      <c r="CJ61" s="87">
        <v>1645.0</v>
      </c>
      <c r="CK61" s="87">
        <v>9361.0</v>
      </c>
      <c r="CL61" s="87">
        <v>987.0</v>
      </c>
      <c r="CM61" s="87">
        <v>37.0</v>
      </c>
      <c r="CN61" s="87"/>
      <c r="CO61" s="87">
        <v>81.0</v>
      </c>
      <c r="CP61" s="87"/>
      <c r="CQ61" s="87">
        <v>338.0</v>
      </c>
      <c r="CR61" s="87">
        <v>82.0</v>
      </c>
      <c r="CS61" s="87"/>
      <c r="CT61" s="87">
        <v>561.0</v>
      </c>
      <c r="CU61" s="87">
        <v>300.0</v>
      </c>
      <c r="CV61" s="87">
        <v>105.0</v>
      </c>
      <c r="CW61" s="87">
        <v>388.0</v>
      </c>
      <c r="CX61" s="87">
        <v>899.0</v>
      </c>
      <c r="CY61" s="87">
        <v>355.0</v>
      </c>
      <c r="CZ61" s="87">
        <v>8.0</v>
      </c>
      <c r="DA61" s="87">
        <v>14.0</v>
      </c>
      <c r="DB61" s="87">
        <v>690.0</v>
      </c>
      <c r="DC61" s="87">
        <v>337.0</v>
      </c>
      <c r="DD61" s="87">
        <v>756.0</v>
      </c>
      <c r="DE61" s="87">
        <v>231.0</v>
      </c>
      <c r="DF61" s="87">
        <v>292.0</v>
      </c>
      <c r="DG61" s="87">
        <v>430.0</v>
      </c>
      <c r="DH61" s="87">
        <v>2619.0</v>
      </c>
      <c r="DI61" s="87">
        <v>2567.0</v>
      </c>
      <c r="DJ61" s="87">
        <v>13.0</v>
      </c>
      <c r="DK61" s="87">
        <v>137.0</v>
      </c>
      <c r="DL61" s="87">
        <v>1795.0</v>
      </c>
      <c r="DM61" s="87">
        <v>32.0</v>
      </c>
      <c r="DN61" s="87">
        <v>2.0</v>
      </c>
      <c r="DO61" s="87">
        <v>3970.0</v>
      </c>
      <c r="DP61" s="87">
        <v>2499.0</v>
      </c>
      <c r="DQ61" s="87">
        <v>419.0</v>
      </c>
      <c r="DR61" s="87">
        <v>613.0</v>
      </c>
      <c r="DS61" s="87">
        <v>9.0</v>
      </c>
      <c r="DT61" s="87">
        <v>6.0</v>
      </c>
      <c r="DU61" s="87">
        <v>3.0</v>
      </c>
      <c r="DV61" s="87">
        <v>205.0</v>
      </c>
      <c r="DW61" s="87">
        <v>25.0</v>
      </c>
      <c r="DX61" s="87">
        <v>292.0</v>
      </c>
      <c r="DY61" s="87">
        <v>946.0</v>
      </c>
      <c r="DZ61" s="87">
        <v>236.0</v>
      </c>
      <c r="EA61" s="87">
        <v>48.0</v>
      </c>
      <c r="EB61" s="87">
        <v>231.0</v>
      </c>
      <c r="EC61" s="87">
        <v>179.0</v>
      </c>
      <c r="ED61" s="87">
        <v>2738.0</v>
      </c>
      <c r="EE61" s="87">
        <v>112.0</v>
      </c>
      <c r="EF61" s="87">
        <v>1.0</v>
      </c>
      <c r="EG61" s="87">
        <v>268.0</v>
      </c>
      <c r="EH61" s="87"/>
      <c r="EI61" s="87">
        <v>46.0</v>
      </c>
      <c r="EJ61" s="87">
        <v>12216.0</v>
      </c>
      <c r="EK61" s="88"/>
      <c r="EL61" s="88"/>
      <c r="EM61" s="88"/>
      <c r="EN61" s="88"/>
      <c r="EO61" s="88"/>
      <c r="EP61" s="88"/>
      <c r="EQ61" s="90"/>
    </row>
    <row r="62" ht="12.0" customHeight="1">
      <c r="A62" s="89">
        <v>1.06150737E8</v>
      </c>
      <c r="B62" s="89" t="s">
        <v>790</v>
      </c>
      <c r="C62" s="89" t="s">
        <v>772</v>
      </c>
      <c r="D62" s="89" t="s">
        <v>791</v>
      </c>
      <c r="E62" s="89" t="s">
        <v>792</v>
      </c>
      <c r="F62" s="89" t="s">
        <v>793</v>
      </c>
      <c r="G62" s="89" t="s">
        <v>794</v>
      </c>
      <c r="H62" s="89" t="s">
        <v>494</v>
      </c>
      <c r="I62" s="89" t="s">
        <v>543</v>
      </c>
      <c r="J62" s="89" t="s">
        <v>437</v>
      </c>
      <c r="K62" s="89" t="s">
        <v>512</v>
      </c>
      <c r="L62" s="89" t="s">
        <v>763</v>
      </c>
      <c r="M62" s="89" t="s">
        <v>795</v>
      </c>
      <c r="N62" s="89" t="s">
        <v>714</v>
      </c>
      <c r="O62" s="87">
        <v>300.0</v>
      </c>
      <c r="P62" s="87">
        <v>64.0</v>
      </c>
      <c r="Q62" s="87"/>
      <c r="R62" s="87"/>
      <c r="S62" s="87"/>
      <c r="T62" s="87"/>
      <c r="U62" s="87">
        <v>173.0</v>
      </c>
      <c r="V62" s="87">
        <v>191.0</v>
      </c>
      <c r="W62" s="87"/>
      <c r="X62" s="87"/>
      <c r="Y62" s="87"/>
      <c r="Z62" s="87"/>
      <c r="AA62" s="87">
        <v>18.0</v>
      </c>
      <c r="AB62" s="87">
        <v>18.0</v>
      </c>
      <c r="AC62" s="87">
        <v>44.0</v>
      </c>
      <c r="AD62" s="87">
        <v>85.0</v>
      </c>
      <c r="AE62" s="87">
        <v>63.0</v>
      </c>
      <c r="AF62" s="87">
        <v>130.0</v>
      </c>
      <c r="AG62" s="87">
        <v>6.0</v>
      </c>
      <c r="AH62" s="87">
        <v>22.0</v>
      </c>
      <c r="AI62" s="87">
        <v>330.0</v>
      </c>
      <c r="AJ62" s="87">
        <v>12.0</v>
      </c>
      <c r="AK62" s="87"/>
      <c r="AL62" s="87"/>
      <c r="AM62" s="87"/>
      <c r="AN62" s="87"/>
      <c r="AO62" s="87">
        <v>335.0</v>
      </c>
      <c r="AP62" s="87">
        <v>17.0</v>
      </c>
      <c r="AQ62" s="87">
        <v>12.0</v>
      </c>
      <c r="AR62" s="87"/>
      <c r="AS62" s="87">
        <v>333.0</v>
      </c>
      <c r="AT62" s="87"/>
      <c r="AU62" s="87">
        <v>1.0</v>
      </c>
      <c r="AV62" s="87"/>
      <c r="AW62" s="87"/>
      <c r="AX62" s="87">
        <v>30.0</v>
      </c>
      <c r="AY62" s="87"/>
      <c r="AZ62" s="87"/>
      <c r="BA62" s="87"/>
      <c r="BB62" s="87"/>
      <c r="BC62" s="87"/>
      <c r="BD62" s="87"/>
      <c r="BE62" s="87">
        <v>291.0</v>
      </c>
      <c r="BF62" s="87"/>
      <c r="BG62" s="87">
        <v>73.0</v>
      </c>
      <c r="BH62" s="87"/>
      <c r="BI62" s="87">
        <v>11060.0</v>
      </c>
      <c r="BJ62" s="87">
        <v>307.0</v>
      </c>
      <c r="BK62" s="87">
        <v>17.0</v>
      </c>
      <c r="BL62" s="87">
        <v>40.0</v>
      </c>
      <c r="BM62" s="87"/>
      <c r="BN62" s="87"/>
      <c r="BO62" s="87"/>
      <c r="BP62" s="87">
        <v>227.0</v>
      </c>
      <c r="BQ62" s="87">
        <v>17.0</v>
      </c>
      <c r="BR62" s="87">
        <v>1.0</v>
      </c>
      <c r="BS62" s="87">
        <v>51.0</v>
      </c>
      <c r="BT62" s="87"/>
      <c r="BU62" s="87"/>
      <c r="BV62" s="87">
        <v>28.0</v>
      </c>
      <c r="BW62" s="87">
        <v>27.0</v>
      </c>
      <c r="BX62" s="87">
        <v>2.0</v>
      </c>
      <c r="BY62" s="87"/>
      <c r="BZ62" s="87"/>
      <c r="CA62" s="87">
        <v>9.0</v>
      </c>
      <c r="CB62" s="87"/>
      <c r="CC62" s="87">
        <v>1.0</v>
      </c>
      <c r="CD62" s="87"/>
      <c r="CE62" s="87"/>
      <c r="CF62" s="87">
        <v>1.0</v>
      </c>
      <c r="CG62" s="87">
        <v>122.0</v>
      </c>
      <c r="CH62" s="87">
        <v>242.0</v>
      </c>
      <c r="CI62" s="87"/>
      <c r="CJ62" s="87">
        <v>210.0</v>
      </c>
      <c r="CK62" s="87">
        <v>102.0</v>
      </c>
      <c r="CL62" s="87">
        <v>30.0</v>
      </c>
      <c r="CM62" s="87"/>
      <c r="CN62" s="87"/>
      <c r="CO62" s="87">
        <v>2.0</v>
      </c>
      <c r="CP62" s="87"/>
      <c r="CQ62" s="87">
        <v>20.0</v>
      </c>
      <c r="CR62" s="87"/>
      <c r="CS62" s="87"/>
      <c r="CT62" s="87">
        <v>47.0</v>
      </c>
      <c r="CU62" s="87">
        <v>8.0</v>
      </c>
      <c r="CV62" s="87">
        <v>3.0</v>
      </c>
      <c r="CW62" s="87">
        <v>25.0</v>
      </c>
      <c r="CX62" s="87">
        <v>6.0</v>
      </c>
      <c r="CY62" s="87">
        <v>11.0</v>
      </c>
      <c r="CZ62" s="87"/>
      <c r="DA62" s="87"/>
      <c r="DB62" s="87">
        <v>36.0</v>
      </c>
      <c r="DC62" s="87">
        <v>115.0</v>
      </c>
      <c r="DD62" s="87">
        <v>39.0</v>
      </c>
      <c r="DE62" s="87">
        <v>22.0</v>
      </c>
      <c r="DF62" s="87">
        <v>7.0</v>
      </c>
      <c r="DG62" s="87">
        <v>28.0</v>
      </c>
      <c r="DH62" s="87"/>
      <c r="DI62" s="87"/>
      <c r="DJ62" s="87"/>
      <c r="DK62" s="87">
        <v>4.0</v>
      </c>
      <c r="DL62" s="87">
        <v>13.0</v>
      </c>
      <c r="DM62" s="87"/>
      <c r="DN62" s="87"/>
      <c r="DO62" s="87">
        <v>285.0</v>
      </c>
      <c r="DP62" s="87"/>
      <c r="DQ62" s="87"/>
      <c r="DR62" s="87">
        <v>1.0</v>
      </c>
      <c r="DS62" s="87"/>
      <c r="DT62" s="87"/>
      <c r="DU62" s="87"/>
      <c r="DV62" s="87"/>
      <c r="DW62" s="87"/>
      <c r="DX62" s="87"/>
      <c r="DY62" s="87">
        <v>1.0</v>
      </c>
      <c r="DZ62" s="87"/>
      <c r="EA62" s="87"/>
      <c r="EB62" s="87">
        <v>7.0</v>
      </c>
      <c r="EC62" s="87"/>
      <c r="ED62" s="87">
        <v>41.0</v>
      </c>
      <c r="EE62" s="87">
        <v>29.0</v>
      </c>
      <c r="EF62" s="87"/>
      <c r="EG62" s="87"/>
      <c r="EH62" s="87"/>
      <c r="EI62" s="87">
        <v>3.0</v>
      </c>
      <c r="EJ62" s="87">
        <v>361.0</v>
      </c>
      <c r="EK62" s="88"/>
      <c r="EL62" s="88"/>
      <c r="EM62" s="88"/>
      <c r="EN62" s="88"/>
      <c r="EO62" s="88"/>
      <c r="EP62" s="88"/>
      <c r="EQ62" s="90"/>
    </row>
    <row r="63" ht="12.0" customHeight="1">
      <c r="A63" s="89">
        <v>1.06150761E8</v>
      </c>
      <c r="B63" s="89" t="s">
        <v>796</v>
      </c>
      <c r="C63" s="89" t="s">
        <v>772</v>
      </c>
      <c r="D63" s="89" t="s">
        <v>797</v>
      </c>
      <c r="E63" s="89" t="s">
        <v>798</v>
      </c>
      <c r="F63" s="89" t="s">
        <v>782</v>
      </c>
      <c r="G63" s="89" t="s">
        <v>783</v>
      </c>
      <c r="H63" s="89" t="s">
        <v>447</v>
      </c>
      <c r="I63" s="89" t="s">
        <v>543</v>
      </c>
      <c r="J63" s="89" t="s">
        <v>437</v>
      </c>
      <c r="K63" s="89" t="s">
        <v>512</v>
      </c>
      <c r="L63" s="89" t="s">
        <v>784</v>
      </c>
      <c r="M63" s="89" t="s">
        <v>799</v>
      </c>
      <c r="N63" s="89" t="s">
        <v>441</v>
      </c>
      <c r="O63" s="87">
        <v>12975.0</v>
      </c>
      <c r="P63" s="87"/>
      <c r="Q63" s="87"/>
      <c r="R63" s="87"/>
      <c r="S63" s="87"/>
      <c r="T63" s="87"/>
      <c r="U63" s="87">
        <v>5073.0</v>
      </c>
      <c r="V63" s="87">
        <v>7900.0</v>
      </c>
      <c r="W63" s="87">
        <v>2.0</v>
      </c>
      <c r="X63" s="87">
        <v>2359.0</v>
      </c>
      <c r="Y63" s="87">
        <v>172.0</v>
      </c>
      <c r="Z63" s="87">
        <v>1671.0</v>
      </c>
      <c r="AA63" s="87">
        <v>2024.0</v>
      </c>
      <c r="AB63" s="87">
        <v>1207.0</v>
      </c>
      <c r="AC63" s="87">
        <v>1376.0</v>
      </c>
      <c r="AD63" s="87">
        <v>1741.0</v>
      </c>
      <c r="AE63" s="87">
        <v>1336.0</v>
      </c>
      <c r="AF63" s="87">
        <v>1089.0</v>
      </c>
      <c r="AG63" s="87"/>
      <c r="AH63" s="87">
        <v>5770.0</v>
      </c>
      <c r="AI63" s="87">
        <v>7163.0</v>
      </c>
      <c r="AJ63" s="87">
        <v>42.0</v>
      </c>
      <c r="AK63" s="87">
        <v>47.0</v>
      </c>
      <c r="AL63" s="87">
        <v>510.0</v>
      </c>
      <c r="AM63" s="87">
        <v>17.0</v>
      </c>
      <c r="AN63" s="87">
        <v>802.0</v>
      </c>
      <c r="AO63" s="87">
        <v>8426.0</v>
      </c>
      <c r="AP63" s="87">
        <v>258.0</v>
      </c>
      <c r="AQ63" s="87">
        <v>2892.0</v>
      </c>
      <c r="AR63" s="87">
        <v>23.0</v>
      </c>
      <c r="AS63" s="87">
        <v>8714.0</v>
      </c>
      <c r="AT63" s="87">
        <v>1685.0</v>
      </c>
      <c r="AU63" s="87">
        <v>183.0</v>
      </c>
      <c r="AV63" s="87">
        <v>21.0</v>
      </c>
      <c r="AW63" s="87">
        <v>5.0</v>
      </c>
      <c r="AX63" s="87"/>
      <c r="AY63" s="87"/>
      <c r="AZ63" s="87"/>
      <c r="BA63" s="87">
        <v>2.0</v>
      </c>
      <c r="BB63" s="87">
        <v>7.0</v>
      </c>
      <c r="BC63" s="87">
        <v>2358.0</v>
      </c>
      <c r="BD63" s="87"/>
      <c r="BE63" s="87">
        <v>6384.0</v>
      </c>
      <c r="BF63" s="87">
        <v>12.0</v>
      </c>
      <c r="BG63" s="87">
        <v>6579.0</v>
      </c>
      <c r="BH63" s="87"/>
      <c r="BI63" s="87">
        <v>47509.0</v>
      </c>
      <c r="BJ63" s="87">
        <v>5203.0</v>
      </c>
      <c r="BK63" s="87">
        <v>3970.0</v>
      </c>
      <c r="BL63" s="87">
        <v>1408.0</v>
      </c>
      <c r="BM63" s="87">
        <v>2358.0</v>
      </c>
      <c r="BN63" s="87">
        <v>36.0</v>
      </c>
      <c r="BO63" s="87"/>
      <c r="BP63" s="87">
        <v>9910.0</v>
      </c>
      <c r="BQ63" s="87">
        <v>251.0</v>
      </c>
      <c r="BR63" s="87">
        <v>158.0</v>
      </c>
      <c r="BS63" s="87">
        <v>729.0</v>
      </c>
      <c r="BT63" s="87">
        <v>18.0</v>
      </c>
      <c r="BU63" s="87">
        <v>16.0</v>
      </c>
      <c r="BV63" s="87">
        <v>358.0</v>
      </c>
      <c r="BW63" s="87">
        <v>304.0</v>
      </c>
      <c r="BX63" s="87">
        <v>1022.0</v>
      </c>
      <c r="BY63" s="87"/>
      <c r="BZ63" s="87">
        <v>6.0</v>
      </c>
      <c r="CA63" s="87">
        <v>173.0</v>
      </c>
      <c r="CB63" s="87">
        <v>9.0</v>
      </c>
      <c r="CC63" s="87"/>
      <c r="CD63" s="87">
        <v>21.0</v>
      </c>
      <c r="CE63" s="87"/>
      <c r="CF63" s="87"/>
      <c r="CG63" s="87">
        <v>280.0</v>
      </c>
      <c r="CH63" s="87">
        <v>12695.0</v>
      </c>
      <c r="CI63" s="87"/>
      <c r="CJ63" s="87">
        <v>3457.0</v>
      </c>
      <c r="CK63" s="87">
        <v>4623.0</v>
      </c>
      <c r="CL63" s="87">
        <v>4583.0</v>
      </c>
      <c r="CM63" s="87">
        <v>19.0</v>
      </c>
      <c r="CN63" s="87"/>
      <c r="CO63" s="87">
        <v>154.0</v>
      </c>
      <c r="CP63" s="87"/>
      <c r="CQ63" s="87">
        <v>138.0</v>
      </c>
      <c r="CR63" s="87">
        <v>1.0</v>
      </c>
      <c r="CS63" s="87"/>
      <c r="CT63" s="87">
        <v>1583.0</v>
      </c>
      <c r="CU63" s="87">
        <v>341.0</v>
      </c>
      <c r="CV63" s="87">
        <v>42.0</v>
      </c>
      <c r="CW63" s="87">
        <v>843.0</v>
      </c>
      <c r="CX63" s="87">
        <v>100.0</v>
      </c>
      <c r="CY63" s="87">
        <v>217.0</v>
      </c>
      <c r="CZ63" s="87">
        <v>3.0</v>
      </c>
      <c r="DA63" s="87">
        <v>6.0</v>
      </c>
      <c r="DB63" s="87">
        <v>859.0</v>
      </c>
      <c r="DC63" s="87">
        <v>662.0</v>
      </c>
      <c r="DD63" s="87">
        <v>1470.0</v>
      </c>
      <c r="DE63" s="87">
        <v>154.0</v>
      </c>
      <c r="DF63" s="87">
        <v>346.0</v>
      </c>
      <c r="DG63" s="87">
        <v>707.0</v>
      </c>
      <c r="DH63" s="87">
        <v>2542.0</v>
      </c>
      <c r="DI63" s="87">
        <v>2359.0</v>
      </c>
      <c r="DJ63" s="87">
        <v>3.0</v>
      </c>
      <c r="DK63" s="87">
        <v>95.0</v>
      </c>
      <c r="DL63" s="87">
        <v>623.0</v>
      </c>
      <c r="DM63" s="87">
        <v>20.0</v>
      </c>
      <c r="DN63" s="87"/>
      <c r="DO63" s="87">
        <v>1692.0</v>
      </c>
      <c r="DP63" s="87">
        <v>2254.0</v>
      </c>
      <c r="DQ63" s="87">
        <v>693.0</v>
      </c>
      <c r="DR63" s="87">
        <v>1465.0</v>
      </c>
      <c r="DS63" s="87"/>
      <c r="DT63" s="87">
        <v>2.0</v>
      </c>
      <c r="DU63" s="87"/>
      <c r="DV63" s="87">
        <v>202.0</v>
      </c>
      <c r="DW63" s="87">
        <v>18.0</v>
      </c>
      <c r="DX63" s="87">
        <v>161.0</v>
      </c>
      <c r="DY63" s="87">
        <v>607.0</v>
      </c>
      <c r="DZ63" s="87">
        <v>131.0</v>
      </c>
      <c r="EA63" s="87">
        <v>3.0</v>
      </c>
      <c r="EB63" s="87">
        <v>136.0</v>
      </c>
      <c r="EC63" s="87">
        <v>240.0</v>
      </c>
      <c r="ED63" s="87">
        <v>5212.0</v>
      </c>
      <c r="EE63" s="87">
        <v>159.0</v>
      </c>
      <c r="EF63" s="87">
        <v>4.0</v>
      </c>
      <c r="EG63" s="87">
        <v>321.0</v>
      </c>
      <c r="EH63" s="87"/>
      <c r="EI63" s="87">
        <v>60.0</v>
      </c>
      <c r="EJ63" s="87">
        <v>12590.0</v>
      </c>
      <c r="EK63" s="88"/>
      <c r="EL63" s="88"/>
      <c r="EM63" s="88"/>
      <c r="EN63" s="88"/>
      <c r="EO63" s="88"/>
      <c r="EP63" s="88"/>
      <c r="EQ63" s="90"/>
    </row>
    <row r="64" ht="12.0" customHeight="1">
      <c r="A64" s="89">
        <v>1.06150775E8</v>
      </c>
      <c r="B64" s="89" t="s">
        <v>800</v>
      </c>
      <c r="C64" s="89" t="s">
        <v>772</v>
      </c>
      <c r="D64" s="89" t="s">
        <v>801</v>
      </c>
      <c r="E64" s="89" t="s">
        <v>802</v>
      </c>
      <c r="F64" s="89" t="s">
        <v>782</v>
      </c>
      <c r="G64" s="89" t="s">
        <v>803</v>
      </c>
      <c r="H64" s="89" t="s">
        <v>696</v>
      </c>
      <c r="I64" s="89" t="s">
        <v>543</v>
      </c>
      <c r="J64" s="89" t="s">
        <v>463</v>
      </c>
      <c r="K64" s="89" t="s">
        <v>512</v>
      </c>
      <c r="L64" s="89" t="s">
        <v>784</v>
      </c>
      <c r="M64" s="89" t="s">
        <v>785</v>
      </c>
      <c r="N64" s="89" t="s">
        <v>441</v>
      </c>
      <c r="O64" s="87">
        <v>597.0</v>
      </c>
      <c r="P64" s="87"/>
      <c r="Q64" s="87">
        <v>1828.0</v>
      </c>
      <c r="R64" s="87"/>
      <c r="S64" s="87"/>
      <c r="T64" s="87"/>
      <c r="U64" s="87">
        <v>1602.0</v>
      </c>
      <c r="V64" s="87">
        <v>823.0</v>
      </c>
      <c r="W64" s="87"/>
      <c r="X64" s="87"/>
      <c r="Y64" s="87">
        <v>53.0</v>
      </c>
      <c r="Z64" s="87">
        <v>433.0</v>
      </c>
      <c r="AA64" s="87">
        <v>585.0</v>
      </c>
      <c r="AB64" s="87">
        <v>387.0</v>
      </c>
      <c r="AC64" s="87">
        <v>455.0</v>
      </c>
      <c r="AD64" s="87">
        <v>342.0</v>
      </c>
      <c r="AE64" s="87">
        <v>111.0</v>
      </c>
      <c r="AF64" s="87">
        <v>59.0</v>
      </c>
      <c r="AG64" s="87"/>
      <c r="AH64" s="87">
        <v>603.0</v>
      </c>
      <c r="AI64" s="87">
        <v>1813.0</v>
      </c>
      <c r="AJ64" s="87">
        <v>9.0</v>
      </c>
      <c r="AK64" s="87"/>
      <c r="AL64" s="87">
        <v>36.0</v>
      </c>
      <c r="AM64" s="87"/>
      <c r="AN64" s="87">
        <v>167.0</v>
      </c>
      <c r="AO64" s="87">
        <v>2166.0</v>
      </c>
      <c r="AP64" s="87">
        <v>16.0</v>
      </c>
      <c r="AQ64" s="87">
        <v>40.0</v>
      </c>
      <c r="AR64" s="87"/>
      <c r="AS64" s="87">
        <v>4.0</v>
      </c>
      <c r="AT64" s="87">
        <v>2238.0</v>
      </c>
      <c r="AU64" s="87">
        <v>7.0</v>
      </c>
      <c r="AV64" s="87"/>
      <c r="AW64" s="87">
        <v>174.0</v>
      </c>
      <c r="AX64" s="87"/>
      <c r="AY64" s="87"/>
      <c r="AZ64" s="87"/>
      <c r="BA64" s="87">
        <v>1.0</v>
      </c>
      <c r="BB64" s="87">
        <v>1.0</v>
      </c>
      <c r="BC64" s="87"/>
      <c r="BD64" s="87"/>
      <c r="BE64" s="87"/>
      <c r="BF64" s="87"/>
      <c r="BG64" s="87">
        <v>2425.0</v>
      </c>
      <c r="BH64" s="87"/>
      <c r="BI64" s="87">
        <v>11058.0</v>
      </c>
      <c r="BJ64" s="87">
        <v>7.0</v>
      </c>
      <c r="BK64" s="87">
        <v>2415.0</v>
      </c>
      <c r="BL64" s="87">
        <v>3.0</v>
      </c>
      <c r="BM64" s="87"/>
      <c r="BN64" s="87"/>
      <c r="BO64" s="87"/>
      <c r="BP64" s="87">
        <v>1938.0</v>
      </c>
      <c r="BQ64" s="87">
        <v>38.0</v>
      </c>
      <c r="BR64" s="87">
        <v>7.0</v>
      </c>
      <c r="BS64" s="87">
        <v>172.0</v>
      </c>
      <c r="BT64" s="87"/>
      <c r="BU64" s="87">
        <v>7.0</v>
      </c>
      <c r="BV64" s="87">
        <v>195.0</v>
      </c>
      <c r="BW64" s="87">
        <v>6.0</v>
      </c>
      <c r="BX64" s="87"/>
      <c r="BY64" s="87"/>
      <c r="BZ64" s="87">
        <v>8.0</v>
      </c>
      <c r="CA64" s="87">
        <v>3.0</v>
      </c>
      <c r="CB64" s="87"/>
      <c r="CC64" s="87"/>
      <c r="CD64" s="87">
        <v>51.0</v>
      </c>
      <c r="CE64" s="87"/>
      <c r="CF64" s="87"/>
      <c r="CG64" s="87">
        <v>58.0</v>
      </c>
      <c r="CH64" s="87">
        <v>2367.0</v>
      </c>
      <c r="CI64" s="87"/>
      <c r="CJ64" s="87">
        <v>521.0</v>
      </c>
      <c r="CK64" s="87">
        <v>1761.0</v>
      </c>
      <c r="CL64" s="87">
        <v>137.0</v>
      </c>
      <c r="CM64" s="87"/>
      <c r="CN64" s="87"/>
      <c r="CO64" s="87">
        <v>6.0</v>
      </c>
      <c r="CP64" s="87"/>
      <c r="CQ64" s="87"/>
      <c r="CR64" s="87"/>
      <c r="CS64" s="87"/>
      <c r="CT64" s="87">
        <v>87.0</v>
      </c>
      <c r="CU64" s="87">
        <v>4.0</v>
      </c>
      <c r="CV64" s="87">
        <v>10.0</v>
      </c>
      <c r="CW64" s="87">
        <v>77.0</v>
      </c>
      <c r="CX64" s="87">
        <v>1825.0</v>
      </c>
      <c r="CY64" s="87">
        <v>43.0</v>
      </c>
      <c r="CZ64" s="87"/>
      <c r="DA64" s="87"/>
      <c r="DB64" s="87">
        <v>53.0</v>
      </c>
      <c r="DC64" s="87">
        <v>75.0</v>
      </c>
      <c r="DD64" s="87">
        <v>42.0</v>
      </c>
      <c r="DE64" s="87">
        <v>124.0</v>
      </c>
      <c r="DF64" s="87">
        <v>14.0</v>
      </c>
      <c r="DG64" s="87">
        <v>40.0</v>
      </c>
      <c r="DH64" s="87"/>
      <c r="DI64" s="87"/>
      <c r="DJ64" s="87"/>
      <c r="DK64" s="87">
        <v>20.0</v>
      </c>
      <c r="DL64" s="87">
        <v>11.0</v>
      </c>
      <c r="DM64" s="87"/>
      <c r="DN64" s="87"/>
      <c r="DO64" s="87">
        <v>16.0</v>
      </c>
      <c r="DP64" s="87"/>
      <c r="DQ64" s="87">
        <v>113.0</v>
      </c>
      <c r="DR64" s="87">
        <v>43.0</v>
      </c>
      <c r="DS64" s="87"/>
      <c r="DT64" s="87"/>
      <c r="DU64" s="87"/>
      <c r="DV64" s="87">
        <v>1.0</v>
      </c>
      <c r="DW64" s="87"/>
      <c r="DX64" s="87">
        <v>76.0</v>
      </c>
      <c r="DY64" s="87">
        <v>33.0</v>
      </c>
      <c r="DZ64" s="87">
        <v>3.0</v>
      </c>
      <c r="EA64" s="87">
        <v>1.0</v>
      </c>
      <c r="EB64" s="87">
        <v>8.0</v>
      </c>
      <c r="EC64" s="87"/>
      <c r="ED64" s="87">
        <v>2131.0</v>
      </c>
      <c r="EE64" s="87"/>
      <c r="EF64" s="87">
        <v>16.0</v>
      </c>
      <c r="EG64" s="87">
        <v>430.0</v>
      </c>
      <c r="EH64" s="87"/>
      <c r="EI64" s="87">
        <v>2.0</v>
      </c>
      <c r="EJ64" s="87">
        <v>1977.0</v>
      </c>
      <c r="EK64" s="88"/>
      <c r="EL64" s="88"/>
      <c r="EM64" s="88"/>
      <c r="EN64" s="88"/>
      <c r="EO64" s="88"/>
      <c r="EP64" s="88"/>
      <c r="EQ64" s="90"/>
    </row>
    <row r="65" ht="12.0" customHeight="1">
      <c r="A65" s="89">
        <v>1.06150782E8</v>
      </c>
      <c r="B65" s="89" t="s">
        <v>804</v>
      </c>
      <c r="C65" s="89" t="s">
        <v>772</v>
      </c>
      <c r="D65" s="89" t="s">
        <v>805</v>
      </c>
      <c r="E65" s="89" t="s">
        <v>806</v>
      </c>
      <c r="F65" s="89" t="s">
        <v>807</v>
      </c>
      <c r="G65" s="89" t="s">
        <v>808</v>
      </c>
      <c r="H65" s="89" t="s">
        <v>447</v>
      </c>
      <c r="I65" s="89" t="s">
        <v>543</v>
      </c>
      <c r="J65" s="89" t="s">
        <v>463</v>
      </c>
      <c r="K65" s="89" t="s">
        <v>512</v>
      </c>
      <c r="L65" s="89" t="s">
        <v>784</v>
      </c>
      <c r="M65" s="89" t="s">
        <v>809</v>
      </c>
      <c r="N65" s="89" t="s">
        <v>547</v>
      </c>
      <c r="O65" s="87">
        <v>2004.0</v>
      </c>
      <c r="P65" s="87">
        <v>113.0</v>
      </c>
      <c r="Q65" s="87"/>
      <c r="R65" s="87"/>
      <c r="S65" s="87"/>
      <c r="T65" s="87"/>
      <c r="U65" s="87">
        <v>801.0</v>
      </c>
      <c r="V65" s="87">
        <v>1316.0</v>
      </c>
      <c r="W65" s="87"/>
      <c r="X65" s="87">
        <v>445.0</v>
      </c>
      <c r="Y65" s="87">
        <v>32.0</v>
      </c>
      <c r="Z65" s="87">
        <v>284.0</v>
      </c>
      <c r="AA65" s="87">
        <v>237.0</v>
      </c>
      <c r="AB65" s="87">
        <v>116.0</v>
      </c>
      <c r="AC65" s="87">
        <v>174.0</v>
      </c>
      <c r="AD65" s="87">
        <v>259.0</v>
      </c>
      <c r="AE65" s="87">
        <v>260.0</v>
      </c>
      <c r="AF65" s="87">
        <v>310.0</v>
      </c>
      <c r="AG65" s="87"/>
      <c r="AH65" s="87">
        <v>310.0</v>
      </c>
      <c r="AI65" s="87">
        <v>1739.0</v>
      </c>
      <c r="AJ65" s="87">
        <v>68.0</v>
      </c>
      <c r="AK65" s="87">
        <v>22.0</v>
      </c>
      <c r="AL65" s="87">
        <v>49.0</v>
      </c>
      <c r="AM65" s="87">
        <v>13.0</v>
      </c>
      <c r="AN65" s="87">
        <v>141.0</v>
      </c>
      <c r="AO65" s="87">
        <v>1542.0</v>
      </c>
      <c r="AP65" s="87">
        <v>44.0</v>
      </c>
      <c r="AQ65" s="87">
        <v>306.0</v>
      </c>
      <c r="AR65" s="87"/>
      <c r="AS65" s="87">
        <v>1561.0</v>
      </c>
      <c r="AT65" s="87">
        <v>12.0</v>
      </c>
      <c r="AU65" s="87">
        <v>2.0</v>
      </c>
      <c r="AV65" s="87">
        <v>6.0</v>
      </c>
      <c r="AW65" s="87">
        <v>5.0</v>
      </c>
      <c r="AX65" s="87">
        <v>107.0</v>
      </c>
      <c r="AY65" s="87"/>
      <c r="AZ65" s="87">
        <v>1.0</v>
      </c>
      <c r="BA65" s="87"/>
      <c r="BB65" s="87">
        <v>4.0</v>
      </c>
      <c r="BC65" s="87">
        <v>419.0</v>
      </c>
      <c r="BD65" s="87"/>
      <c r="BE65" s="87">
        <v>1151.0</v>
      </c>
      <c r="BF65" s="87">
        <v>2.0</v>
      </c>
      <c r="BG65" s="87">
        <v>964.0</v>
      </c>
      <c r="BH65" s="87"/>
      <c r="BI65" s="87">
        <v>20912.0</v>
      </c>
      <c r="BJ65" s="87">
        <v>1079.0</v>
      </c>
      <c r="BK65" s="87">
        <v>326.0</v>
      </c>
      <c r="BL65" s="87">
        <v>293.0</v>
      </c>
      <c r="BM65" s="87">
        <v>419.0</v>
      </c>
      <c r="BN65" s="87"/>
      <c r="BO65" s="87"/>
      <c r="BP65" s="87">
        <v>1667.0</v>
      </c>
      <c r="BQ65" s="87">
        <v>95.0</v>
      </c>
      <c r="BR65" s="87">
        <v>10.0</v>
      </c>
      <c r="BS65" s="87">
        <v>102.0</v>
      </c>
      <c r="BT65" s="87">
        <v>10.0</v>
      </c>
      <c r="BU65" s="87"/>
      <c r="BV65" s="87">
        <v>56.0</v>
      </c>
      <c r="BW65" s="87">
        <v>83.0</v>
      </c>
      <c r="BX65" s="87">
        <v>80.0</v>
      </c>
      <c r="BY65" s="87"/>
      <c r="BZ65" s="87"/>
      <c r="CA65" s="87">
        <v>11.0</v>
      </c>
      <c r="CB65" s="87">
        <v>1.0</v>
      </c>
      <c r="CC65" s="87">
        <v>2.0</v>
      </c>
      <c r="CD65" s="87"/>
      <c r="CE65" s="87"/>
      <c r="CF65" s="87"/>
      <c r="CG65" s="87">
        <v>336.0</v>
      </c>
      <c r="CH65" s="87">
        <v>1781.0</v>
      </c>
      <c r="CI65" s="87"/>
      <c r="CJ65" s="87">
        <v>712.0</v>
      </c>
      <c r="CK65" s="87">
        <v>708.0</v>
      </c>
      <c r="CL65" s="87">
        <v>546.0</v>
      </c>
      <c r="CM65" s="87">
        <v>2.0</v>
      </c>
      <c r="CN65" s="87"/>
      <c r="CO65" s="87">
        <v>122.0</v>
      </c>
      <c r="CP65" s="87"/>
      <c r="CQ65" s="87">
        <v>27.0</v>
      </c>
      <c r="CR65" s="87"/>
      <c r="CS65" s="87"/>
      <c r="CT65" s="87">
        <v>132.0</v>
      </c>
      <c r="CU65" s="87">
        <v>26.0</v>
      </c>
      <c r="CV65" s="87">
        <v>15.0</v>
      </c>
      <c r="CW65" s="87">
        <v>77.0</v>
      </c>
      <c r="CX65" s="87">
        <v>24.0</v>
      </c>
      <c r="CY65" s="87">
        <v>32.0</v>
      </c>
      <c r="CZ65" s="87"/>
      <c r="DA65" s="87"/>
      <c r="DB65" s="87">
        <v>173.0</v>
      </c>
      <c r="DC65" s="87">
        <v>196.0</v>
      </c>
      <c r="DD65" s="87">
        <v>207.0</v>
      </c>
      <c r="DE65" s="87">
        <v>62.0</v>
      </c>
      <c r="DF65" s="87">
        <v>44.0</v>
      </c>
      <c r="DG65" s="87">
        <v>104.0</v>
      </c>
      <c r="DH65" s="87">
        <v>456.0</v>
      </c>
      <c r="DI65" s="87">
        <v>423.0</v>
      </c>
      <c r="DJ65" s="87"/>
      <c r="DK65" s="87">
        <v>61.0</v>
      </c>
      <c r="DL65" s="87">
        <v>75.0</v>
      </c>
      <c r="DM65" s="87">
        <v>8.0</v>
      </c>
      <c r="DN65" s="87">
        <v>2.0</v>
      </c>
      <c r="DO65" s="87">
        <v>496.0</v>
      </c>
      <c r="DP65" s="87">
        <v>430.0</v>
      </c>
      <c r="DQ65" s="87">
        <v>19.0</v>
      </c>
      <c r="DR65" s="87">
        <v>143.0</v>
      </c>
      <c r="DS65" s="87">
        <v>1.0</v>
      </c>
      <c r="DT65" s="87"/>
      <c r="DU65" s="87"/>
      <c r="DV65" s="87">
        <v>20.0</v>
      </c>
      <c r="DW65" s="87">
        <v>1.0</v>
      </c>
      <c r="DX65" s="87">
        <v>20.0</v>
      </c>
      <c r="DY65" s="87">
        <v>162.0</v>
      </c>
      <c r="DZ65" s="87">
        <v>4.0</v>
      </c>
      <c r="EA65" s="87">
        <v>4.0</v>
      </c>
      <c r="EB65" s="87">
        <v>162.0</v>
      </c>
      <c r="EC65" s="87">
        <v>1.0</v>
      </c>
      <c r="ED65" s="87">
        <v>648.0</v>
      </c>
      <c r="EE65" s="87">
        <v>6.0</v>
      </c>
      <c r="EF65" s="87">
        <v>1.0</v>
      </c>
      <c r="EG65" s="87">
        <v>2.0</v>
      </c>
      <c r="EH65" s="87">
        <v>1.0</v>
      </c>
      <c r="EI65" s="87">
        <v>10.0</v>
      </c>
      <c r="EJ65" s="87">
        <v>2103.0</v>
      </c>
      <c r="EK65" s="88"/>
      <c r="EL65" s="88"/>
      <c r="EM65" s="88"/>
      <c r="EN65" s="88"/>
      <c r="EO65" s="88"/>
      <c r="EP65" s="88"/>
      <c r="EQ65" s="90"/>
    </row>
    <row r="66" ht="12.0" customHeight="1">
      <c r="A66" s="89">
        <v>1.06150788E8</v>
      </c>
      <c r="B66" s="89" t="s">
        <v>810</v>
      </c>
      <c r="C66" s="89" t="s">
        <v>772</v>
      </c>
      <c r="D66" s="89" t="s">
        <v>811</v>
      </c>
      <c r="E66" s="89" t="s">
        <v>812</v>
      </c>
      <c r="F66" s="89" t="s">
        <v>782</v>
      </c>
      <c r="G66" s="89" t="s">
        <v>783</v>
      </c>
      <c r="H66" s="89" t="s">
        <v>447</v>
      </c>
      <c r="I66" s="89" t="s">
        <v>543</v>
      </c>
      <c r="J66" s="89" t="s">
        <v>469</v>
      </c>
      <c r="K66" s="89" t="s">
        <v>512</v>
      </c>
      <c r="L66" s="89" t="s">
        <v>784</v>
      </c>
      <c r="M66" s="89" t="s">
        <v>785</v>
      </c>
      <c r="N66" s="89" t="s">
        <v>441</v>
      </c>
      <c r="O66" s="87">
        <v>17802.0</v>
      </c>
      <c r="P66" s="87"/>
      <c r="Q66" s="87"/>
      <c r="R66" s="87"/>
      <c r="S66" s="87"/>
      <c r="T66" s="87"/>
      <c r="U66" s="87">
        <v>8026.0</v>
      </c>
      <c r="V66" s="87">
        <v>9768.0</v>
      </c>
      <c r="W66" s="87">
        <v>8.0</v>
      </c>
      <c r="X66" s="87">
        <v>2220.0</v>
      </c>
      <c r="Y66" s="87">
        <v>207.0</v>
      </c>
      <c r="Z66" s="87">
        <v>1767.0</v>
      </c>
      <c r="AA66" s="87">
        <v>2186.0</v>
      </c>
      <c r="AB66" s="87">
        <v>1663.0</v>
      </c>
      <c r="AC66" s="87">
        <v>2208.0</v>
      </c>
      <c r="AD66" s="87">
        <v>2780.0</v>
      </c>
      <c r="AE66" s="87">
        <v>2729.0</v>
      </c>
      <c r="AF66" s="87">
        <v>2042.0</v>
      </c>
      <c r="AG66" s="87"/>
      <c r="AH66" s="87">
        <v>7577.0</v>
      </c>
      <c r="AI66" s="87">
        <v>9962.0</v>
      </c>
      <c r="AJ66" s="87">
        <v>263.0</v>
      </c>
      <c r="AK66" s="87">
        <v>74.0</v>
      </c>
      <c r="AL66" s="87">
        <v>411.0</v>
      </c>
      <c r="AM66" s="87">
        <v>30.0</v>
      </c>
      <c r="AN66" s="87">
        <v>1415.0</v>
      </c>
      <c r="AO66" s="87">
        <v>14119.0</v>
      </c>
      <c r="AP66" s="87">
        <v>309.0</v>
      </c>
      <c r="AQ66" s="87">
        <v>1444.0</v>
      </c>
      <c r="AR66" s="87"/>
      <c r="AS66" s="87">
        <v>12411.0</v>
      </c>
      <c r="AT66" s="87">
        <v>553.0</v>
      </c>
      <c r="AU66" s="87">
        <v>1625.0</v>
      </c>
      <c r="AV66" s="87">
        <v>211.0</v>
      </c>
      <c r="AW66" s="87">
        <v>34.0</v>
      </c>
      <c r="AX66" s="87">
        <v>3.0</v>
      </c>
      <c r="AY66" s="87">
        <v>9.0</v>
      </c>
      <c r="AZ66" s="87">
        <v>2.0</v>
      </c>
      <c r="BA66" s="87">
        <v>817.0</v>
      </c>
      <c r="BB66" s="87"/>
      <c r="BC66" s="87">
        <v>2137.0</v>
      </c>
      <c r="BD66" s="87"/>
      <c r="BE66" s="87">
        <v>10870.0</v>
      </c>
      <c r="BF66" s="87">
        <v>684.0</v>
      </c>
      <c r="BG66" s="87">
        <v>6143.0</v>
      </c>
      <c r="BH66" s="87">
        <v>105.0</v>
      </c>
      <c r="BI66" s="87">
        <v>74571.0</v>
      </c>
      <c r="BJ66" s="87">
        <v>9769.0</v>
      </c>
      <c r="BK66" s="87">
        <v>4008.0</v>
      </c>
      <c r="BL66" s="87">
        <v>1865.0</v>
      </c>
      <c r="BM66" s="87">
        <v>2137.0</v>
      </c>
      <c r="BN66" s="87">
        <v>19.0</v>
      </c>
      <c r="BO66" s="87">
        <v>4.0</v>
      </c>
      <c r="BP66" s="87">
        <v>11676.0</v>
      </c>
      <c r="BQ66" s="87">
        <v>298.0</v>
      </c>
      <c r="BR66" s="87">
        <v>290.0</v>
      </c>
      <c r="BS66" s="87">
        <v>1420.0</v>
      </c>
      <c r="BT66" s="87">
        <v>55.0</v>
      </c>
      <c r="BU66" s="87">
        <v>850.0</v>
      </c>
      <c r="BV66" s="87">
        <v>398.0</v>
      </c>
      <c r="BW66" s="87">
        <v>583.0</v>
      </c>
      <c r="BX66" s="87">
        <v>1727.0</v>
      </c>
      <c r="BY66" s="87"/>
      <c r="BZ66" s="87">
        <v>3.0</v>
      </c>
      <c r="CA66" s="87">
        <v>482.0</v>
      </c>
      <c r="CB66" s="87">
        <v>9.0</v>
      </c>
      <c r="CC66" s="87"/>
      <c r="CD66" s="87">
        <v>2.0</v>
      </c>
      <c r="CE66" s="87">
        <v>9.0</v>
      </c>
      <c r="CF66" s="87"/>
      <c r="CG66" s="87">
        <v>1853.0</v>
      </c>
      <c r="CH66" s="87">
        <v>15949.0</v>
      </c>
      <c r="CI66" s="87"/>
      <c r="CJ66" s="87">
        <v>6647.0</v>
      </c>
      <c r="CK66" s="87">
        <v>4797.0</v>
      </c>
      <c r="CL66" s="87">
        <v>4962.0</v>
      </c>
      <c r="CM66" s="87">
        <v>33.0</v>
      </c>
      <c r="CN66" s="87"/>
      <c r="CO66" s="87">
        <v>1092.0</v>
      </c>
      <c r="CP66" s="87"/>
      <c r="CQ66" s="87">
        <v>203.0</v>
      </c>
      <c r="CR66" s="87">
        <v>2.0</v>
      </c>
      <c r="CS66" s="87">
        <v>66.0</v>
      </c>
      <c r="CT66" s="87">
        <v>2482.0</v>
      </c>
      <c r="CU66" s="87">
        <v>443.0</v>
      </c>
      <c r="CV66" s="87">
        <v>81.0</v>
      </c>
      <c r="CW66" s="87">
        <v>1181.0</v>
      </c>
      <c r="CX66" s="87">
        <v>101.0</v>
      </c>
      <c r="CY66" s="87">
        <v>463.0</v>
      </c>
      <c r="CZ66" s="87">
        <v>9.0</v>
      </c>
      <c r="DA66" s="87">
        <v>6.0</v>
      </c>
      <c r="DB66" s="87">
        <v>2579.0</v>
      </c>
      <c r="DC66" s="87">
        <v>911.0</v>
      </c>
      <c r="DD66" s="87">
        <v>2059.0</v>
      </c>
      <c r="DE66" s="87">
        <v>328.0</v>
      </c>
      <c r="DF66" s="87">
        <v>425.0</v>
      </c>
      <c r="DG66" s="87">
        <v>757.0</v>
      </c>
      <c r="DH66" s="87">
        <v>2300.0</v>
      </c>
      <c r="DI66" s="87">
        <v>2163.0</v>
      </c>
      <c r="DJ66" s="87">
        <v>5.0</v>
      </c>
      <c r="DK66" s="87">
        <v>244.0</v>
      </c>
      <c r="DL66" s="87">
        <v>1159.0</v>
      </c>
      <c r="DM66" s="87">
        <v>106.0</v>
      </c>
      <c r="DN66" s="87"/>
      <c r="DO66" s="87">
        <v>3524.0</v>
      </c>
      <c r="DP66" s="87">
        <v>2213.0</v>
      </c>
      <c r="DQ66" s="87">
        <v>1975.0</v>
      </c>
      <c r="DR66" s="87">
        <v>2479.0</v>
      </c>
      <c r="DS66" s="87">
        <v>8.0</v>
      </c>
      <c r="DT66" s="87">
        <v>6.0</v>
      </c>
      <c r="DU66" s="87">
        <v>1.0</v>
      </c>
      <c r="DV66" s="87">
        <v>122.0</v>
      </c>
      <c r="DW66" s="87">
        <v>49.0</v>
      </c>
      <c r="DX66" s="87">
        <v>321.0</v>
      </c>
      <c r="DY66" s="87">
        <v>986.0</v>
      </c>
      <c r="DZ66" s="87">
        <v>307.0</v>
      </c>
      <c r="EA66" s="87">
        <v>70.0</v>
      </c>
      <c r="EB66" s="87">
        <v>407.0</v>
      </c>
      <c r="EC66" s="87">
        <v>249.0</v>
      </c>
      <c r="ED66" s="87">
        <v>4827.0</v>
      </c>
      <c r="EE66" s="87">
        <v>258.0</v>
      </c>
      <c r="EF66" s="87">
        <v>75.0</v>
      </c>
      <c r="EG66" s="87">
        <v>220.0</v>
      </c>
      <c r="EH66" s="87"/>
      <c r="EI66" s="87">
        <v>69.0</v>
      </c>
      <c r="EJ66" s="87">
        <v>17438.0</v>
      </c>
      <c r="EK66" s="88"/>
      <c r="EL66" s="88"/>
      <c r="EM66" s="88"/>
      <c r="EN66" s="88"/>
      <c r="EO66" s="88"/>
      <c r="EP66" s="88"/>
      <c r="EQ66" s="90"/>
    </row>
    <row r="67" ht="12.0" customHeight="1">
      <c r="A67" s="89">
        <v>1.0615082E8</v>
      </c>
      <c r="B67" s="89" t="s">
        <v>813</v>
      </c>
      <c r="C67" s="89" t="s">
        <v>772</v>
      </c>
      <c r="D67" s="89" t="s">
        <v>814</v>
      </c>
      <c r="E67" s="89" t="s">
        <v>815</v>
      </c>
      <c r="F67" s="89" t="s">
        <v>782</v>
      </c>
      <c r="G67" s="89" t="s">
        <v>789</v>
      </c>
      <c r="H67" s="89" t="s">
        <v>475</v>
      </c>
      <c r="I67" s="89" t="s">
        <v>543</v>
      </c>
      <c r="J67" s="89" t="s">
        <v>463</v>
      </c>
      <c r="K67" s="89" t="s">
        <v>512</v>
      </c>
      <c r="L67" s="89" t="s">
        <v>784</v>
      </c>
      <c r="M67" s="89" t="s">
        <v>785</v>
      </c>
      <c r="N67" s="89" t="s">
        <v>441</v>
      </c>
      <c r="O67" s="87"/>
      <c r="P67" s="87"/>
      <c r="Q67" s="87"/>
      <c r="R67" s="87"/>
      <c r="S67" s="87">
        <v>298.0</v>
      </c>
      <c r="T67" s="87"/>
      <c r="U67" s="87">
        <v>128.0</v>
      </c>
      <c r="V67" s="87">
        <v>170.0</v>
      </c>
      <c r="W67" s="87"/>
      <c r="X67" s="87"/>
      <c r="Y67" s="87"/>
      <c r="Z67" s="87"/>
      <c r="AA67" s="87"/>
      <c r="AB67" s="87"/>
      <c r="AC67" s="87">
        <v>17.0</v>
      </c>
      <c r="AD67" s="87">
        <v>68.0</v>
      </c>
      <c r="AE67" s="87">
        <v>117.0</v>
      </c>
      <c r="AF67" s="87">
        <v>82.0</v>
      </c>
      <c r="AG67" s="87">
        <v>14.0</v>
      </c>
      <c r="AH67" s="87">
        <v>54.0</v>
      </c>
      <c r="AI67" s="87">
        <v>147.0</v>
      </c>
      <c r="AJ67" s="87">
        <v>97.0</v>
      </c>
      <c r="AK67" s="87"/>
      <c r="AL67" s="87"/>
      <c r="AM67" s="87"/>
      <c r="AN67" s="87">
        <v>19.0</v>
      </c>
      <c r="AO67" s="87">
        <v>203.0</v>
      </c>
      <c r="AP67" s="87">
        <v>76.0</v>
      </c>
      <c r="AQ67" s="87"/>
      <c r="AR67" s="87"/>
      <c r="AS67" s="87">
        <v>1.0</v>
      </c>
      <c r="AT67" s="87">
        <v>3.0</v>
      </c>
      <c r="AU67" s="87">
        <v>280.0</v>
      </c>
      <c r="AV67" s="87">
        <v>1.0</v>
      </c>
      <c r="AW67" s="87">
        <v>13.0</v>
      </c>
      <c r="AX67" s="87"/>
      <c r="AY67" s="87"/>
      <c r="AZ67" s="87"/>
      <c r="BA67" s="87"/>
      <c r="BB67" s="87"/>
      <c r="BC67" s="87"/>
      <c r="BD67" s="87"/>
      <c r="BE67" s="87"/>
      <c r="BF67" s="87"/>
      <c r="BG67" s="87">
        <v>298.0</v>
      </c>
      <c r="BH67" s="87"/>
      <c r="BI67" s="87">
        <v>3327.0</v>
      </c>
      <c r="BJ67" s="87"/>
      <c r="BK67" s="87"/>
      <c r="BL67" s="87">
        <v>298.0</v>
      </c>
      <c r="BM67" s="87"/>
      <c r="BN67" s="87"/>
      <c r="BO67" s="87"/>
      <c r="BP67" s="87">
        <v>56.0</v>
      </c>
      <c r="BQ67" s="87">
        <v>31.0</v>
      </c>
      <c r="BR67" s="87"/>
      <c r="BS67" s="87">
        <v>42.0</v>
      </c>
      <c r="BT67" s="87">
        <v>1.0</v>
      </c>
      <c r="BU67" s="87"/>
      <c r="BV67" s="87">
        <v>11.0</v>
      </c>
      <c r="BW67" s="87"/>
      <c r="BX67" s="87">
        <v>150.0</v>
      </c>
      <c r="BY67" s="87"/>
      <c r="BZ67" s="87"/>
      <c r="CA67" s="87">
        <v>6.0</v>
      </c>
      <c r="CB67" s="87"/>
      <c r="CC67" s="87">
        <v>1.0</v>
      </c>
      <c r="CD67" s="87"/>
      <c r="CE67" s="87"/>
      <c r="CF67" s="87"/>
      <c r="CG67" s="87"/>
      <c r="CH67" s="87">
        <v>298.0</v>
      </c>
      <c r="CI67" s="87"/>
      <c r="CJ67" s="87">
        <v>277.0</v>
      </c>
      <c r="CK67" s="87">
        <v>11.0</v>
      </c>
      <c r="CL67" s="87">
        <v>7.0</v>
      </c>
      <c r="CM67" s="87">
        <v>1.0</v>
      </c>
      <c r="CN67" s="87"/>
      <c r="CO67" s="87">
        <v>1.0</v>
      </c>
      <c r="CP67" s="87"/>
      <c r="CQ67" s="87">
        <v>1.0</v>
      </c>
      <c r="CR67" s="87"/>
      <c r="CS67" s="87"/>
      <c r="CT67" s="87">
        <v>3.0</v>
      </c>
      <c r="CU67" s="87"/>
      <c r="CV67" s="87"/>
      <c r="CW67" s="87">
        <v>4.0</v>
      </c>
      <c r="CX67" s="87">
        <v>2.0</v>
      </c>
      <c r="CY67" s="87">
        <v>31.0</v>
      </c>
      <c r="CZ67" s="87"/>
      <c r="DA67" s="87">
        <v>1.0</v>
      </c>
      <c r="DB67" s="87">
        <v>51.0</v>
      </c>
      <c r="DC67" s="87">
        <v>10.0</v>
      </c>
      <c r="DD67" s="87">
        <v>4.0</v>
      </c>
      <c r="DE67" s="87">
        <v>1.0</v>
      </c>
      <c r="DF67" s="87">
        <v>15.0</v>
      </c>
      <c r="DG67" s="87"/>
      <c r="DH67" s="87"/>
      <c r="DI67" s="87"/>
      <c r="DJ67" s="87"/>
      <c r="DK67" s="87">
        <v>66.0</v>
      </c>
      <c r="DL67" s="87">
        <v>75.0</v>
      </c>
      <c r="DM67" s="87">
        <v>35.0</v>
      </c>
      <c r="DN67" s="87"/>
      <c r="DO67" s="87">
        <v>10.0</v>
      </c>
      <c r="DP67" s="87"/>
      <c r="DQ67" s="87">
        <v>5.0</v>
      </c>
      <c r="DR67" s="87"/>
      <c r="DS67" s="87"/>
      <c r="DT67" s="87"/>
      <c r="DU67" s="87"/>
      <c r="DV67" s="87"/>
      <c r="DW67" s="87"/>
      <c r="DX67" s="87"/>
      <c r="DY67" s="87">
        <v>1.0</v>
      </c>
      <c r="DZ67" s="87"/>
      <c r="EA67" s="87"/>
      <c r="EB67" s="87">
        <v>14.0</v>
      </c>
      <c r="EC67" s="87">
        <v>1.0</v>
      </c>
      <c r="ED67" s="87">
        <v>267.0</v>
      </c>
      <c r="EE67" s="87"/>
      <c r="EF67" s="87"/>
      <c r="EG67" s="87"/>
      <c r="EH67" s="87"/>
      <c r="EI67" s="87">
        <v>2.0</v>
      </c>
      <c r="EJ67" s="87">
        <v>296.0</v>
      </c>
      <c r="EK67" s="88"/>
      <c r="EL67" s="88"/>
      <c r="EM67" s="88"/>
      <c r="EN67" s="88"/>
      <c r="EO67" s="88"/>
      <c r="EP67" s="88"/>
      <c r="EQ67" s="90"/>
    </row>
    <row r="68" ht="12.0" customHeight="1">
      <c r="A68" s="89">
        <v>1.06154022E8</v>
      </c>
      <c r="B68" s="89" t="s">
        <v>816</v>
      </c>
      <c r="C68" s="89" t="s">
        <v>772</v>
      </c>
      <c r="D68" s="89" t="s">
        <v>817</v>
      </c>
      <c r="E68" s="89" t="s">
        <v>818</v>
      </c>
      <c r="F68" s="89" t="s">
        <v>782</v>
      </c>
      <c r="G68" s="89" t="s">
        <v>819</v>
      </c>
      <c r="H68" s="89" t="s">
        <v>475</v>
      </c>
      <c r="I68" s="89" t="s">
        <v>543</v>
      </c>
      <c r="J68" s="89" t="s">
        <v>463</v>
      </c>
      <c r="K68" s="89" t="s">
        <v>512</v>
      </c>
      <c r="L68" s="89" t="s">
        <v>784</v>
      </c>
      <c r="M68" s="89" t="s">
        <v>799</v>
      </c>
      <c r="N68" s="89" t="s">
        <v>441</v>
      </c>
      <c r="O68" s="87"/>
      <c r="P68" s="87"/>
      <c r="Q68" s="87"/>
      <c r="R68" s="87"/>
      <c r="S68" s="87">
        <v>1711.0</v>
      </c>
      <c r="T68" s="87"/>
      <c r="U68" s="87">
        <v>882.0</v>
      </c>
      <c r="V68" s="87">
        <v>829.0</v>
      </c>
      <c r="W68" s="87"/>
      <c r="X68" s="87"/>
      <c r="Y68" s="87"/>
      <c r="Z68" s="87">
        <v>55.0</v>
      </c>
      <c r="AA68" s="87">
        <v>97.0</v>
      </c>
      <c r="AB68" s="87">
        <v>115.0</v>
      </c>
      <c r="AC68" s="87">
        <v>227.0</v>
      </c>
      <c r="AD68" s="87">
        <v>384.0</v>
      </c>
      <c r="AE68" s="87">
        <v>469.0</v>
      </c>
      <c r="AF68" s="87">
        <v>358.0</v>
      </c>
      <c r="AG68" s="87">
        <v>6.0</v>
      </c>
      <c r="AH68" s="87">
        <v>320.0</v>
      </c>
      <c r="AI68" s="87">
        <v>1387.0</v>
      </c>
      <c r="AJ68" s="87">
        <v>4.0</v>
      </c>
      <c r="AK68" s="87"/>
      <c r="AL68" s="87">
        <v>30.0</v>
      </c>
      <c r="AM68" s="87"/>
      <c r="AN68" s="87">
        <v>90.0</v>
      </c>
      <c r="AO68" s="87">
        <v>1478.0</v>
      </c>
      <c r="AP68" s="87">
        <v>43.0</v>
      </c>
      <c r="AQ68" s="87">
        <v>58.0</v>
      </c>
      <c r="AR68" s="87">
        <v>12.0</v>
      </c>
      <c r="AS68" s="87">
        <v>3.0</v>
      </c>
      <c r="AT68" s="87">
        <v>29.0</v>
      </c>
      <c r="AU68" s="87">
        <v>1662.0</v>
      </c>
      <c r="AV68" s="87">
        <v>10.0</v>
      </c>
      <c r="AW68" s="87"/>
      <c r="AX68" s="87"/>
      <c r="AY68" s="87"/>
      <c r="AZ68" s="87"/>
      <c r="BA68" s="87"/>
      <c r="BB68" s="87">
        <v>7.0</v>
      </c>
      <c r="BC68" s="87"/>
      <c r="BD68" s="87"/>
      <c r="BE68" s="87"/>
      <c r="BF68" s="87"/>
      <c r="BG68" s="87">
        <v>1711.0</v>
      </c>
      <c r="BH68" s="87"/>
      <c r="BI68" s="87">
        <v>22254.0</v>
      </c>
      <c r="BJ68" s="87">
        <v>6.0</v>
      </c>
      <c r="BK68" s="87"/>
      <c r="BL68" s="87">
        <v>1705.0</v>
      </c>
      <c r="BM68" s="87"/>
      <c r="BN68" s="87"/>
      <c r="BO68" s="87"/>
      <c r="BP68" s="87">
        <v>413.0</v>
      </c>
      <c r="BQ68" s="87">
        <v>166.0</v>
      </c>
      <c r="BR68" s="87">
        <v>2.0</v>
      </c>
      <c r="BS68" s="87">
        <v>125.0</v>
      </c>
      <c r="BT68" s="87">
        <v>1.0</v>
      </c>
      <c r="BU68" s="87"/>
      <c r="BV68" s="87">
        <v>20.0</v>
      </c>
      <c r="BW68" s="87">
        <v>5.0</v>
      </c>
      <c r="BX68" s="87">
        <v>959.0</v>
      </c>
      <c r="BY68" s="87"/>
      <c r="BZ68" s="87"/>
      <c r="CA68" s="87">
        <v>18.0</v>
      </c>
      <c r="CB68" s="87"/>
      <c r="CC68" s="87"/>
      <c r="CD68" s="87">
        <v>2.0</v>
      </c>
      <c r="CE68" s="87"/>
      <c r="CF68" s="87"/>
      <c r="CG68" s="87"/>
      <c r="CH68" s="87">
        <v>1711.0</v>
      </c>
      <c r="CI68" s="87"/>
      <c r="CJ68" s="87">
        <v>1102.0</v>
      </c>
      <c r="CK68" s="87">
        <v>340.0</v>
      </c>
      <c r="CL68" s="87">
        <v>254.0</v>
      </c>
      <c r="CM68" s="87">
        <v>14.0</v>
      </c>
      <c r="CN68" s="87"/>
      <c r="CO68" s="87"/>
      <c r="CP68" s="87"/>
      <c r="CQ68" s="87">
        <v>1.0</v>
      </c>
      <c r="CR68" s="87"/>
      <c r="CS68" s="87"/>
      <c r="CT68" s="87">
        <v>36.0</v>
      </c>
      <c r="CU68" s="87">
        <v>5.0</v>
      </c>
      <c r="CV68" s="87">
        <v>1.0</v>
      </c>
      <c r="CW68" s="87">
        <v>4.0</v>
      </c>
      <c r="CX68" s="87">
        <v>4.0</v>
      </c>
      <c r="CY68" s="87">
        <v>282.0</v>
      </c>
      <c r="CZ68" s="87"/>
      <c r="DA68" s="87"/>
      <c r="DB68" s="87">
        <v>349.0</v>
      </c>
      <c r="DC68" s="87">
        <v>24.0</v>
      </c>
      <c r="DD68" s="87">
        <v>7.0</v>
      </c>
      <c r="DE68" s="87">
        <v>1.0</v>
      </c>
      <c r="DF68" s="87">
        <v>110.0</v>
      </c>
      <c r="DG68" s="87"/>
      <c r="DH68" s="87"/>
      <c r="DI68" s="87"/>
      <c r="DJ68" s="87"/>
      <c r="DK68" s="87">
        <v>159.0</v>
      </c>
      <c r="DL68" s="87">
        <v>466.0</v>
      </c>
      <c r="DM68" s="87">
        <v>259.0</v>
      </c>
      <c r="DN68" s="87">
        <v>4.0</v>
      </c>
      <c r="DO68" s="87">
        <v>69.0</v>
      </c>
      <c r="DP68" s="87"/>
      <c r="DQ68" s="87">
        <v>100.0</v>
      </c>
      <c r="DR68" s="87">
        <v>13.0</v>
      </c>
      <c r="DS68" s="87"/>
      <c r="DT68" s="87"/>
      <c r="DU68" s="87"/>
      <c r="DV68" s="87"/>
      <c r="DW68" s="87"/>
      <c r="DX68" s="87"/>
      <c r="DY68" s="87">
        <v>3.0</v>
      </c>
      <c r="DZ68" s="87"/>
      <c r="EA68" s="87"/>
      <c r="EB68" s="87"/>
      <c r="EC68" s="87"/>
      <c r="ED68" s="87">
        <v>1526.0</v>
      </c>
      <c r="EE68" s="87"/>
      <c r="EF68" s="87"/>
      <c r="EG68" s="87"/>
      <c r="EH68" s="87"/>
      <c r="EI68" s="87">
        <v>11.0</v>
      </c>
      <c r="EJ68" s="87">
        <v>1700.0</v>
      </c>
      <c r="EK68" s="88"/>
      <c r="EL68" s="88"/>
      <c r="EM68" s="88"/>
      <c r="EN68" s="88"/>
      <c r="EO68" s="88"/>
      <c r="EP68" s="88"/>
      <c r="EQ68" s="90"/>
    </row>
    <row r="69" ht="12.0" customHeight="1">
      <c r="A69" s="89">
        <v>1.06154044E8</v>
      </c>
      <c r="B69" s="89" t="s">
        <v>820</v>
      </c>
      <c r="C69" s="89" t="s">
        <v>772</v>
      </c>
      <c r="D69" s="89" t="s">
        <v>821</v>
      </c>
      <c r="E69" s="89" t="s">
        <v>822</v>
      </c>
      <c r="F69" s="89" t="s">
        <v>782</v>
      </c>
      <c r="G69" s="89" t="s">
        <v>819</v>
      </c>
      <c r="H69" s="89" t="s">
        <v>475</v>
      </c>
      <c r="I69" s="89" t="s">
        <v>543</v>
      </c>
      <c r="J69" s="89" t="s">
        <v>463</v>
      </c>
      <c r="K69" s="89" t="s">
        <v>512</v>
      </c>
      <c r="L69" s="89" t="s">
        <v>784</v>
      </c>
      <c r="M69" s="89" t="s">
        <v>823</v>
      </c>
      <c r="N69" s="89" t="s">
        <v>441</v>
      </c>
      <c r="O69" s="87"/>
      <c r="P69" s="87"/>
      <c r="Q69" s="87">
        <v>2775.0</v>
      </c>
      <c r="R69" s="87">
        <v>48.0</v>
      </c>
      <c r="S69" s="87"/>
      <c r="T69" s="87"/>
      <c r="U69" s="87">
        <v>1201.0</v>
      </c>
      <c r="V69" s="87">
        <v>1622.0</v>
      </c>
      <c r="W69" s="87"/>
      <c r="X69" s="87">
        <v>53.0</v>
      </c>
      <c r="Y69" s="87">
        <v>1623.0</v>
      </c>
      <c r="Z69" s="87">
        <v>367.0</v>
      </c>
      <c r="AA69" s="87">
        <v>316.0</v>
      </c>
      <c r="AB69" s="87">
        <v>202.0</v>
      </c>
      <c r="AC69" s="87">
        <v>153.0</v>
      </c>
      <c r="AD69" s="87">
        <v>82.0</v>
      </c>
      <c r="AE69" s="87">
        <v>26.0</v>
      </c>
      <c r="AF69" s="87"/>
      <c r="AG69" s="87">
        <v>1.0</v>
      </c>
      <c r="AH69" s="87">
        <v>1071.0</v>
      </c>
      <c r="AI69" s="87">
        <v>1683.0</v>
      </c>
      <c r="AJ69" s="87">
        <v>69.0</v>
      </c>
      <c r="AK69" s="87">
        <v>14.0</v>
      </c>
      <c r="AL69" s="87">
        <v>44.0</v>
      </c>
      <c r="AM69" s="87"/>
      <c r="AN69" s="87">
        <v>234.0</v>
      </c>
      <c r="AO69" s="87">
        <v>2232.0</v>
      </c>
      <c r="AP69" s="87">
        <v>83.0</v>
      </c>
      <c r="AQ69" s="87">
        <v>216.0</v>
      </c>
      <c r="AR69" s="87"/>
      <c r="AS69" s="87">
        <v>1255.0</v>
      </c>
      <c r="AT69" s="87">
        <v>77.0</v>
      </c>
      <c r="AU69" s="87">
        <v>1077.0</v>
      </c>
      <c r="AV69" s="87">
        <v>5.0</v>
      </c>
      <c r="AW69" s="87">
        <v>407.0</v>
      </c>
      <c r="AX69" s="87"/>
      <c r="AY69" s="87"/>
      <c r="AZ69" s="87"/>
      <c r="BA69" s="87"/>
      <c r="BB69" s="87">
        <v>2.0</v>
      </c>
      <c r="BC69" s="87"/>
      <c r="BD69" s="87"/>
      <c r="BE69" s="87"/>
      <c r="BF69" s="87">
        <v>1022.0</v>
      </c>
      <c r="BG69" s="87">
        <v>1801.0</v>
      </c>
      <c r="BH69" s="87"/>
      <c r="BI69" s="87">
        <v>18574.0</v>
      </c>
      <c r="BJ69" s="87">
        <v>19.0</v>
      </c>
      <c r="BK69" s="87">
        <v>2798.0</v>
      </c>
      <c r="BL69" s="87">
        <v>6.0</v>
      </c>
      <c r="BM69" s="87"/>
      <c r="BN69" s="87"/>
      <c r="BO69" s="87"/>
      <c r="BP69" s="87">
        <v>2726.0</v>
      </c>
      <c r="BQ69" s="87">
        <v>8.0</v>
      </c>
      <c r="BR69" s="87">
        <v>2.0</v>
      </c>
      <c r="BS69" s="87"/>
      <c r="BT69" s="87">
        <v>9.0</v>
      </c>
      <c r="BU69" s="87">
        <v>2.0</v>
      </c>
      <c r="BV69" s="87">
        <v>68.0</v>
      </c>
      <c r="BW69" s="87"/>
      <c r="BX69" s="87">
        <v>5.0</v>
      </c>
      <c r="BY69" s="87"/>
      <c r="BZ69" s="87"/>
      <c r="CA69" s="87"/>
      <c r="CB69" s="87"/>
      <c r="CC69" s="87">
        <v>1.0</v>
      </c>
      <c r="CD69" s="87">
        <v>2.0</v>
      </c>
      <c r="CE69" s="87"/>
      <c r="CF69" s="87"/>
      <c r="CG69" s="87"/>
      <c r="CH69" s="87">
        <v>2823.0</v>
      </c>
      <c r="CI69" s="87"/>
      <c r="CJ69" s="87">
        <v>224.0</v>
      </c>
      <c r="CK69" s="87">
        <v>1198.0</v>
      </c>
      <c r="CL69" s="87">
        <v>762.0</v>
      </c>
      <c r="CM69" s="87"/>
      <c r="CN69" s="87">
        <v>592.0</v>
      </c>
      <c r="CO69" s="87">
        <v>43.0</v>
      </c>
      <c r="CP69" s="87">
        <v>1.0</v>
      </c>
      <c r="CQ69" s="87">
        <v>1.0</v>
      </c>
      <c r="CR69" s="87">
        <v>2.0</v>
      </c>
      <c r="CS69" s="87"/>
      <c r="CT69" s="87"/>
      <c r="CU69" s="87"/>
      <c r="CV69" s="87"/>
      <c r="CW69" s="87"/>
      <c r="CX69" s="87">
        <v>2823.0</v>
      </c>
      <c r="CY69" s="87"/>
      <c r="CZ69" s="87"/>
      <c r="DA69" s="87"/>
      <c r="DB69" s="87"/>
      <c r="DC69" s="87"/>
      <c r="DD69" s="87"/>
      <c r="DE69" s="87"/>
      <c r="DF69" s="87"/>
      <c r="DG69" s="87"/>
      <c r="DH69" s="87"/>
      <c r="DI69" s="87"/>
      <c r="DJ69" s="87"/>
      <c r="DK69" s="87"/>
      <c r="DL69" s="87"/>
      <c r="DM69" s="87"/>
      <c r="DN69" s="87"/>
      <c r="DO69" s="87">
        <v>105.0</v>
      </c>
      <c r="DP69" s="87"/>
      <c r="DQ69" s="87"/>
      <c r="DR69" s="87"/>
      <c r="DS69" s="87"/>
      <c r="DT69" s="87"/>
      <c r="DU69" s="87"/>
      <c r="DV69" s="87"/>
      <c r="DW69" s="87"/>
      <c r="DX69" s="87"/>
      <c r="DY69" s="87"/>
      <c r="DZ69" s="87"/>
      <c r="EA69" s="87"/>
      <c r="EB69" s="87"/>
      <c r="EC69" s="87"/>
      <c r="ED69" s="87">
        <v>2718.0</v>
      </c>
      <c r="EE69" s="87"/>
      <c r="EF69" s="87">
        <v>2.0</v>
      </c>
      <c r="EG69" s="87">
        <v>83.0</v>
      </c>
      <c r="EH69" s="87"/>
      <c r="EI69" s="87">
        <v>7.0</v>
      </c>
      <c r="EJ69" s="87">
        <v>2731.0</v>
      </c>
      <c r="EK69" s="88"/>
      <c r="EL69" s="88"/>
      <c r="EM69" s="88"/>
      <c r="EN69" s="88"/>
      <c r="EO69" s="88"/>
      <c r="EP69" s="88"/>
      <c r="EQ69" s="90"/>
    </row>
    <row r="70" ht="12.0" customHeight="1">
      <c r="A70" s="89">
        <v>1.06154101E8</v>
      </c>
      <c r="B70" s="89" t="s">
        <v>824</v>
      </c>
      <c r="C70" s="89" t="s">
        <v>772</v>
      </c>
      <c r="D70" s="89" t="s">
        <v>825</v>
      </c>
      <c r="E70" s="89" t="s">
        <v>826</v>
      </c>
      <c r="F70" s="89" t="s">
        <v>782</v>
      </c>
      <c r="G70" s="89" t="s">
        <v>803</v>
      </c>
      <c r="H70" s="89" t="s">
        <v>503</v>
      </c>
      <c r="I70" s="89" t="s">
        <v>543</v>
      </c>
      <c r="J70" s="89" t="s">
        <v>499</v>
      </c>
      <c r="K70" s="89" t="s">
        <v>512</v>
      </c>
      <c r="L70" s="89" t="s">
        <v>784</v>
      </c>
      <c r="M70" s="89" t="s">
        <v>799</v>
      </c>
      <c r="N70" s="89" t="s">
        <v>441</v>
      </c>
      <c r="O70" s="87">
        <v>2095.0</v>
      </c>
      <c r="P70" s="87"/>
      <c r="Q70" s="87"/>
      <c r="R70" s="87"/>
      <c r="S70" s="87"/>
      <c r="T70" s="87"/>
      <c r="U70" s="87">
        <v>1185.0</v>
      </c>
      <c r="V70" s="87">
        <v>910.0</v>
      </c>
      <c r="W70" s="87"/>
      <c r="X70" s="87"/>
      <c r="Y70" s="87"/>
      <c r="Z70" s="87">
        <v>30.0</v>
      </c>
      <c r="AA70" s="87">
        <v>53.0</v>
      </c>
      <c r="AB70" s="87">
        <v>156.0</v>
      </c>
      <c r="AC70" s="87">
        <v>335.0</v>
      </c>
      <c r="AD70" s="87">
        <v>529.0</v>
      </c>
      <c r="AE70" s="87">
        <v>556.0</v>
      </c>
      <c r="AF70" s="87">
        <v>435.0</v>
      </c>
      <c r="AG70" s="87">
        <v>1.0</v>
      </c>
      <c r="AH70" s="87">
        <v>571.0</v>
      </c>
      <c r="AI70" s="87">
        <v>1510.0</v>
      </c>
      <c r="AJ70" s="87">
        <v>14.0</v>
      </c>
      <c r="AK70" s="87">
        <v>12.0</v>
      </c>
      <c r="AL70" s="87">
        <v>94.0</v>
      </c>
      <c r="AM70" s="87"/>
      <c r="AN70" s="87">
        <v>132.0</v>
      </c>
      <c r="AO70" s="87">
        <v>1273.0</v>
      </c>
      <c r="AP70" s="87">
        <v>1.0</v>
      </c>
      <c r="AQ70" s="87">
        <v>583.0</v>
      </c>
      <c r="AR70" s="87"/>
      <c r="AS70" s="87">
        <v>2073.0</v>
      </c>
      <c r="AT70" s="87"/>
      <c r="AU70" s="87">
        <v>21.0</v>
      </c>
      <c r="AV70" s="87"/>
      <c r="AW70" s="87"/>
      <c r="AX70" s="87"/>
      <c r="AY70" s="87"/>
      <c r="AZ70" s="87"/>
      <c r="BA70" s="87"/>
      <c r="BB70" s="87"/>
      <c r="BC70" s="87"/>
      <c r="BD70" s="87">
        <v>1.0</v>
      </c>
      <c r="BE70" s="87">
        <v>1851.0</v>
      </c>
      <c r="BF70" s="87">
        <v>1.0</v>
      </c>
      <c r="BG70" s="87">
        <v>241.0</v>
      </c>
      <c r="BH70" s="87">
        <v>2.0</v>
      </c>
      <c r="BI70" s="87">
        <v>9765.0</v>
      </c>
      <c r="BJ70" s="87">
        <v>1846.0</v>
      </c>
      <c r="BK70" s="87">
        <v>20.0</v>
      </c>
      <c r="BL70" s="87">
        <v>229.0</v>
      </c>
      <c r="BM70" s="87"/>
      <c r="BN70" s="87"/>
      <c r="BO70" s="87"/>
      <c r="BP70" s="87">
        <v>1409.0</v>
      </c>
      <c r="BQ70" s="87">
        <v>42.0</v>
      </c>
      <c r="BR70" s="87">
        <v>24.0</v>
      </c>
      <c r="BS70" s="87">
        <v>175.0</v>
      </c>
      <c r="BT70" s="87">
        <v>1.0</v>
      </c>
      <c r="BU70" s="87"/>
      <c r="BV70" s="87">
        <v>130.0</v>
      </c>
      <c r="BW70" s="87">
        <v>70.0</v>
      </c>
      <c r="BX70" s="87">
        <v>188.0</v>
      </c>
      <c r="BY70" s="87"/>
      <c r="BZ70" s="87"/>
      <c r="CA70" s="87">
        <v>56.0</v>
      </c>
      <c r="CB70" s="87"/>
      <c r="CC70" s="87"/>
      <c r="CD70" s="87"/>
      <c r="CE70" s="87"/>
      <c r="CF70" s="87"/>
      <c r="CG70" s="87">
        <v>70.0</v>
      </c>
      <c r="CH70" s="87">
        <v>2025.0</v>
      </c>
      <c r="CI70" s="87"/>
      <c r="CJ70" s="87">
        <v>1421.0</v>
      </c>
      <c r="CK70" s="87">
        <v>411.0</v>
      </c>
      <c r="CL70" s="87">
        <v>237.0</v>
      </c>
      <c r="CM70" s="87">
        <v>5.0</v>
      </c>
      <c r="CN70" s="87"/>
      <c r="CO70" s="87">
        <v>6.0</v>
      </c>
      <c r="CP70" s="87"/>
      <c r="CQ70" s="87">
        <v>15.0</v>
      </c>
      <c r="CR70" s="87"/>
      <c r="CS70" s="87"/>
      <c r="CT70" s="87">
        <v>269.0</v>
      </c>
      <c r="CU70" s="87">
        <v>31.0</v>
      </c>
      <c r="CV70" s="87">
        <v>15.0</v>
      </c>
      <c r="CW70" s="87">
        <v>89.0</v>
      </c>
      <c r="CX70" s="87">
        <v>3.0</v>
      </c>
      <c r="CY70" s="87">
        <v>29.0</v>
      </c>
      <c r="CZ70" s="87"/>
      <c r="DA70" s="87">
        <v>1.0</v>
      </c>
      <c r="DB70" s="87">
        <v>1039.0</v>
      </c>
      <c r="DC70" s="87">
        <v>173.0</v>
      </c>
      <c r="DD70" s="87">
        <v>107.0</v>
      </c>
      <c r="DE70" s="87">
        <v>57.0</v>
      </c>
      <c r="DF70" s="87">
        <v>24.0</v>
      </c>
      <c r="DG70" s="87">
        <v>162.0</v>
      </c>
      <c r="DH70" s="87"/>
      <c r="DI70" s="87"/>
      <c r="DJ70" s="87">
        <v>1.0</v>
      </c>
      <c r="DK70" s="87">
        <v>32.0</v>
      </c>
      <c r="DL70" s="87">
        <v>59.0</v>
      </c>
      <c r="DM70" s="87">
        <v>4.0</v>
      </c>
      <c r="DN70" s="87"/>
      <c r="DO70" s="87">
        <v>267.0</v>
      </c>
      <c r="DP70" s="87"/>
      <c r="DQ70" s="87">
        <v>750.0</v>
      </c>
      <c r="DR70" s="87">
        <v>111.0</v>
      </c>
      <c r="DS70" s="87">
        <v>1.0</v>
      </c>
      <c r="DT70" s="87">
        <v>1.0</v>
      </c>
      <c r="DU70" s="87"/>
      <c r="DV70" s="87"/>
      <c r="DW70" s="87"/>
      <c r="DX70" s="87">
        <v>24.0</v>
      </c>
      <c r="DY70" s="87">
        <v>33.0</v>
      </c>
      <c r="DZ70" s="87">
        <v>8.0</v>
      </c>
      <c r="EA70" s="87"/>
      <c r="EB70" s="87">
        <v>63.0</v>
      </c>
      <c r="EC70" s="87">
        <v>3.0</v>
      </c>
      <c r="ED70" s="87">
        <v>830.0</v>
      </c>
      <c r="EE70" s="87">
        <v>4.0</v>
      </c>
      <c r="EF70" s="87"/>
      <c r="EG70" s="87">
        <v>44.0</v>
      </c>
      <c r="EH70" s="87"/>
      <c r="EI70" s="87">
        <v>7.0</v>
      </c>
      <c r="EJ70" s="87">
        <v>2044.0</v>
      </c>
      <c r="EK70" s="88"/>
      <c r="EL70" s="88"/>
      <c r="EM70" s="88"/>
      <c r="EN70" s="88"/>
      <c r="EO70" s="88"/>
      <c r="EP70" s="88"/>
      <c r="EQ70" s="90"/>
    </row>
    <row r="71" ht="12.0" customHeight="1">
      <c r="A71" s="89">
        <v>1.0615416E8</v>
      </c>
      <c r="B71" s="89" t="s">
        <v>827</v>
      </c>
      <c r="C71" s="89" t="s">
        <v>772</v>
      </c>
      <c r="D71" s="89" t="s">
        <v>828</v>
      </c>
      <c r="E71" s="89" t="s">
        <v>829</v>
      </c>
      <c r="F71" s="89" t="s">
        <v>782</v>
      </c>
      <c r="G71" s="89" t="s">
        <v>789</v>
      </c>
      <c r="H71" s="89" t="s">
        <v>503</v>
      </c>
      <c r="I71" s="89" t="s">
        <v>543</v>
      </c>
      <c r="J71" s="89" t="s">
        <v>499</v>
      </c>
      <c r="K71" s="89" t="s">
        <v>512</v>
      </c>
      <c r="L71" s="89" t="s">
        <v>777</v>
      </c>
      <c r="M71" s="89" t="s">
        <v>830</v>
      </c>
      <c r="N71" s="89" t="s">
        <v>441</v>
      </c>
      <c r="O71" s="87"/>
      <c r="P71" s="87"/>
      <c r="Q71" s="87">
        <v>308.0</v>
      </c>
      <c r="R71" s="87"/>
      <c r="S71" s="87"/>
      <c r="T71" s="87"/>
      <c r="U71" s="87">
        <v>153.0</v>
      </c>
      <c r="V71" s="87">
        <v>155.0</v>
      </c>
      <c r="W71" s="87"/>
      <c r="X71" s="87"/>
      <c r="Y71" s="87">
        <v>29.0</v>
      </c>
      <c r="Z71" s="87">
        <v>112.0</v>
      </c>
      <c r="AA71" s="87">
        <v>88.0</v>
      </c>
      <c r="AB71" s="87">
        <v>46.0</v>
      </c>
      <c r="AC71" s="87">
        <v>24.0</v>
      </c>
      <c r="AD71" s="87"/>
      <c r="AE71" s="87"/>
      <c r="AF71" s="87"/>
      <c r="AG71" s="87">
        <v>9.0</v>
      </c>
      <c r="AH71" s="87">
        <v>146.0</v>
      </c>
      <c r="AI71" s="87">
        <v>161.0</v>
      </c>
      <c r="AJ71" s="87">
        <v>1.0</v>
      </c>
      <c r="AK71" s="87"/>
      <c r="AL71" s="87"/>
      <c r="AM71" s="87"/>
      <c r="AN71" s="87">
        <v>41.0</v>
      </c>
      <c r="AO71" s="87">
        <v>106.0</v>
      </c>
      <c r="AP71" s="87">
        <v>16.0</v>
      </c>
      <c r="AQ71" s="87">
        <v>145.0</v>
      </c>
      <c r="AR71" s="87"/>
      <c r="AS71" s="87"/>
      <c r="AT71" s="87">
        <v>17.0</v>
      </c>
      <c r="AU71" s="87"/>
      <c r="AV71" s="87"/>
      <c r="AW71" s="87">
        <v>291.0</v>
      </c>
      <c r="AX71" s="87"/>
      <c r="AY71" s="87"/>
      <c r="AZ71" s="87"/>
      <c r="BA71" s="87"/>
      <c r="BB71" s="87"/>
      <c r="BC71" s="87"/>
      <c r="BD71" s="87"/>
      <c r="BE71" s="87"/>
      <c r="BF71" s="87"/>
      <c r="BG71" s="87">
        <v>308.0</v>
      </c>
      <c r="BH71" s="87"/>
      <c r="BI71" s="87">
        <v>5137.0</v>
      </c>
      <c r="BJ71" s="87">
        <v>1.0</v>
      </c>
      <c r="BK71" s="87">
        <v>307.0</v>
      </c>
      <c r="BL71" s="87"/>
      <c r="BM71" s="87"/>
      <c r="BN71" s="87"/>
      <c r="BO71" s="87"/>
      <c r="BP71" s="87">
        <v>263.0</v>
      </c>
      <c r="BQ71" s="87"/>
      <c r="BR71" s="87">
        <v>15.0</v>
      </c>
      <c r="BS71" s="87"/>
      <c r="BT71" s="87">
        <v>28.0</v>
      </c>
      <c r="BU71" s="87"/>
      <c r="BV71" s="87">
        <v>2.0</v>
      </c>
      <c r="BW71" s="87"/>
      <c r="BX71" s="87"/>
      <c r="BY71" s="87"/>
      <c r="BZ71" s="87"/>
      <c r="CA71" s="87"/>
      <c r="CB71" s="87"/>
      <c r="CC71" s="87"/>
      <c r="CD71" s="87"/>
      <c r="CE71" s="87"/>
      <c r="CF71" s="87"/>
      <c r="CG71" s="87"/>
      <c r="CH71" s="87">
        <v>308.0</v>
      </c>
      <c r="CI71" s="87"/>
      <c r="CJ71" s="87"/>
      <c r="CK71" s="87">
        <v>251.0</v>
      </c>
      <c r="CL71" s="87">
        <v>6.0</v>
      </c>
      <c r="CM71" s="87"/>
      <c r="CN71" s="87">
        <v>21.0</v>
      </c>
      <c r="CO71" s="87"/>
      <c r="CP71" s="87"/>
      <c r="CQ71" s="87">
        <v>30.0</v>
      </c>
      <c r="CR71" s="87"/>
      <c r="CS71" s="87"/>
      <c r="CT71" s="87"/>
      <c r="CU71" s="87"/>
      <c r="CV71" s="87"/>
      <c r="CW71" s="87"/>
      <c r="CX71" s="87">
        <v>276.0</v>
      </c>
      <c r="CY71" s="87"/>
      <c r="CZ71" s="87"/>
      <c r="DA71" s="87"/>
      <c r="DB71" s="87"/>
      <c r="DC71" s="87"/>
      <c r="DD71" s="87"/>
      <c r="DE71" s="87"/>
      <c r="DF71" s="87"/>
      <c r="DG71" s="87"/>
      <c r="DH71" s="87"/>
      <c r="DI71" s="87"/>
      <c r="DJ71" s="87"/>
      <c r="DK71" s="87"/>
      <c r="DL71" s="87"/>
      <c r="DM71" s="87">
        <v>19.0</v>
      </c>
      <c r="DN71" s="87">
        <v>13.0</v>
      </c>
      <c r="DO71" s="87"/>
      <c r="DP71" s="87"/>
      <c r="DQ71" s="87"/>
      <c r="DR71" s="87"/>
      <c r="DS71" s="87"/>
      <c r="DT71" s="87"/>
      <c r="DU71" s="87"/>
      <c r="DV71" s="87"/>
      <c r="DW71" s="87"/>
      <c r="DX71" s="87"/>
      <c r="DY71" s="87"/>
      <c r="DZ71" s="87"/>
      <c r="EA71" s="87"/>
      <c r="EB71" s="87"/>
      <c r="EC71" s="87"/>
      <c r="ED71" s="87">
        <v>308.0</v>
      </c>
      <c r="EE71" s="87"/>
      <c r="EF71" s="87"/>
      <c r="EG71" s="87">
        <v>56.0</v>
      </c>
      <c r="EH71" s="87"/>
      <c r="EI71" s="87">
        <v>1.0</v>
      </c>
      <c r="EJ71" s="87">
        <v>251.0</v>
      </c>
      <c r="EK71" s="88"/>
      <c r="EL71" s="88"/>
      <c r="EM71" s="88"/>
      <c r="EN71" s="88"/>
      <c r="EO71" s="88"/>
      <c r="EP71" s="88"/>
      <c r="EQ71" s="90"/>
    </row>
    <row r="72" ht="12.0" customHeight="1">
      <c r="A72" s="89">
        <v>1.06154168E8</v>
      </c>
      <c r="B72" s="89" t="s">
        <v>831</v>
      </c>
      <c r="C72" s="89" t="s">
        <v>772</v>
      </c>
      <c r="D72" s="89" t="s">
        <v>832</v>
      </c>
      <c r="E72" s="89" t="s">
        <v>833</v>
      </c>
      <c r="F72" s="89" t="s">
        <v>834</v>
      </c>
      <c r="G72" s="89" t="s">
        <v>835</v>
      </c>
      <c r="H72" s="89" t="s">
        <v>447</v>
      </c>
      <c r="I72" s="89" t="s">
        <v>543</v>
      </c>
      <c r="J72" s="89" t="s">
        <v>499</v>
      </c>
      <c r="K72" s="89" t="s">
        <v>512</v>
      </c>
      <c r="L72" s="89" t="s">
        <v>784</v>
      </c>
      <c r="M72" s="89" t="s">
        <v>836</v>
      </c>
      <c r="N72" s="89" t="s">
        <v>547</v>
      </c>
      <c r="O72" s="87">
        <v>972.0</v>
      </c>
      <c r="P72" s="87">
        <v>11.0</v>
      </c>
      <c r="Q72" s="87"/>
      <c r="R72" s="87"/>
      <c r="S72" s="87"/>
      <c r="T72" s="87"/>
      <c r="U72" s="87">
        <v>504.0</v>
      </c>
      <c r="V72" s="87">
        <v>479.0</v>
      </c>
      <c r="W72" s="87"/>
      <c r="X72" s="87"/>
      <c r="Y72" s="87"/>
      <c r="Z72" s="87">
        <v>55.0</v>
      </c>
      <c r="AA72" s="87">
        <v>78.0</v>
      </c>
      <c r="AB72" s="87">
        <v>112.0</v>
      </c>
      <c r="AC72" s="87">
        <v>157.0</v>
      </c>
      <c r="AD72" s="87">
        <v>213.0</v>
      </c>
      <c r="AE72" s="87">
        <v>210.0</v>
      </c>
      <c r="AF72" s="87">
        <v>152.0</v>
      </c>
      <c r="AG72" s="87">
        <v>6.0</v>
      </c>
      <c r="AH72" s="87">
        <v>162.0</v>
      </c>
      <c r="AI72" s="87">
        <v>813.0</v>
      </c>
      <c r="AJ72" s="87">
        <v>8.0</v>
      </c>
      <c r="AK72" s="87"/>
      <c r="AL72" s="87"/>
      <c r="AM72" s="87"/>
      <c r="AN72" s="87">
        <v>109.0</v>
      </c>
      <c r="AO72" s="87">
        <v>773.0</v>
      </c>
      <c r="AP72" s="87">
        <v>25.0</v>
      </c>
      <c r="AQ72" s="87">
        <v>76.0</v>
      </c>
      <c r="AR72" s="87"/>
      <c r="AS72" s="87">
        <v>947.0</v>
      </c>
      <c r="AT72" s="87">
        <v>3.0</v>
      </c>
      <c r="AU72" s="87">
        <v>5.0</v>
      </c>
      <c r="AV72" s="87"/>
      <c r="AW72" s="87"/>
      <c r="AX72" s="87">
        <v>4.0</v>
      </c>
      <c r="AY72" s="87"/>
      <c r="AZ72" s="87"/>
      <c r="BA72" s="87">
        <v>24.0</v>
      </c>
      <c r="BB72" s="87"/>
      <c r="BC72" s="87"/>
      <c r="BD72" s="87"/>
      <c r="BE72" s="87">
        <v>961.0</v>
      </c>
      <c r="BF72" s="87">
        <v>6.0</v>
      </c>
      <c r="BG72" s="87">
        <v>11.0</v>
      </c>
      <c r="BH72" s="87">
        <v>5.0</v>
      </c>
      <c r="BI72" s="87">
        <v>3586.0</v>
      </c>
      <c r="BJ72" s="87">
        <v>946.0</v>
      </c>
      <c r="BK72" s="87">
        <v>18.0</v>
      </c>
      <c r="BL72" s="87">
        <v>19.0</v>
      </c>
      <c r="BM72" s="87"/>
      <c r="BN72" s="87"/>
      <c r="BO72" s="87"/>
      <c r="BP72" s="87">
        <v>578.0</v>
      </c>
      <c r="BQ72" s="87">
        <v>81.0</v>
      </c>
      <c r="BR72" s="87">
        <v>16.0</v>
      </c>
      <c r="BS72" s="87">
        <v>69.0</v>
      </c>
      <c r="BT72" s="87"/>
      <c r="BU72" s="87">
        <v>18.0</v>
      </c>
      <c r="BV72" s="87">
        <v>33.0</v>
      </c>
      <c r="BW72" s="87">
        <v>37.0</v>
      </c>
      <c r="BX72" s="87">
        <v>113.0</v>
      </c>
      <c r="BY72" s="87"/>
      <c r="BZ72" s="87"/>
      <c r="CA72" s="87">
        <v>34.0</v>
      </c>
      <c r="CB72" s="87">
        <v>4.0</v>
      </c>
      <c r="CC72" s="87"/>
      <c r="CD72" s="87"/>
      <c r="CE72" s="87"/>
      <c r="CF72" s="87"/>
      <c r="CG72" s="87">
        <v>121.0</v>
      </c>
      <c r="CH72" s="87">
        <v>862.0</v>
      </c>
      <c r="CI72" s="87"/>
      <c r="CJ72" s="87">
        <v>502.0</v>
      </c>
      <c r="CK72" s="87">
        <v>300.0</v>
      </c>
      <c r="CL72" s="87">
        <v>100.0</v>
      </c>
      <c r="CM72" s="87">
        <v>6.0</v>
      </c>
      <c r="CN72" s="87"/>
      <c r="CO72" s="87">
        <v>54.0</v>
      </c>
      <c r="CP72" s="87"/>
      <c r="CQ72" s="87">
        <v>20.0</v>
      </c>
      <c r="CR72" s="87"/>
      <c r="CS72" s="87">
        <v>1.0</v>
      </c>
      <c r="CT72" s="87">
        <v>285.0</v>
      </c>
      <c r="CU72" s="87">
        <v>4.0</v>
      </c>
      <c r="CV72" s="87">
        <v>3.0</v>
      </c>
      <c r="CW72" s="87">
        <v>72.0</v>
      </c>
      <c r="CX72" s="87">
        <v>42.0</v>
      </c>
      <c r="CY72" s="87">
        <v>6.0</v>
      </c>
      <c r="CZ72" s="87"/>
      <c r="DA72" s="87"/>
      <c r="DB72" s="87">
        <v>130.0</v>
      </c>
      <c r="DC72" s="87">
        <v>119.0</v>
      </c>
      <c r="DD72" s="87">
        <v>147.0</v>
      </c>
      <c r="DE72" s="87">
        <v>32.0</v>
      </c>
      <c r="DF72" s="87">
        <v>9.0</v>
      </c>
      <c r="DG72" s="87">
        <v>75.0</v>
      </c>
      <c r="DH72" s="87"/>
      <c r="DI72" s="87"/>
      <c r="DJ72" s="87">
        <v>2.0</v>
      </c>
      <c r="DK72" s="87">
        <v>5.0</v>
      </c>
      <c r="DL72" s="87">
        <v>49.0</v>
      </c>
      <c r="DM72" s="87"/>
      <c r="DN72" s="87">
        <v>3.0</v>
      </c>
      <c r="DO72" s="87">
        <v>469.0</v>
      </c>
      <c r="DP72" s="87"/>
      <c r="DQ72" s="87">
        <v>30.0</v>
      </c>
      <c r="DR72" s="87">
        <v>94.0</v>
      </c>
      <c r="DS72" s="87"/>
      <c r="DT72" s="87"/>
      <c r="DU72" s="87"/>
      <c r="DV72" s="87">
        <v>1.0</v>
      </c>
      <c r="DW72" s="87"/>
      <c r="DX72" s="87">
        <v>12.0</v>
      </c>
      <c r="DY72" s="87">
        <v>9.0</v>
      </c>
      <c r="DZ72" s="87"/>
      <c r="EA72" s="87">
        <v>1.0</v>
      </c>
      <c r="EB72" s="87">
        <v>89.0</v>
      </c>
      <c r="EC72" s="87"/>
      <c r="ED72" s="87">
        <v>217.0</v>
      </c>
      <c r="EE72" s="87">
        <v>61.0</v>
      </c>
      <c r="EF72" s="87">
        <v>3.0</v>
      </c>
      <c r="EG72" s="87">
        <v>11.0</v>
      </c>
      <c r="EH72" s="87"/>
      <c r="EI72" s="87">
        <v>6.0</v>
      </c>
      <c r="EJ72" s="87">
        <v>963.0</v>
      </c>
      <c r="EK72" s="88"/>
      <c r="EL72" s="88"/>
      <c r="EM72" s="88"/>
      <c r="EN72" s="88"/>
      <c r="EO72" s="88"/>
      <c r="EP72" s="88"/>
      <c r="EQ72" s="90"/>
    </row>
    <row r="73" ht="12.0" customHeight="1">
      <c r="A73" s="89">
        <v>1.06164029E8</v>
      </c>
      <c r="B73" s="89" t="s">
        <v>837</v>
      </c>
      <c r="C73" s="89" t="s">
        <v>838</v>
      </c>
      <c r="D73" s="89" t="s">
        <v>839</v>
      </c>
      <c r="E73" s="89" t="s">
        <v>840</v>
      </c>
      <c r="F73" s="89" t="s">
        <v>841</v>
      </c>
      <c r="G73" s="89" t="s">
        <v>842</v>
      </c>
      <c r="H73" s="89" t="s">
        <v>447</v>
      </c>
      <c r="I73" s="89" t="s">
        <v>543</v>
      </c>
      <c r="J73" s="89" t="s">
        <v>457</v>
      </c>
      <c r="K73" s="89" t="s">
        <v>591</v>
      </c>
      <c r="L73" s="89" t="s">
        <v>777</v>
      </c>
      <c r="M73" s="89" t="s">
        <v>843</v>
      </c>
      <c r="N73" s="89" t="s">
        <v>441</v>
      </c>
      <c r="O73" s="87">
        <v>11643.0</v>
      </c>
      <c r="P73" s="87"/>
      <c r="Q73" s="87"/>
      <c r="R73" s="87"/>
      <c r="S73" s="87"/>
      <c r="T73" s="87"/>
      <c r="U73" s="87">
        <v>4710.0</v>
      </c>
      <c r="V73" s="87">
        <v>6932.0</v>
      </c>
      <c r="W73" s="87">
        <v>1.0</v>
      </c>
      <c r="X73" s="87">
        <v>2272.0</v>
      </c>
      <c r="Y73" s="87">
        <v>190.0</v>
      </c>
      <c r="Z73" s="87">
        <v>1679.0</v>
      </c>
      <c r="AA73" s="87">
        <v>1498.0</v>
      </c>
      <c r="AB73" s="87">
        <v>840.0</v>
      </c>
      <c r="AC73" s="87">
        <v>1140.0</v>
      </c>
      <c r="AD73" s="87">
        <v>1477.0</v>
      </c>
      <c r="AE73" s="87">
        <v>1369.0</v>
      </c>
      <c r="AF73" s="87">
        <v>1178.0</v>
      </c>
      <c r="AG73" s="87"/>
      <c r="AH73" s="87">
        <v>6655.0</v>
      </c>
      <c r="AI73" s="87">
        <v>4690.0</v>
      </c>
      <c r="AJ73" s="87">
        <v>298.0</v>
      </c>
      <c r="AK73" s="87">
        <v>54.0</v>
      </c>
      <c r="AL73" s="87">
        <v>190.0</v>
      </c>
      <c r="AM73" s="87">
        <v>19.0</v>
      </c>
      <c r="AN73" s="87">
        <v>507.0</v>
      </c>
      <c r="AO73" s="87">
        <v>9979.0</v>
      </c>
      <c r="AP73" s="87">
        <v>310.0</v>
      </c>
      <c r="AQ73" s="87">
        <v>572.0</v>
      </c>
      <c r="AR73" s="87">
        <v>12.0</v>
      </c>
      <c r="AS73" s="87">
        <v>8006.0</v>
      </c>
      <c r="AT73" s="87">
        <v>324.0</v>
      </c>
      <c r="AU73" s="87">
        <v>714.0</v>
      </c>
      <c r="AV73" s="87">
        <v>211.0</v>
      </c>
      <c r="AW73" s="87"/>
      <c r="AX73" s="87">
        <v>37.0</v>
      </c>
      <c r="AY73" s="87">
        <v>9.0</v>
      </c>
      <c r="AZ73" s="87"/>
      <c r="BA73" s="87">
        <v>82.0</v>
      </c>
      <c r="BB73" s="87"/>
      <c r="BC73" s="87">
        <v>2260.0</v>
      </c>
      <c r="BD73" s="87"/>
      <c r="BE73" s="87">
        <v>5965.0</v>
      </c>
      <c r="BF73" s="87">
        <v>359.0</v>
      </c>
      <c r="BG73" s="87">
        <v>5297.0</v>
      </c>
      <c r="BH73" s="87">
        <v>22.0</v>
      </c>
      <c r="BI73" s="87">
        <v>50484.0</v>
      </c>
      <c r="BJ73" s="87">
        <v>5629.0</v>
      </c>
      <c r="BK73" s="87">
        <v>1036.0</v>
      </c>
      <c r="BL73" s="87">
        <v>2703.0</v>
      </c>
      <c r="BM73" s="87">
        <v>2260.0</v>
      </c>
      <c r="BN73" s="87">
        <v>15.0</v>
      </c>
      <c r="BO73" s="87"/>
      <c r="BP73" s="87">
        <v>7460.0</v>
      </c>
      <c r="BQ73" s="87">
        <v>266.0</v>
      </c>
      <c r="BR73" s="87">
        <v>54.0</v>
      </c>
      <c r="BS73" s="87">
        <v>939.0</v>
      </c>
      <c r="BT73" s="87">
        <v>7.0</v>
      </c>
      <c r="BU73" s="87">
        <v>82.0</v>
      </c>
      <c r="BV73" s="87">
        <v>253.0</v>
      </c>
      <c r="BW73" s="87">
        <v>313.0</v>
      </c>
      <c r="BX73" s="87">
        <v>1946.0</v>
      </c>
      <c r="BY73" s="87"/>
      <c r="BZ73" s="87">
        <v>90.0</v>
      </c>
      <c r="CA73" s="87">
        <v>216.0</v>
      </c>
      <c r="CB73" s="87">
        <v>3.0</v>
      </c>
      <c r="CC73" s="87"/>
      <c r="CD73" s="87">
        <v>3.0</v>
      </c>
      <c r="CE73" s="87">
        <v>6.0</v>
      </c>
      <c r="CF73" s="87">
        <v>5.0</v>
      </c>
      <c r="CG73" s="87">
        <v>967.0</v>
      </c>
      <c r="CH73" s="87">
        <v>10676.0</v>
      </c>
      <c r="CI73" s="87"/>
      <c r="CJ73" s="87">
        <v>3016.0</v>
      </c>
      <c r="CK73" s="87">
        <v>4926.0</v>
      </c>
      <c r="CL73" s="87">
        <v>2673.0</v>
      </c>
      <c r="CM73" s="87">
        <v>10.0</v>
      </c>
      <c r="CN73" s="87"/>
      <c r="CO73" s="87">
        <v>860.0</v>
      </c>
      <c r="CP73" s="87"/>
      <c r="CQ73" s="87">
        <v>156.0</v>
      </c>
      <c r="CR73" s="87"/>
      <c r="CS73" s="87">
        <v>2.0</v>
      </c>
      <c r="CT73" s="87">
        <v>1469.0</v>
      </c>
      <c r="CU73" s="87">
        <v>126.0</v>
      </c>
      <c r="CV73" s="87">
        <v>37.0</v>
      </c>
      <c r="CW73" s="87">
        <v>785.0</v>
      </c>
      <c r="CX73" s="87">
        <v>104.0</v>
      </c>
      <c r="CY73" s="87">
        <v>219.0</v>
      </c>
      <c r="CZ73" s="87">
        <v>4.0</v>
      </c>
      <c r="DA73" s="87">
        <v>3.0</v>
      </c>
      <c r="DB73" s="87">
        <v>1022.0</v>
      </c>
      <c r="DC73" s="87">
        <v>620.0</v>
      </c>
      <c r="DD73" s="87">
        <v>1066.0</v>
      </c>
      <c r="DE73" s="87">
        <v>99.0</v>
      </c>
      <c r="DF73" s="87">
        <v>176.0</v>
      </c>
      <c r="DG73" s="87">
        <v>546.0</v>
      </c>
      <c r="DH73" s="87">
        <v>2413.0</v>
      </c>
      <c r="DI73" s="87">
        <v>2272.0</v>
      </c>
      <c r="DJ73" s="87">
        <v>2.0</v>
      </c>
      <c r="DK73" s="87">
        <v>104.0</v>
      </c>
      <c r="DL73" s="87">
        <v>528.0</v>
      </c>
      <c r="DM73" s="87">
        <v>46.0</v>
      </c>
      <c r="DN73" s="87">
        <v>2.0</v>
      </c>
      <c r="DO73" s="87">
        <v>3327.0</v>
      </c>
      <c r="DP73" s="87">
        <v>2312.0</v>
      </c>
      <c r="DQ73" s="87">
        <v>612.0</v>
      </c>
      <c r="DR73" s="87">
        <v>923.0</v>
      </c>
      <c r="DS73" s="87">
        <v>1.0</v>
      </c>
      <c r="DT73" s="87">
        <v>30.0</v>
      </c>
      <c r="DU73" s="87">
        <v>1.0</v>
      </c>
      <c r="DV73" s="87">
        <v>83.0</v>
      </c>
      <c r="DW73" s="87">
        <v>13.0</v>
      </c>
      <c r="DX73" s="87">
        <v>237.0</v>
      </c>
      <c r="DY73" s="87">
        <v>508.0</v>
      </c>
      <c r="DZ73" s="87">
        <v>77.0</v>
      </c>
      <c r="EA73" s="87">
        <v>125.0</v>
      </c>
      <c r="EB73" s="87">
        <v>240.0</v>
      </c>
      <c r="EC73" s="87">
        <v>55.0</v>
      </c>
      <c r="ED73" s="87">
        <v>2852.0</v>
      </c>
      <c r="EE73" s="87">
        <v>247.0</v>
      </c>
      <c r="EF73" s="87">
        <v>9.0</v>
      </c>
      <c r="EG73" s="87">
        <v>110.0</v>
      </c>
      <c r="EH73" s="87"/>
      <c r="EI73" s="87">
        <v>47.0</v>
      </c>
      <c r="EJ73" s="87">
        <v>11477.0</v>
      </c>
      <c r="EK73" s="88"/>
      <c r="EL73" s="88"/>
      <c r="EM73" s="88"/>
      <c r="EN73" s="88"/>
      <c r="EO73" s="88"/>
      <c r="EP73" s="88"/>
      <c r="EQ73" s="90"/>
    </row>
    <row r="74" ht="12.0" customHeight="1">
      <c r="A74" s="89">
        <v>1.06171049E8</v>
      </c>
      <c r="B74" s="89" t="s">
        <v>844</v>
      </c>
      <c r="C74" s="89" t="s">
        <v>845</v>
      </c>
      <c r="D74" s="89" t="s">
        <v>846</v>
      </c>
      <c r="E74" s="89" t="s">
        <v>847</v>
      </c>
      <c r="F74" s="89" t="s">
        <v>848</v>
      </c>
      <c r="G74" s="89" t="s">
        <v>849</v>
      </c>
      <c r="H74" s="89" t="s">
        <v>447</v>
      </c>
      <c r="I74" s="89" t="s">
        <v>543</v>
      </c>
      <c r="J74" s="89" t="s">
        <v>499</v>
      </c>
      <c r="K74" s="89" t="s">
        <v>637</v>
      </c>
      <c r="L74" s="89" t="s">
        <v>554</v>
      </c>
      <c r="M74" s="89" t="s">
        <v>850</v>
      </c>
      <c r="N74" s="89" t="s">
        <v>547</v>
      </c>
      <c r="O74" s="87">
        <v>1280.0</v>
      </c>
      <c r="P74" s="87">
        <v>58.0</v>
      </c>
      <c r="Q74" s="87"/>
      <c r="R74" s="87"/>
      <c r="S74" s="87"/>
      <c r="T74" s="87"/>
      <c r="U74" s="87">
        <v>610.0</v>
      </c>
      <c r="V74" s="87">
        <v>728.0</v>
      </c>
      <c r="W74" s="87"/>
      <c r="X74" s="87">
        <v>161.0</v>
      </c>
      <c r="Y74" s="87">
        <v>17.0</v>
      </c>
      <c r="Z74" s="87">
        <v>122.0</v>
      </c>
      <c r="AA74" s="87">
        <v>106.0</v>
      </c>
      <c r="AB74" s="87">
        <v>87.0</v>
      </c>
      <c r="AC74" s="87">
        <v>129.0</v>
      </c>
      <c r="AD74" s="87">
        <v>268.0</v>
      </c>
      <c r="AE74" s="87">
        <v>229.0</v>
      </c>
      <c r="AF74" s="87">
        <v>219.0</v>
      </c>
      <c r="AG74" s="87"/>
      <c r="AH74" s="87">
        <v>226.0</v>
      </c>
      <c r="AI74" s="87">
        <v>1089.0</v>
      </c>
      <c r="AJ74" s="87">
        <v>23.0</v>
      </c>
      <c r="AK74" s="87">
        <v>18.0</v>
      </c>
      <c r="AL74" s="87"/>
      <c r="AM74" s="87"/>
      <c r="AN74" s="87">
        <v>50.0</v>
      </c>
      <c r="AO74" s="87">
        <v>953.0</v>
      </c>
      <c r="AP74" s="87">
        <v>127.0</v>
      </c>
      <c r="AQ74" s="87">
        <v>190.0</v>
      </c>
      <c r="AR74" s="87"/>
      <c r="AS74" s="87">
        <v>1067.0</v>
      </c>
      <c r="AT74" s="87">
        <v>28.0</v>
      </c>
      <c r="AU74" s="87">
        <v>10.0</v>
      </c>
      <c r="AV74" s="87">
        <v>25.0</v>
      </c>
      <c r="AW74" s="87"/>
      <c r="AX74" s="87">
        <v>52.0</v>
      </c>
      <c r="AY74" s="87"/>
      <c r="AZ74" s="87"/>
      <c r="BA74" s="87"/>
      <c r="BB74" s="87">
        <v>2.0</v>
      </c>
      <c r="BC74" s="87">
        <v>154.0</v>
      </c>
      <c r="BD74" s="87"/>
      <c r="BE74" s="87">
        <v>931.0</v>
      </c>
      <c r="BF74" s="87">
        <v>2.0</v>
      </c>
      <c r="BG74" s="87">
        <v>405.0</v>
      </c>
      <c r="BH74" s="87"/>
      <c r="BI74" s="87">
        <v>6389.0</v>
      </c>
      <c r="BJ74" s="87">
        <v>676.0</v>
      </c>
      <c r="BK74" s="87">
        <v>360.0</v>
      </c>
      <c r="BL74" s="87">
        <v>143.0</v>
      </c>
      <c r="BM74" s="87">
        <v>154.0</v>
      </c>
      <c r="BN74" s="87">
        <v>3.0</v>
      </c>
      <c r="BO74" s="87">
        <v>2.0</v>
      </c>
      <c r="BP74" s="87">
        <v>784.0</v>
      </c>
      <c r="BQ74" s="87">
        <v>70.0</v>
      </c>
      <c r="BR74" s="87">
        <v>2.0</v>
      </c>
      <c r="BS74" s="87">
        <v>190.0</v>
      </c>
      <c r="BT74" s="87">
        <v>2.0</v>
      </c>
      <c r="BU74" s="87"/>
      <c r="BV74" s="87">
        <v>65.0</v>
      </c>
      <c r="BW74" s="87">
        <v>37.0</v>
      </c>
      <c r="BX74" s="87">
        <v>173.0</v>
      </c>
      <c r="BY74" s="87"/>
      <c r="BZ74" s="87"/>
      <c r="CA74" s="87">
        <v>13.0</v>
      </c>
      <c r="CB74" s="87">
        <v>2.0</v>
      </c>
      <c r="CC74" s="87"/>
      <c r="CD74" s="87"/>
      <c r="CE74" s="87"/>
      <c r="CF74" s="87"/>
      <c r="CG74" s="87">
        <v>147.0</v>
      </c>
      <c r="CH74" s="87">
        <v>1191.0</v>
      </c>
      <c r="CI74" s="87"/>
      <c r="CJ74" s="87">
        <v>553.0</v>
      </c>
      <c r="CK74" s="87">
        <v>492.0</v>
      </c>
      <c r="CL74" s="87">
        <v>226.0</v>
      </c>
      <c r="CM74" s="87"/>
      <c r="CN74" s="87"/>
      <c r="CO74" s="87">
        <v>55.0</v>
      </c>
      <c r="CP74" s="87"/>
      <c r="CQ74" s="87">
        <v>12.0</v>
      </c>
      <c r="CR74" s="87"/>
      <c r="CS74" s="87"/>
      <c r="CT74" s="87">
        <v>231.0</v>
      </c>
      <c r="CU74" s="87">
        <v>16.0</v>
      </c>
      <c r="CV74" s="87">
        <v>4.0</v>
      </c>
      <c r="CW74" s="87">
        <v>63.0</v>
      </c>
      <c r="CX74" s="87">
        <v>14.0</v>
      </c>
      <c r="CY74" s="87">
        <v>30.0</v>
      </c>
      <c r="CZ74" s="87">
        <v>1.0</v>
      </c>
      <c r="DA74" s="87"/>
      <c r="DB74" s="87">
        <v>149.0</v>
      </c>
      <c r="DC74" s="87">
        <v>144.0</v>
      </c>
      <c r="DD74" s="87">
        <v>133.0</v>
      </c>
      <c r="DE74" s="87">
        <v>57.0</v>
      </c>
      <c r="DF74" s="87">
        <v>14.0</v>
      </c>
      <c r="DG74" s="87">
        <v>59.0</v>
      </c>
      <c r="DH74" s="87">
        <v>169.0</v>
      </c>
      <c r="DI74" s="87">
        <v>161.0</v>
      </c>
      <c r="DJ74" s="87"/>
      <c r="DK74" s="87">
        <v>10.0</v>
      </c>
      <c r="DL74" s="87">
        <v>69.0</v>
      </c>
      <c r="DM74" s="87">
        <v>13.0</v>
      </c>
      <c r="DN74" s="87">
        <v>1.0</v>
      </c>
      <c r="DO74" s="87">
        <v>487.0</v>
      </c>
      <c r="DP74" s="87">
        <v>163.0</v>
      </c>
      <c r="DQ74" s="87">
        <v>16.0</v>
      </c>
      <c r="DR74" s="87">
        <v>81.0</v>
      </c>
      <c r="DS74" s="87"/>
      <c r="DT74" s="87"/>
      <c r="DU74" s="87"/>
      <c r="DV74" s="87">
        <v>5.0</v>
      </c>
      <c r="DW74" s="87">
        <v>1.0</v>
      </c>
      <c r="DX74" s="87">
        <v>25.0</v>
      </c>
      <c r="DY74" s="87">
        <v>21.0</v>
      </c>
      <c r="DZ74" s="87">
        <v>2.0</v>
      </c>
      <c r="EA74" s="87">
        <v>5.0</v>
      </c>
      <c r="EB74" s="87">
        <v>63.0</v>
      </c>
      <c r="EC74" s="87">
        <v>1.0</v>
      </c>
      <c r="ED74" s="87">
        <v>433.0</v>
      </c>
      <c r="EE74" s="87">
        <v>35.0</v>
      </c>
      <c r="EF74" s="87">
        <v>4.0</v>
      </c>
      <c r="EG74" s="87">
        <v>38.0</v>
      </c>
      <c r="EH74" s="87"/>
      <c r="EI74" s="87">
        <v>5.0</v>
      </c>
      <c r="EJ74" s="87">
        <v>1291.0</v>
      </c>
      <c r="EK74" s="88"/>
      <c r="EL74" s="88"/>
      <c r="EM74" s="88"/>
      <c r="EN74" s="88"/>
      <c r="EO74" s="88"/>
      <c r="EP74" s="88"/>
      <c r="EQ74" s="90"/>
    </row>
    <row r="75" ht="12.0" customHeight="1">
      <c r="A75" s="89">
        <v>1.06171395E8</v>
      </c>
      <c r="B75" s="89" t="s">
        <v>851</v>
      </c>
      <c r="C75" s="89" t="s">
        <v>845</v>
      </c>
      <c r="D75" s="89" t="s">
        <v>852</v>
      </c>
      <c r="E75" s="89" t="s">
        <v>853</v>
      </c>
      <c r="F75" s="89" t="s">
        <v>854</v>
      </c>
      <c r="G75" s="89" t="s">
        <v>855</v>
      </c>
      <c r="H75" s="89" t="s">
        <v>447</v>
      </c>
      <c r="I75" s="89" t="s">
        <v>543</v>
      </c>
      <c r="J75" s="89" t="s">
        <v>499</v>
      </c>
      <c r="K75" s="89" t="s">
        <v>637</v>
      </c>
      <c r="L75" s="89" t="s">
        <v>554</v>
      </c>
      <c r="M75" s="89" t="s">
        <v>856</v>
      </c>
      <c r="N75" s="89" t="s">
        <v>547</v>
      </c>
      <c r="O75" s="87">
        <v>1773.0</v>
      </c>
      <c r="P75" s="87">
        <v>83.0</v>
      </c>
      <c r="Q75" s="87"/>
      <c r="R75" s="87"/>
      <c r="S75" s="87"/>
      <c r="T75" s="87"/>
      <c r="U75" s="87">
        <v>747.0</v>
      </c>
      <c r="V75" s="87">
        <v>1109.0</v>
      </c>
      <c r="W75" s="87"/>
      <c r="X75" s="87">
        <v>261.0</v>
      </c>
      <c r="Y75" s="87">
        <v>29.0</v>
      </c>
      <c r="Z75" s="87">
        <v>172.0</v>
      </c>
      <c r="AA75" s="87">
        <v>182.0</v>
      </c>
      <c r="AB75" s="87">
        <v>123.0</v>
      </c>
      <c r="AC75" s="87">
        <v>144.0</v>
      </c>
      <c r="AD75" s="87">
        <v>310.0</v>
      </c>
      <c r="AE75" s="87">
        <v>337.0</v>
      </c>
      <c r="AF75" s="87">
        <v>298.0</v>
      </c>
      <c r="AG75" s="87"/>
      <c r="AH75" s="87">
        <v>281.0</v>
      </c>
      <c r="AI75" s="87">
        <v>1546.0</v>
      </c>
      <c r="AJ75" s="87">
        <v>29.0</v>
      </c>
      <c r="AK75" s="87">
        <v>108.0</v>
      </c>
      <c r="AL75" s="87">
        <v>16.0</v>
      </c>
      <c r="AM75" s="87"/>
      <c r="AN75" s="87">
        <v>23.0</v>
      </c>
      <c r="AO75" s="87">
        <v>1467.0</v>
      </c>
      <c r="AP75" s="87">
        <v>8.0</v>
      </c>
      <c r="AQ75" s="87">
        <v>179.0</v>
      </c>
      <c r="AR75" s="87">
        <v>55.0</v>
      </c>
      <c r="AS75" s="87">
        <v>1462.0</v>
      </c>
      <c r="AT75" s="87">
        <v>17.0</v>
      </c>
      <c r="AU75" s="87">
        <v>72.0</v>
      </c>
      <c r="AV75" s="87">
        <v>25.0</v>
      </c>
      <c r="AW75" s="87">
        <v>1.0</v>
      </c>
      <c r="AX75" s="87">
        <v>28.0</v>
      </c>
      <c r="AY75" s="87">
        <v>1.0</v>
      </c>
      <c r="AZ75" s="87"/>
      <c r="BA75" s="87">
        <v>1.0</v>
      </c>
      <c r="BB75" s="87"/>
      <c r="BC75" s="87">
        <v>249.0</v>
      </c>
      <c r="BD75" s="87"/>
      <c r="BE75" s="87">
        <v>1156.0</v>
      </c>
      <c r="BF75" s="87">
        <v>8.0</v>
      </c>
      <c r="BG75" s="87">
        <v>692.0</v>
      </c>
      <c r="BH75" s="87"/>
      <c r="BI75" s="87">
        <v>6971.0</v>
      </c>
      <c r="BJ75" s="87">
        <v>658.0</v>
      </c>
      <c r="BK75" s="87">
        <v>511.0</v>
      </c>
      <c r="BL75" s="87">
        <v>330.0</v>
      </c>
      <c r="BM75" s="87">
        <v>249.0</v>
      </c>
      <c r="BN75" s="87">
        <v>108.0</v>
      </c>
      <c r="BO75" s="87"/>
      <c r="BP75" s="87">
        <v>1070.0</v>
      </c>
      <c r="BQ75" s="87">
        <v>154.0</v>
      </c>
      <c r="BR75" s="87">
        <v>3.0</v>
      </c>
      <c r="BS75" s="87">
        <v>241.0</v>
      </c>
      <c r="BT75" s="87">
        <v>3.0</v>
      </c>
      <c r="BU75" s="87">
        <v>1.0</v>
      </c>
      <c r="BV75" s="87">
        <v>42.0</v>
      </c>
      <c r="BW75" s="87">
        <v>51.0</v>
      </c>
      <c r="BX75" s="87">
        <v>248.0</v>
      </c>
      <c r="BY75" s="87"/>
      <c r="BZ75" s="87"/>
      <c r="CA75" s="87">
        <v>37.0</v>
      </c>
      <c r="CB75" s="87"/>
      <c r="CC75" s="87"/>
      <c r="CD75" s="87">
        <v>6.0</v>
      </c>
      <c r="CE75" s="87"/>
      <c r="CF75" s="87"/>
      <c r="CG75" s="87">
        <v>195.0</v>
      </c>
      <c r="CH75" s="87">
        <v>1661.0</v>
      </c>
      <c r="CI75" s="87"/>
      <c r="CJ75" s="87">
        <v>831.0</v>
      </c>
      <c r="CK75" s="87">
        <v>682.0</v>
      </c>
      <c r="CL75" s="87">
        <v>237.0</v>
      </c>
      <c r="CM75" s="87">
        <v>2.0</v>
      </c>
      <c r="CN75" s="87"/>
      <c r="CO75" s="87">
        <v>61.0</v>
      </c>
      <c r="CP75" s="87"/>
      <c r="CQ75" s="87">
        <v>43.0</v>
      </c>
      <c r="CR75" s="87"/>
      <c r="CS75" s="87"/>
      <c r="CT75" s="87">
        <v>264.0</v>
      </c>
      <c r="CU75" s="87">
        <v>41.0</v>
      </c>
      <c r="CV75" s="87">
        <v>16.0</v>
      </c>
      <c r="CW75" s="87">
        <v>93.0</v>
      </c>
      <c r="CX75" s="87">
        <v>13.0</v>
      </c>
      <c r="CY75" s="87">
        <v>32.0</v>
      </c>
      <c r="CZ75" s="87">
        <v>1.0</v>
      </c>
      <c r="DA75" s="87"/>
      <c r="DB75" s="87">
        <v>177.0</v>
      </c>
      <c r="DC75" s="87">
        <v>119.0</v>
      </c>
      <c r="DD75" s="87">
        <v>215.0</v>
      </c>
      <c r="DE75" s="87">
        <v>55.0</v>
      </c>
      <c r="DF75" s="87">
        <v>59.0</v>
      </c>
      <c r="DG75" s="87">
        <v>65.0</v>
      </c>
      <c r="DH75" s="87">
        <v>268.0</v>
      </c>
      <c r="DI75" s="87">
        <v>260.0</v>
      </c>
      <c r="DJ75" s="87">
        <v>1.0</v>
      </c>
      <c r="DK75" s="87">
        <v>18.0</v>
      </c>
      <c r="DL75" s="87">
        <v>151.0</v>
      </c>
      <c r="DM75" s="87">
        <v>8.0</v>
      </c>
      <c r="DN75" s="87"/>
      <c r="DO75" s="87">
        <v>216.0</v>
      </c>
      <c r="DP75" s="87">
        <v>245.0</v>
      </c>
      <c r="DQ75" s="87">
        <v>19.0</v>
      </c>
      <c r="DR75" s="87">
        <v>140.0</v>
      </c>
      <c r="DS75" s="87">
        <v>1.0</v>
      </c>
      <c r="DT75" s="87"/>
      <c r="DU75" s="87">
        <v>1.0</v>
      </c>
      <c r="DV75" s="87">
        <v>10.0</v>
      </c>
      <c r="DW75" s="87">
        <v>3.0</v>
      </c>
      <c r="DX75" s="87">
        <v>35.0</v>
      </c>
      <c r="DY75" s="87">
        <v>137.0</v>
      </c>
      <c r="DZ75" s="87">
        <v>6.0</v>
      </c>
      <c r="EA75" s="87">
        <v>4.0</v>
      </c>
      <c r="EB75" s="87">
        <v>19.0</v>
      </c>
      <c r="EC75" s="87">
        <v>4.0</v>
      </c>
      <c r="ED75" s="87">
        <v>971.0</v>
      </c>
      <c r="EE75" s="87">
        <v>45.0</v>
      </c>
      <c r="EF75" s="87"/>
      <c r="EG75" s="87">
        <v>23.0</v>
      </c>
      <c r="EH75" s="87"/>
      <c r="EI75" s="87">
        <v>9.0</v>
      </c>
      <c r="EJ75" s="87">
        <v>1824.0</v>
      </c>
      <c r="EK75" s="88"/>
      <c r="EL75" s="88"/>
      <c r="EM75" s="88"/>
      <c r="EN75" s="88"/>
      <c r="EO75" s="88"/>
      <c r="EP75" s="88"/>
      <c r="EQ75" s="90"/>
    </row>
    <row r="76" ht="12.0" customHeight="1">
      <c r="A76" s="89">
        <v>1.06184008E8</v>
      </c>
      <c r="B76" s="89" t="s">
        <v>857</v>
      </c>
      <c r="C76" s="89" t="s">
        <v>858</v>
      </c>
      <c r="D76" s="89" t="s">
        <v>859</v>
      </c>
      <c r="E76" s="89" t="s">
        <v>860</v>
      </c>
      <c r="F76" s="89" t="s">
        <v>861</v>
      </c>
      <c r="G76" s="89" t="s">
        <v>862</v>
      </c>
      <c r="H76" s="89" t="s">
        <v>447</v>
      </c>
      <c r="I76" s="89" t="s">
        <v>543</v>
      </c>
      <c r="J76" s="89" t="s">
        <v>499</v>
      </c>
      <c r="K76" s="89" t="s">
        <v>645</v>
      </c>
      <c r="L76" s="89" t="s">
        <v>645</v>
      </c>
      <c r="M76" s="89" t="s">
        <v>863</v>
      </c>
      <c r="N76" s="89" t="s">
        <v>547</v>
      </c>
      <c r="O76" s="87">
        <v>1020.0</v>
      </c>
      <c r="P76" s="87"/>
      <c r="Q76" s="87"/>
      <c r="R76" s="87"/>
      <c r="S76" s="87"/>
      <c r="T76" s="87"/>
      <c r="U76" s="87">
        <v>410.0</v>
      </c>
      <c r="V76" s="87">
        <v>610.0</v>
      </c>
      <c r="W76" s="87"/>
      <c r="X76" s="87">
        <v>219.0</v>
      </c>
      <c r="Y76" s="87">
        <v>19.0</v>
      </c>
      <c r="Z76" s="87">
        <v>159.0</v>
      </c>
      <c r="AA76" s="87">
        <v>99.0</v>
      </c>
      <c r="AB76" s="87">
        <v>49.0</v>
      </c>
      <c r="AC76" s="87">
        <v>76.0</v>
      </c>
      <c r="AD76" s="87">
        <v>114.0</v>
      </c>
      <c r="AE76" s="87">
        <v>134.0</v>
      </c>
      <c r="AF76" s="87">
        <v>151.0</v>
      </c>
      <c r="AG76" s="87"/>
      <c r="AH76" s="87">
        <v>87.0</v>
      </c>
      <c r="AI76" s="87">
        <v>933.0</v>
      </c>
      <c r="AJ76" s="87"/>
      <c r="AK76" s="87">
        <v>18.0</v>
      </c>
      <c r="AL76" s="87"/>
      <c r="AM76" s="87"/>
      <c r="AN76" s="87">
        <v>13.0</v>
      </c>
      <c r="AO76" s="87">
        <v>902.0</v>
      </c>
      <c r="AP76" s="87">
        <v>21.0</v>
      </c>
      <c r="AQ76" s="87">
        <v>66.0</v>
      </c>
      <c r="AR76" s="87"/>
      <c r="AS76" s="87">
        <v>608.0</v>
      </c>
      <c r="AT76" s="87">
        <v>203.0</v>
      </c>
      <c r="AU76" s="87"/>
      <c r="AV76" s="87"/>
      <c r="AW76" s="87"/>
      <c r="AX76" s="87"/>
      <c r="AY76" s="87"/>
      <c r="AZ76" s="87"/>
      <c r="BA76" s="87">
        <v>11.0</v>
      </c>
      <c r="BB76" s="87"/>
      <c r="BC76" s="87">
        <v>198.0</v>
      </c>
      <c r="BD76" s="87"/>
      <c r="BE76" s="87">
        <v>604.0</v>
      </c>
      <c r="BF76" s="87"/>
      <c r="BG76" s="87">
        <v>416.0</v>
      </c>
      <c r="BH76" s="87"/>
      <c r="BI76" s="87">
        <v>3581.0</v>
      </c>
      <c r="BJ76" s="87">
        <v>579.0</v>
      </c>
      <c r="BK76" s="87">
        <v>73.0</v>
      </c>
      <c r="BL76" s="87">
        <v>170.0</v>
      </c>
      <c r="BM76" s="87">
        <v>198.0</v>
      </c>
      <c r="BN76" s="87"/>
      <c r="BO76" s="87"/>
      <c r="BP76" s="87">
        <v>779.0</v>
      </c>
      <c r="BQ76" s="87">
        <v>4.0</v>
      </c>
      <c r="BR76" s="87">
        <v>4.0</v>
      </c>
      <c r="BS76" s="87">
        <v>1.0</v>
      </c>
      <c r="BT76" s="87"/>
      <c r="BU76" s="87">
        <v>30.0</v>
      </c>
      <c r="BV76" s="87">
        <v>117.0</v>
      </c>
      <c r="BW76" s="87">
        <v>37.0</v>
      </c>
      <c r="BX76" s="87">
        <v>6.0</v>
      </c>
      <c r="BY76" s="87"/>
      <c r="BZ76" s="87">
        <v>40.0</v>
      </c>
      <c r="CA76" s="87">
        <v>2.0</v>
      </c>
      <c r="CB76" s="87"/>
      <c r="CC76" s="87"/>
      <c r="CD76" s="87"/>
      <c r="CE76" s="87"/>
      <c r="CF76" s="87"/>
      <c r="CG76" s="87">
        <v>161.0</v>
      </c>
      <c r="CH76" s="87">
        <v>859.0</v>
      </c>
      <c r="CI76" s="87"/>
      <c r="CJ76" s="87">
        <v>356.0</v>
      </c>
      <c r="CK76" s="87">
        <v>351.0</v>
      </c>
      <c r="CL76" s="87">
        <v>241.0</v>
      </c>
      <c r="CM76" s="87">
        <v>7.0</v>
      </c>
      <c r="CN76" s="87"/>
      <c r="CO76" s="87">
        <v>52.0</v>
      </c>
      <c r="CP76" s="87"/>
      <c r="CQ76" s="87">
        <v>13.0</v>
      </c>
      <c r="CR76" s="87"/>
      <c r="CS76" s="87"/>
      <c r="CT76" s="87">
        <v>88.0</v>
      </c>
      <c r="CU76" s="87">
        <v>5.0</v>
      </c>
      <c r="CV76" s="87">
        <v>6.0</v>
      </c>
      <c r="CW76" s="87">
        <v>41.0</v>
      </c>
      <c r="CX76" s="87">
        <v>4.0</v>
      </c>
      <c r="CY76" s="87">
        <v>13.0</v>
      </c>
      <c r="CZ76" s="87"/>
      <c r="DA76" s="87">
        <v>1.0</v>
      </c>
      <c r="DB76" s="87">
        <v>79.0</v>
      </c>
      <c r="DC76" s="87">
        <v>103.0</v>
      </c>
      <c r="DD76" s="87">
        <v>108.0</v>
      </c>
      <c r="DE76" s="87">
        <v>37.0</v>
      </c>
      <c r="DF76" s="87">
        <v>18.0</v>
      </c>
      <c r="DG76" s="87">
        <v>40.0</v>
      </c>
      <c r="DH76" s="87">
        <v>212.0</v>
      </c>
      <c r="DI76" s="87">
        <v>203.0</v>
      </c>
      <c r="DJ76" s="87"/>
      <c r="DK76" s="87">
        <v>8.0</v>
      </c>
      <c r="DL76" s="87">
        <v>48.0</v>
      </c>
      <c r="DM76" s="87">
        <v>6.0</v>
      </c>
      <c r="DN76" s="87"/>
      <c r="DO76" s="87">
        <v>30.0</v>
      </c>
      <c r="DP76" s="87">
        <v>195.0</v>
      </c>
      <c r="DQ76" s="87">
        <v>9.0</v>
      </c>
      <c r="DR76" s="87">
        <v>49.0</v>
      </c>
      <c r="DS76" s="87"/>
      <c r="DT76" s="87"/>
      <c r="DU76" s="87"/>
      <c r="DV76" s="87">
        <v>8.0</v>
      </c>
      <c r="DW76" s="87"/>
      <c r="DX76" s="87">
        <v>10.0</v>
      </c>
      <c r="DY76" s="87">
        <v>33.0</v>
      </c>
      <c r="DZ76" s="87">
        <v>2.0</v>
      </c>
      <c r="EA76" s="87">
        <v>4.0</v>
      </c>
      <c r="EB76" s="87">
        <v>12.0</v>
      </c>
      <c r="EC76" s="87"/>
      <c r="ED76" s="87">
        <v>667.0</v>
      </c>
      <c r="EE76" s="87">
        <v>1.0</v>
      </c>
      <c r="EF76" s="87">
        <v>1.0</v>
      </c>
      <c r="EG76" s="87">
        <v>10.0</v>
      </c>
      <c r="EH76" s="87"/>
      <c r="EI76" s="87">
        <v>10.0</v>
      </c>
      <c r="EJ76" s="87">
        <v>999.0</v>
      </c>
      <c r="EK76" s="88"/>
      <c r="EL76" s="88"/>
      <c r="EM76" s="88"/>
      <c r="EN76" s="88"/>
      <c r="EO76" s="88"/>
      <c r="EP76" s="88"/>
      <c r="EQ76" s="90"/>
    </row>
    <row r="77" ht="12.0" customHeight="1">
      <c r="A77" s="89">
        <v>1.06190017E8</v>
      </c>
      <c r="B77" s="89" t="s">
        <v>864</v>
      </c>
      <c r="C77" s="89" t="s">
        <v>865</v>
      </c>
      <c r="D77" s="89" t="s">
        <v>866</v>
      </c>
      <c r="E77" s="89" t="s">
        <v>867</v>
      </c>
      <c r="F77" s="89" t="s">
        <v>868</v>
      </c>
      <c r="G77" s="89" t="s">
        <v>869</v>
      </c>
      <c r="H77" s="89" t="s">
        <v>696</v>
      </c>
      <c r="I77" s="89" t="s">
        <v>543</v>
      </c>
      <c r="J77" s="89" t="s">
        <v>437</v>
      </c>
      <c r="K77" s="89" t="s">
        <v>870</v>
      </c>
      <c r="L77" s="89" t="s">
        <v>871</v>
      </c>
      <c r="M77" s="89" t="s">
        <v>872</v>
      </c>
      <c r="N77" s="89" t="s">
        <v>441</v>
      </c>
      <c r="O77" s="87">
        <v>3774.0</v>
      </c>
      <c r="P77" s="87">
        <v>21.0</v>
      </c>
      <c r="Q77" s="87"/>
      <c r="R77" s="87"/>
      <c r="S77" s="87">
        <v>207.0</v>
      </c>
      <c r="T77" s="87"/>
      <c r="U77" s="87">
        <v>1963.0</v>
      </c>
      <c r="V77" s="87">
        <v>2039.0</v>
      </c>
      <c r="W77" s="87"/>
      <c r="X77" s="87"/>
      <c r="Y77" s="87">
        <v>22.0</v>
      </c>
      <c r="Z77" s="87">
        <v>144.0</v>
      </c>
      <c r="AA77" s="87">
        <v>210.0</v>
      </c>
      <c r="AB77" s="87">
        <v>294.0</v>
      </c>
      <c r="AC77" s="87">
        <v>540.0</v>
      </c>
      <c r="AD77" s="87">
        <v>711.0</v>
      </c>
      <c r="AE77" s="87">
        <v>788.0</v>
      </c>
      <c r="AF77" s="87">
        <v>1293.0</v>
      </c>
      <c r="AG77" s="87"/>
      <c r="AH77" s="87">
        <v>1487.0</v>
      </c>
      <c r="AI77" s="87">
        <v>2495.0</v>
      </c>
      <c r="AJ77" s="87">
        <v>20.0</v>
      </c>
      <c r="AK77" s="87">
        <v>18.0</v>
      </c>
      <c r="AL77" s="87">
        <v>1822.0</v>
      </c>
      <c r="AM77" s="87"/>
      <c r="AN77" s="87">
        <v>201.0</v>
      </c>
      <c r="AO77" s="87">
        <v>926.0</v>
      </c>
      <c r="AP77" s="87">
        <v>38.0</v>
      </c>
      <c r="AQ77" s="87">
        <v>997.0</v>
      </c>
      <c r="AR77" s="87"/>
      <c r="AS77" s="87">
        <v>2639.0</v>
      </c>
      <c r="AT77" s="87">
        <v>46.0</v>
      </c>
      <c r="AU77" s="87">
        <v>699.0</v>
      </c>
      <c r="AV77" s="87">
        <v>380.0</v>
      </c>
      <c r="AW77" s="87">
        <v>62.0</v>
      </c>
      <c r="AX77" s="87">
        <v>133.0</v>
      </c>
      <c r="AY77" s="87">
        <v>1.0</v>
      </c>
      <c r="AZ77" s="87"/>
      <c r="BA77" s="87">
        <v>1.0</v>
      </c>
      <c r="BB77" s="87">
        <v>41.0</v>
      </c>
      <c r="BC77" s="87"/>
      <c r="BD77" s="87"/>
      <c r="BE77" s="87">
        <v>2995.0</v>
      </c>
      <c r="BF77" s="87">
        <v>461.0</v>
      </c>
      <c r="BG77" s="87">
        <v>546.0</v>
      </c>
      <c r="BH77" s="87"/>
      <c r="BI77" s="87">
        <v>26639.0</v>
      </c>
      <c r="BJ77" s="87">
        <v>3394.0</v>
      </c>
      <c r="BK77" s="87">
        <v>467.0</v>
      </c>
      <c r="BL77" s="87">
        <v>141.0</v>
      </c>
      <c r="BM77" s="87"/>
      <c r="BN77" s="87"/>
      <c r="BO77" s="87"/>
      <c r="BP77" s="87">
        <v>1690.0</v>
      </c>
      <c r="BQ77" s="87">
        <v>242.0</v>
      </c>
      <c r="BR77" s="87">
        <v>96.0</v>
      </c>
      <c r="BS77" s="87">
        <v>763.0</v>
      </c>
      <c r="BT77" s="87">
        <v>38.0</v>
      </c>
      <c r="BU77" s="87">
        <v>2.0</v>
      </c>
      <c r="BV77" s="87">
        <v>151.0</v>
      </c>
      <c r="BW77" s="87">
        <v>193.0</v>
      </c>
      <c r="BX77" s="87">
        <v>743.0</v>
      </c>
      <c r="BY77" s="87"/>
      <c r="BZ77" s="87"/>
      <c r="CA77" s="87">
        <v>76.0</v>
      </c>
      <c r="CB77" s="87">
        <v>8.0</v>
      </c>
      <c r="CC77" s="87"/>
      <c r="CD77" s="87"/>
      <c r="CE77" s="87"/>
      <c r="CF77" s="87"/>
      <c r="CG77" s="87">
        <v>254.0</v>
      </c>
      <c r="CH77" s="87">
        <v>3748.0</v>
      </c>
      <c r="CI77" s="87"/>
      <c r="CJ77" s="87">
        <v>2293.0</v>
      </c>
      <c r="CK77" s="87">
        <v>1301.0</v>
      </c>
      <c r="CL77" s="87">
        <v>379.0</v>
      </c>
      <c r="CM77" s="87">
        <v>4.0</v>
      </c>
      <c r="CN77" s="87"/>
      <c r="CO77" s="87">
        <v>3.0</v>
      </c>
      <c r="CP77" s="87"/>
      <c r="CQ77" s="87">
        <v>21.0</v>
      </c>
      <c r="CR77" s="87">
        <v>1.0</v>
      </c>
      <c r="CS77" s="87"/>
      <c r="CT77" s="87">
        <v>916.0</v>
      </c>
      <c r="CU77" s="87">
        <v>192.0</v>
      </c>
      <c r="CV77" s="87">
        <v>50.0</v>
      </c>
      <c r="CW77" s="87">
        <v>197.0</v>
      </c>
      <c r="CX77" s="87">
        <v>29.0</v>
      </c>
      <c r="CY77" s="87">
        <v>122.0</v>
      </c>
      <c r="CZ77" s="87">
        <v>7.0</v>
      </c>
      <c r="DA77" s="87">
        <v>5.0</v>
      </c>
      <c r="DB77" s="87">
        <v>546.0</v>
      </c>
      <c r="DC77" s="87">
        <v>264.0</v>
      </c>
      <c r="DD77" s="87">
        <v>603.0</v>
      </c>
      <c r="DE77" s="87">
        <v>85.0</v>
      </c>
      <c r="DF77" s="87">
        <v>157.0</v>
      </c>
      <c r="DG77" s="87">
        <v>282.0</v>
      </c>
      <c r="DH77" s="87"/>
      <c r="DI77" s="87"/>
      <c r="DJ77" s="87">
        <v>4.0</v>
      </c>
      <c r="DK77" s="87">
        <v>228.0</v>
      </c>
      <c r="DL77" s="87">
        <v>281.0</v>
      </c>
      <c r="DM77" s="87">
        <v>27.0</v>
      </c>
      <c r="DN77" s="87">
        <v>7.0</v>
      </c>
      <c r="DO77" s="87">
        <v>641.0</v>
      </c>
      <c r="DP77" s="87">
        <v>1.0</v>
      </c>
      <c r="DQ77" s="87">
        <v>187.0</v>
      </c>
      <c r="DR77" s="87">
        <v>623.0</v>
      </c>
      <c r="DS77" s="87">
        <v>2.0</v>
      </c>
      <c r="DT77" s="87">
        <v>2.0</v>
      </c>
      <c r="DU77" s="87">
        <v>2.0</v>
      </c>
      <c r="DV77" s="87">
        <v>10.0</v>
      </c>
      <c r="DW77" s="87">
        <v>11.0</v>
      </c>
      <c r="DX77" s="87">
        <v>93.0</v>
      </c>
      <c r="DY77" s="87">
        <v>202.0</v>
      </c>
      <c r="DZ77" s="87">
        <v>37.0</v>
      </c>
      <c r="EA77" s="87">
        <v>1.0</v>
      </c>
      <c r="EB77" s="87">
        <v>69.0</v>
      </c>
      <c r="EC77" s="87">
        <v>34.0</v>
      </c>
      <c r="ED77" s="87">
        <v>1975.0</v>
      </c>
      <c r="EE77" s="87">
        <v>112.0</v>
      </c>
      <c r="EF77" s="87"/>
      <c r="EG77" s="87">
        <v>50.0</v>
      </c>
      <c r="EH77" s="87">
        <v>1.0</v>
      </c>
      <c r="EI77" s="87">
        <v>12.0</v>
      </c>
      <c r="EJ77" s="87">
        <v>3939.0</v>
      </c>
      <c r="EK77" s="88"/>
      <c r="EL77" s="88"/>
      <c r="EM77" s="88"/>
      <c r="EN77" s="88"/>
      <c r="EO77" s="88"/>
      <c r="EP77" s="88"/>
      <c r="EQ77" s="90"/>
    </row>
    <row r="78" ht="12.0" customHeight="1">
      <c r="A78" s="89">
        <v>1.0619002E8</v>
      </c>
      <c r="B78" s="89" t="s">
        <v>873</v>
      </c>
      <c r="C78" s="89" t="s">
        <v>865</v>
      </c>
      <c r="D78" s="89" t="s">
        <v>874</v>
      </c>
      <c r="E78" s="89" t="s">
        <v>875</v>
      </c>
      <c r="F78" s="89" t="s">
        <v>876</v>
      </c>
      <c r="G78" s="89" t="s">
        <v>877</v>
      </c>
      <c r="H78" s="89" t="s">
        <v>503</v>
      </c>
      <c r="I78" s="89" t="s">
        <v>543</v>
      </c>
      <c r="J78" s="89" t="s">
        <v>463</v>
      </c>
      <c r="K78" s="89" t="s">
        <v>870</v>
      </c>
      <c r="L78" s="89" t="s">
        <v>871</v>
      </c>
      <c r="M78" s="89" t="s">
        <v>878</v>
      </c>
      <c r="N78" s="89" t="s">
        <v>441</v>
      </c>
      <c r="O78" s="87"/>
      <c r="P78" s="87"/>
      <c r="Q78" s="87">
        <v>5224.0</v>
      </c>
      <c r="R78" s="87"/>
      <c r="S78" s="87"/>
      <c r="T78" s="87"/>
      <c r="U78" s="87">
        <v>2508.0</v>
      </c>
      <c r="V78" s="87">
        <v>2716.0</v>
      </c>
      <c r="W78" s="87"/>
      <c r="X78" s="87"/>
      <c r="Y78" s="87">
        <v>1546.0</v>
      </c>
      <c r="Z78" s="87">
        <v>1312.0</v>
      </c>
      <c r="AA78" s="87">
        <v>1044.0</v>
      </c>
      <c r="AB78" s="87">
        <v>609.0</v>
      </c>
      <c r="AC78" s="87">
        <v>464.0</v>
      </c>
      <c r="AD78" s="87">
        <v>236.0</v>
      </c>
      <c r="AE78" s="87">
        <v>13.0</v>
      </c>
      <c r="AF78" s="87"/>
      <c r="AG78" s="87"/>
      <c r="AH78" s="87">
        <v>1841.0</v>
      </c>
      <c r="AI78" s="87">
        <v>3301.0</v>
      </c>
      <c r="AJ78" s="87">
        <v>82.0</v>
      </c>
      <c r="AK78" s="87"/>
      <c r="AL78" s="87">
        <v>340.0</v>
      </c>
      <c r="AM78" s="87"/>
      <c r="AN78" s="87">
        <v>859.0</v>
      </c>
      <c r="AO78" s="87">
        <v>1929.0</v>
      </c>
      <c r="AP78" s="87">
        <v>8.0</v>
      </c>
      <c r="AQ78" s="87">
        <v>2088.0</v>
      </c>
      <c r="AR78" s="87"/>
      <c r="AS78" s="87">
        <v>556.0</v>
      </c>
      <c r="AT78" s="87">
        <v>4527.0</v>
      </c>
      <c r="AU78" s="87">
        <v>140.0</v>
      </c>
      <c r="AV78" s="87"/>
      <c r="AW78" s="87"/>
      <c r="AX78" s="87"/>
      <c r="AY78" s="87"/>
      <c r="AZ78" s="87"/>
      <c r="BA78" s="87">
        <v>1.0</v>
      </c>
      <c r="BB78" s="87"/>
      <c r="BC78" s="87"/>
      <c r="BD78" s="87"/>
      <c r="BE78" s="87"/>
      <c r="BF78" s="87">
        <v>90.0</v>
      </c>
      <c r="BG78" s="87">
        <v>5134.0</v>
      </c>
      <c r="BH78" s="87"/>
      <c r="BI78" s="87">
        <v>36697.0</v>
      </c>
      <c r="BJ78" s="87">
        <v>1.0</v>
      </c>
      <c r="BK78" s="87">
        <v>5223.0</v>
      </c>
      <c r="BL78" s="87"/>
      <c r="BM78" s="87"/>
      <c r="BN78" s="87"/>
      <c r="BO78" s="87"/>
      <c r="BP78" s="87">
        <v>4871.0</v>
      </c>
      <c r="BQ78" s="87">
        <v>29.0</v>
      </c>
      <c r="BR78" s="87"/>
      <c r="BS78" s="87">
        <v>71.0</v>
      </c>
      <c r="BT78" s="87">
        <v>127.0</v>
      </c>
      <c r="BU78" s="87"/>
      <c r="BV78" s="87">
        <v>109.0</v>
      </c>
      <c r="BW78" s="87"/>
      <c r="BX78" s="87"/>
      <c r="BY78" s="87"/>
      <c r="BZ78" s="87"/>
      <c r="CA78" s="87"/>
      <c r="CB78" s="87">
        <v>16.0</v>
      </c>
      <c r="CC78" s="87"/>
      <c r="CD78" s="87">
        <v>1.0</v>
      </c>
      <c r="CE78" s="87"/>
      <c r="CF78" s="87"/>
      <c r="CG78" s="87"/>
      <c r="CH78" s="87">
        <v>5224.0</v>
      </c>
      <c r="CI78" s="87"/>
      <c r="CJ78" s="87">
        <v>435.0</v>
      </c>
      <c r="CK78" s="87">
        <v>927.0</v>
      </c>
      <c r="CL78" s="87">
        <v>3819.0</v>
      </c>
      <c r="CM78" s="87"/>
      <c r="CN78" s="87">
        <v>26.0</v>
      </c>
      <c r="CO78" s="87">
        <v>9.0</v>
      </c>
      <c r="CP78" s="87"/>
      <c r="CQ78" s="87">
        <v>8.0</v>
      </c>
      <c r="CR78" s="87"/>
      <c r="CS78" s="87"/>
      <c r="CT78" s="87"/>
      <c r="CU78" s="87">
        <v>1.0</v>
      </c>
      <c r="CV78" s="87"/>
      <c r="CW78" s="87"/>
      <c r="CX78" s="87">
        <v>5216.0</v>
      </c>
      <c r="CY78" s="87">
        <v>1.0</v>
      </c>
      <c r="CZ78" s="87"/>
      <c r="DA78" s="87"/>
      <c r="DB78" s="87"/>
      <c r="DC78" s="87"/>
      <c r="DD78" s="87"/>
      <c r="DE78" s="87"/>
      <c r="DF78" s="87"/>
      <c r="DG78" s="87"/>
      <c r="DH78" s="87"/>
      <c r="DI78" s="87"/>
      <c r="DJ78" s="87"/>
      <c r="DK78" s="87"/>
      <c r="DL78" s="87"/>
      <c r="DM78" s="87"/>
      <c r="DN78" s="87">
        <v>6.0</v>
      </c>
      <c r="DO78" s="87">
        <v>107.0</v>
      </c>
      <c r="DP78" s="87"/>
      <c r="DQ78" s="87"/>
      <c r="DR78" s="87"/>
      <c r="DS78" s="87"/>
      <c r="DT78" s="87"/>
      <c r="DU78" s="87"/>
      <c r="DV78" s="87"/>
      <c r="DW78" s="87"/>
      <c r="DX78" s="87"/>
      <c r="DY78" s="87"/>
      <c r="DZ78" s="87"/>
      <c r="EA78" s="87"/>
      <c r="EB78" s="87"/>
      <c r="EC78" s="87"/>
      <c r="ED78" s="87">
        <v>5117.0</v>
      </c>
      <c r="EE78" s="87"/>
      <c r="EF78" s="87">
        <v>25.0</v>
      </c>
      <c r="EG78" s="87">
        <v>1275.0</v>
      </c>
      <c r="EH78" s="87">
        <v>2.0</v>
      </c>
      <c r="EI78" s="87">
        <v>142.0</v>
      </c>
      <c r="EJ78" s="87">
        <v>3780.0</v>
      </c>
      <c r="EK78" s="88"/>
      <c r="EL78" s="88"/>
      <c r="EM78" s="88"/>
      <c r="EN78" s="88"/>
      <c r="EO78" s="88"/>
      <c r="EP78" s="88"/>
      <c r="EQ78" s="90"/>
    </row>
    <row r="79" ht="12.0" customHeight="1">
      <c r="A79" s="89">
        <v>1.06190034E8</v>
      </c>
      <c r="B79" s="89" t="s">
        <v>879</v>
      </c>
      <c r="C79" s="89" t="s">
        <v>865</v>
      </c>
      <c r="D79" s="89" t="s">
        <v>880</v>
      </c>
      <c r="E79" s="89" t="s">
        <v>881</v>
      </c>
      <c r="F79" s="89" t="s">
        <v>882</v>
      </c>
      <c r="G79" s="89" t="s">
        <v>883</v>
      </c>
      <c r="H79" s="89" t="s">
        <v>494</v>
      </c>
      <c r="I79" s="89" t="s">
        <v>543</v>
      </c>
      <c r="J79" s="89" t="s">
        <v>448</v>
      </c>
      <c r="K79" s="89" t="s">
        <v>884</v>
      </c>
      <c r="L79" s="89" t="s">
        <v>885</v>
      </c>
      <c r="M79" s="89" t="s">
        <v>886</v>
      </c>
      <c r="N79" s="89" t="s">
        <v>441</v>
      </c>
      <c r="O79" s="87">
        <v>20227.0</v>
      </c>
      <c r="P79" s="87"/>
      <c r="Q79" s="87">
        <v>466.0</v>
      </c>
      <c r="R79" s="87"/>
      <c r="S79" s="87"/>
      <c r="T79" s="87"/>
      <c r="U79" s="87">
        <v>8867.0</v>
      </c>
      <c r="V79" s="87">
        <v>11826.0</v>
      </c>
      <c r="W79" s="87"/>
      <c r="X79" s="87">
        <v>3756.0</v>
      </c>
      <c r="Y79" s="87">
        <v>443.0</v>
      </c>
      <c r="Z79" s="87">
        <v>2550.0</v>
      </c>
      <c r="AA79" s="87">
        <v>2735.0</v>
      </c>
      <c r="AB79" s="87">
        <v>1514.0</v>
      </c>
      <c r="AC79" s="87">
        <v>2107.0</v>
      </c>
      <c r="AD79" s="87">
        <v>3140.0</v>
      </c>
      <c r="AE79" s="87">
        <v>2488.0</v>
      </c>
      <c r="AF79" s="87">
        <v>1960.0</v>
      </c>
      <c r="AG79" s="87"/>
      <c r="AH79" s="87">
        <v>8579.0</v>
      </c>
      <c r="AI79" s="87">
        <v>12007.0</v>
      </c>
      <c r="AJ79" s="87">
        <v>107.0</v>
      </c>
      <c r="AK79" s="87">
        <v>84.0</v>
      </c>
      <c r="AL79" s="87">
        <v>473.0</v>
      </c>
      <c r="AM79" s="87">
        <v>41.0</v>
      </c>
      <c r="AN79" s="87">
        <v>4397.0</v>
      </c>
      <c r="AO79" s="87">
        <v>7930.0</v>
      </c>
      <c r="AP79" s="87">
        <v>72.0</v>
      </c>
      <c r="AQ79" s="87">
        <v>7346.0</v>
      </c>
      <c r="AR79" s="87">
        <v>350.0</v>
      </c>
      <c r="AS79" s="87">
        <v>14960.0</v>
      </c>
      <c r="AT79" s="87">
        <v>1254.0</v>
      </c>
      <c r="AU79" s="87">
        <v>272.0</v>
      </c>
      <c r="AV79" s="87">
        <v>857.0</v>
      </c>
      <c r="AW79" s="87">
        <v>6.0</v>
      </c>
      <c r="AX79" s="87">
        <v>2.0</v>
      </c>
      <c r="AY79" s="87">
        <v>6.0</v>
      </c>
      <c r="AZ79" s="87"/>
      <c r="BA79" s="87">
        <v>106.0</v>
      </c>
      <c r="BB79" s="87"/>
      <c r="BC79" s="87">
        <v>3230.0</v>
      </c>
      <c r="BD79" s="87"/>
      <c r="BE79" s="87">
        <v>13354.0</v>
      </c>
      <c r="BF79" s="87">
        <v>8.0</v>
      </c>
      <c r="BG79" s="87">
        <v>7331.0</v>
      </c>
      <c r="BH79" s="87"/>
      <c r="BI79" s="87">
        <v>89016.0</v>
      </c>
      <c r="BJ79" s="87">
        <v>198.0</v>
      </c>
      <c r="BK79" s="87">
        <v>15257.0</v>
      </c>
      <c r="BL79" s="87">
        <v>1026.0</v>
      </c>
      <c r="BM79" s="87">
        <v>3230.0</v>
      </c>
      <c r="BN79" s="87">
        <v>982.0</v>
      </c>
      <c r="BO79" s="87"/>
      <c r="BP79" s="87">
        <v>14021.0</v>
      </c>
      <c r="BQ79" s="87">
        <v>206.0</v>
      </c>
      <c r="BR79" s="87">
        <v>294.0</v>
      </c>
      <c r="BS79" s="87">
        <v>1558.0</v>
      </c>
      <c r="BT79" s="87">
        <v>166.0</v>
      </c>
      <c r="BU79" s="87">
        <v>99.0</v>
      </c>
      <c r="BV79" s="87">
        <v>535.0</v>
      </c>
      <c r="BW79" s="87">
        <v>744.0</v>
      </c>
      <c r="BX79" s="87">
        <v>2642.0</v>
      </c>
      <c r="BY79" s="87"/>
      <c r="BZ79" s="87">
        <v>30.0</v>
      </c>
      <c r="CA79" s="87">
        <v>379.0</v>
      </c>
      <c r="CB79" s="87">
        <v>8.0</v>
      </c>
      <c r="CC79" s="87"/>
      <c r="CD79" s="87">
        <v>11.0</v>
      </c>
      <c r="CE79" s="87"/>
      <c r="CF79" s="87"/>
      <c r="CG79" s="87">
        <v>285.0</v>
      </c>
      <c r="CH79" s="87">
        <v>20408.0</v>
      </c>
      <c r="CI79" s="87"/>
      <c r="CJ79" s="87">
        <v>6431.0</v>
      </c>
      <c r="CK79" s="87">
        <v>8052.0</v>
      </c>
      <c r="CL79" s="87">
        <v>5559.0</v>
      </c>
      <c r="CM79" s="87">
        <v>41.0</v>
      </c>
      <c r="CN79" s="87"/>
      <c r="CO79" s="87">
        <v>517.0</v>
      </c>
      <c r="CP79" s="87"/>
      <c r="CQ79" s="87">
        <v>93.0</v>
      </c>
      <c r="CR79" s="87"/>
      <c r="CS79" s="87"/>
      <c r="CT79" s="87">
        <v>2448.0</v>
      </c>
      <c r="CU79" s="87">
        <v>399.0</v>
      </c>
      <c r="CV79" s="87">
        <v>127.0</v>
      </c>
      <c r="CW79" s="87">
        <v>773.0</v>
      </c>
      <c r="CX79" s="87">
        <v>623.0</v>
      </c>
      <c r="CY79" s="87">
        <v>498.0</v>
      </c>
      <c r="CZ79" s="87">
        <v>9.0</v>
      </c>
      <c r="DA79" s="87">
        <v>9.0</v>
      </c>
      <c r="DB79" s="87">
        <v>2298.0</v>
      </c>
      <c r="DC79" s="87">
        <v>1144.0</v>
      </c>
      <c r="DD79" s="87">
        <v>1938.0</v>
      </c>
      <c r="DE79" s="87">
        <v>194.0</v>
      </c>
      <c r="DF79" s="87">
        <v>374.0</v>
      </c>
      <c r="DG79" s="87">
        <v>825.0</v>
      </c>
      <c r="DH79" s="87">
        <v>3446.0</v>
      </c>
      <c r="DI79" s="87">
        <v>3349.0</v>
      </c>
      <c r="DJ79" s="87">
        <v>8.0</v>
      </c>
      <c r="DK79" s="87">
        <v>273.0</v>
      </c>
      <c r="DL79" s="87">
        <v>1923.0</v>
      </c>
      <c r="DM79" s="87">
        <v>34.0</v>
      </c>
      <c r="DN79" s="87">
        <v>1.0</v>
      </c>
      <c r="DO79" s="87">
        <v>1369.0</v>
      </c>
      <c r="DP79" s="87">
        <v>3189.0</v>
      </c>
      <c r="DQ79" s="87">
        <v>1362.0</v>
      </c>
      <c r="DR79" s="87">
        <v>2114.0</v>
      </c>
      <c r="DS79" s="87">
        <v>6.0</v>
      </c>
      <c r="DT79" s="87">
        <v>15.0</v>
      </c>
      <c r="DU79" s="87">
        <v>2.0</v>
      </c>
      <c r="DV79" s="87">
        <v>188.0</v>
      </c>
      <c r="DW79" s="87">
        <v>45.0</v>
      </c>
      <c r="DX79" s="87">
        <v>465.0</v>
      </c>
      <c r="DY79" s="87">
        <v>1202.0</v>
      </c>
      <c r="DZ79" s="87">
        <v>337.0</v>
      </c>
      <c r="EA79" s="87">
        <v>34.0</v>
      </c>
      <c r="EB79" s="87">
        <v>398.0</v>
      </c>
      <c r="EC79" s="87">
        <v>269.0</v>
      </c>
      <c r="ED79" s="87">
        <v>9264.0</v>
      </c>
      <c r="EE79" s="87">
        <v>434.0</v>
      </c>
      <c r="EF79" s="87">
        <v>1.0</v>
      </c>
      <c r="EG79" s="87">
        <v>262.0</v>
      </c>
      <c r="EH79" s="87"/>
      <c r="EI79" s="87">
        <v>122.0</v>
      </c>
      <c r="EJ79" s="87">
        <v>20308.0</v>
      </c>
      <c r="EK79" s="88"/>
      <c r="EL79" s="88"/>
      <c r="EM79" s="88"/>
      <c r="EN79" s="88"/>
      <c r="EO79" s="88"/>
      <c r="EP79" s="88"/>
      <c r="EQ79" s="90"/>
    </row>
    <row r="80" ht="12.0" customHeight="1">
      <c r="A80" s="89">
        <v>1.06190045E8</v>
      </c>
      <c r="B80" s="89" t="s">
        <v>887</v>
      </c>
      <c r="C80" s="89" t="s">
        <v>865</v>
      </c>
      <c r="D80" s="89" t="s">
        <v>888</v>
      </c>
      <c r="E80" s="89" t="s">
        <v>889</v>
      </c>
      <c r="F80" s="89" t="s">
        <v>890</v>
      </c>
      <c r="G80" s="89" t="s">
        <v>891</v>
      </c>
      <c r="H80" s="89" t="s">
        <v>447</v>
      </c>
      <c r="I80" s="89" t="s">
        <v>543</v>
      </c>
      <c r="J80" s="89" t="s">
        <v>499</v>
      </c>
      <c r="K80" s="89" t="s">
        <v>763</v>
      </c>
      <c r="L80" s="89" t="s">
        <v>892</v>
      </c>
      <c r="M80" s="89" t="s">
        <v>893</v>
      </c>
      <c r="N80" s="89" t="s">
        <v>714</v>
      </c>
      <c r="O80" s="87">
        <v>19.0</v>
      </c>
      <c r="P80" s="87">
        <v>1.0</v>
      </c>
      <c r="Q80" s="87"/>
      <c r="R80" s="87"/>
      <c r="S80" s="87"/>
      <c r="T80" s="87"/>
      <c r="U80" s="87">
        <v>6.0</v>
      </c>
      <c r="V80" s="87">
        <v>14.0</v>
      </c>
      <c r="W80" s="87"/>
      <c r="X80" s="87"/>
      <c r="Y80" s="87"/>
      <c r="Z80" s="87"/>
      <c r="AA80" s="87"/>
      <c r="AB80" s="87"/>
      <c r="AC80" s="87"/>
      <c r="AD80" s="87"/>
      <c r="AE80" s="87"/>
      <c r="AF80" s="87">
        <v>15.0</v>
      </c>
      <c r="AG80" s="87">
        <v>5.0</v>
      </c>
      <c r="AH80" s="87"/>
      <c r="AI80" s="87">
        <v>12.0</v>
      </c>
      <c r="AJ80" s="87">
        <v>8.0</v>
      </c>
      <c r="AK80" s="87"/>
      <c r="AL80" s="87"/>
      <c r="AM80" s="87"/>
      <c r="AN80" s="87"/>
      <c r="AO80" s="87">
        <v>12.0</v>
      </c>
      <c r="AP80" s="87">
        <v>8.0</v>
      </c>
      <c r="AQ80" s="87"/>
      <c r="AR80" s="87"/>
      <c r="AS80" s="87">
        <v>3.0</v>
      </c>
      <c r="AT80" s="87">
        <v>5.0</v>
      </c>
      <c r="AU80" s="87">
        <v>6.0</v>
      </c>
      <c r="AV80" s="87">
        <v>1.0</v>
      </c>
      <c r="AW80" s="87"/>
      <c r="AX80" s="87">
        <v>5.0</v>
      </c>
      <c r="AY80" s="87"/>
      <c r="AZ80" s="87"/>
      <c r="BA80" s="87"/>
      <c r="BB80" s="87"/>
      <c r="BC80" s="87"/>
      <c r="BD80" s="87"/>
      <c r="BE80" s="87">
        <v>4.0</v>
      </c>
      <c r="BF80" s="87"/>
      <c r="BG80" s="87">
        <v>16.0</v>
      </c>
      <c r="BH80" s="87"/>
      <c r="BI80" s="87">
        <v>441.0</v>
      </c>
      <c r="BJ80" s="87">
        <v>4.0</v>
      </c>
      <c r="BK80" s="87"/>
      <c r="BL80" s="87">
        <v>16.0</v>
      </c>
      <c r="BM80" s="87"/>
      <c r="BN80" s="87"/>
      <c r="BO80" s="87"/>
      <c r="BP80" s="87">
        <v>11.0</v>
      </c>
      <c r="BQ80" s="87">
        <v>3.0</v>
      </c>
      <c r="BR80" s="87"/>
      <c r="BS80" s="87">
        <v>2.0</v>
      </c>
      <c r="BT80" s="87"/>
      <c r="BU80" s="87"/>
      <c r="BV80" s="87">
        <v>1.0</v>
      </c>
      <c r="BW80" s="87">
        <v>2.0</v>
      </c>
      <c r="BX80" s="87"/>
      <c r="BY80" s="87"/>
      <c r="BZ80" s="87"/>
      <c r="CA80" s="87"/>
      <c r="CB80" s="87"/>
      <c r="CC80" s="87"/>
      <c r="CD80" s="87">
        <v>1.0</v>
      </c>
      <c r="CE80" s="87"/>
      <c r="CF80" s="87"/>
      <c r="CG80" s="87">
        <v>14.0</v>
      </c>
      <c r="CH80" s="87">
        <v>6.0</v>
      </c>
      <c r="CI80" s="87"/>
      <c r="CJ80" s="87">
        <v>18.0</v>
      </c>
      <c r="CK80" s="87">
        <v>2.0</v>
      </c>
      <c r="CL80" s="87"/>
      <c r="CM80" s="87"/>
      <c r="CN80" s="87"/>
      <c r="CO80" s="87"/>
      <c r="CP80" s="87"/>
      <c r="CQ80" s="87"/>
      <c r="CR80" s="87"/>
      <c r="CS80" s="87"/>
      <c r="CT80" s="87">
        <v>2.0</v>
      </c>
      <c r="CU80" s="87">
        <v>1.0</v>
      </c>
      <c r="CV80" s="87"/>
      <c r="CW80" s="87">
        <v>2.0</v>
      </c>
      <c r="CX80" s="87"/>
      <c r="CY80" s="87">
        <v>1.0</v>
      </c>
      <c r="CZ80" s="87"/>
      <c r="DA80" s="87"/>
      <c r="DB80" s="87">
        <v>1.0</v>
      </c>
      <c r="DC80" s="87">
        <v>3.0</v>
      </c>
      <c r="DD80" s="87"/>
      <c r="DE80" s="87">
        <v>1.0</v>
      </c>
      <c r="DF80" s="87">
        <v>3.0</v>
      </c>
      <c r="DG80" s="87"/>
      <c r="DH80" s="87"/>
      <c r="DI80" s="87"/>
      <c r="DJ80" s="87"/>
      <c r="DK80" s="87">
        <v>5.0</v>
      </c>
      <c r="DL80" s="87">
        <v>1.0</v>
      </c>
      <c r="DM80" s="87"/>
      <c r="DN80" s="87"/>
      <c r="DO80" s="87"/>
      <c r="DP80" s="87"/>
      <c r="DQ80" s="87"/>
      <c r="DR80" s="87"/>
      <c r="DS80" s="87"/>
      <c r="DT80" s="87"/>
      <c r="DU80" s="87"/>
      <c r="DV80" s="87"/>
      <c r="DW80" s="87"/>
      <c r="DX80" s="87"/>
      <c r="DY80" s="87"/>
      <c r="DZ80" s="87"/>
      <c r="EA80" s="87"/>
      <c r="EB80" s="87"/>
      <c r="EC80" s="87"/>
      <c r="ED80" s="87">
        <v>20.0</v>
      </c>
      <c r="EE80" s="87"/>
      <c r="EF80" s="87"/>
      <c r="EG80" s="87"/>
      <c r="EH80" s="87"/>
      <c r="EI80" s="87"/>
      <c r="EJ80" s="87">
        <v>20.0</v>
      </c>
      <c r="EK80" s="88"/>
      <c r="EL80" s="88"/>
      <c r="EM80" s="88"/>
      <c r="EN80" s="88"/>
      <c r="EO80" s="88"/>
      <c r="EP80" s="88"/>
      <c r="EQ80" s="90"/>
    </row>
    <row r="81" ht="12.0" customHeight="1">
      <c r="A81" s="89">
        <v>1.06190049E8</v>
      </c>
      <c r="B81" s="89" t="s">
        <v>894</v>
      </c>
      <c r="C81" s="89" t="s">
        <v>865</v>
      </c>
      <c r="D81" s="89" t="s">
        <v>895</v>
      </c>
      <c r="E81" s="89" t="s">
        <v>896</v>
      </c>
      <c r="F81" s="89" t="s">
        <v>897</v>
      </c>
      <c r="G81" s="89" t="s">
        <v>898</v>
      </c>
      <c r="H81" s="89" t="s">
        <v>475</v>
      </c>
      <c r="I81" s="89" t="s">
        <v>543</v>
      </c>
      <c r="J81" s="89" t="s">
        <v>463</v>
      </c>
      <c r="K81" s="89" t="s">
        <v>870</v>
      </c>
      <c r="L81" s="89" t="s">
        <v>899</v>
      </c>
      <c r="M81" s="89" t="s">
        <v>900</v>
      </c>
      <c r="N81" s="89" t="s">
        <v>441</v>
      </c>
      <c r="O81" s="87">
        <v>703.0</v>
      </c>
      <c r="P81" s="87"/>
      <c r="Q81" s="87"/>
      <c r="R81" s="87"/>
      <c r="S81" s="87"/>
      <c r="T81" s="87"/>
      <c r="U81" s="87">
        <v>380.0</v>
      </c>
      <c r="V81" s="87">
        <v>323.0</v>
      </c>
      <c r="W81" s="87"/>
      <c r="X81" s="87"/>
      <c r="Y81" s="87"/>
      <c r="Z81" s="87"/>
      <c r="AA81" s="87">
        <v>17.0</v>
      </c>
      <c r="AB81" s="87">
        <v>31.0</v>
      </c>
      <c r="AC81" s="87">
        <v>85.0</v>
      </c>
      <c r="AD81" s="87">
        <v>157.0</v>
      </c>
      <c r="AE81" s="87">
        <v>199.0</v>
      </c>
      <c r="AF81" s="87">
        <v>204.0</v>
      </c>
      <c r="AG81" s="87">
        <v>10.0</v>
      </c>
      <c r="AH81" s="87">
        <v>131.0</v>
      </c>
      <c r="AI81" s="87">
        <v>508.0</v>
      </c>
      <c r="AJ81" s="87">
        <v>64.0</v>
      </c>
      <c r="AK81" s="87"/>
      <c r="AL81" s="87">
        <v>144.0</v>
      </c>
      <c r="AM81" s="87"/>
      <c r="AN81" s="87">
        <v>44.0</v>
      </c>
      <c r="AO81" s="87">
        <v>310.0</v>
      </c>
      <c r="AP81" s="87">
        <v>3.0</v>
      </c>
      <c r="AQ81" s="87">
        <v>202.0</v>
      </c>
      <c r="AR81" s="87"/>
      <c r="AS81" s="87"/>
      <c r="AT81" s="87">
        <v>1.0</v>
      </c>
      <c r="AU81" s="87">
        <v>698.0</v>
      </c>
      <c r="AV81" s="87"/>
      <c r="AW81" s="87">
        <v>4.0</v>
      </c>
      <c r="AX81" s="87"/>
      <c r="AY81" s="87"/>
      <c r="AZ81" s="87"/>
      <c r="BA81" s="87"/>
      <c r="BB81" s="87"/>
      <c r="BC81" s="87"/>
      <c r="BD81" s="87"/>
      <c r="BE81" s="87"/>
      <c r="BF81" s="87"/>
      <c r="BG81" s="87">
        <v>703.0</v>
      </c>
      <c r="BH81" s="87"/>
      <c r="BI81" s="87">
        <v>26905.0</v>
      </c>
      <c r="BJ81" s="87"/>
      <c r="BK81" s="87"/>
      <c r="BL81" s="87">
        <v>703.0</v>
      </c>
      <c r="BM81" s="87"/>
      <c r="BN81" s="87"/>
      <c r="BO81" s="87"/>
      <c r="BP81" s="87">
        <v>17.0</v>
      </c>
      <c r="BQ81" s="87">
        <v>44.0</v>
      </c>
      <c r="BR81" s="87">
        <v>12.0</v>
      </c>
      <c r="BS81" s="87">
        <v>320.0</v>
      </c>
      <c r="BT81" s="87"/>
      <c r="BU81" s="87"/>
      <c r="BV81" s="87">
        <v>14.0</v>
      </c>
      <c r="BW81" s="87">
        <v>201.0</v>
      </c>
      <c r="BX81" s="87">
        <v>76.0</v>
      </c>
      <c r="BY81" s="87"/>
      <c r="BZ81" s="87"/>
      <c r="CA81" s="87">
        <v>19.0</v>
      </c>
      <c r="CB81" s="87"/>
      <c r="CC81" s="87"/>
      <c r="CD81" s="87"/>
      <c r="CE81" s="87"/>
      <c r="CF81" s="87"/>
      <c r="CG81" s="87">
        <v>3.0</v>
      </c>
      <c r="CH81" s="87">
        <v>700.0</v>
      </c>
      <c r="CI81" s="87"/>
      <c r="CJ81" s="87">
        <v>432.0</v>
      </c>
      <c r="CK81" s="87">
        <v>84.0</v>
      </c>
      <c r="CL81" s="87">
        <v>169.0</v>
      </c>
      <c r="CM81" s="87">
        <v>1.0</v>
      </c>
      <c r="CN81" s="87"/>
      <c r="CO81" s="87">
        <v>17.0</v>
      </c>
      <c r="CP81" s="87"/>
      <c r="CQ81" s="87"/>
      <c r="CR81" s="87"/>
      <c r="CS81" s="87"/>
      <c r="CT81" s="87">
        <v>56.0</v>
      </c>
      <c r="CU81" s="87">
        <v>5.0</v>
      </c>
      <c r="CV81" s="87"/>
      <c r="CW81" s="87">
        <v>29.0</v>
      </c>
      <c r="CX81" s="87"/>
      <c r="CY81" s="87">
        <v>9.0</v>
      </c>
      <c r="CZ81" s="87"/>
      <c r="DA81" s="87"/>
      <c r="DB81" s="87">
        <v>25.0</v>
      </c>
      <c r="DC81" s="87">
        <v>391.0</v>
      </c>
      <c r="DD81" s="87">
        <v>37.0</v>
      </c>
      <c r="DE81" s="87">
        <v>25.0</v>
      </c>
      <c r="DF81" s="87">
        <v>9.0</v>
      </c>
      <c r="DG81" s="87">
        <v>56.0</v>
      </c>
      <c r="DH81" s="87"/>
      <c r="DI81" s="87"/>
      <c r="DJ81" s="87"/>
      <c r="DK81" s="87">
        <v>3.0</v>
      </c>
      <c r="DL81" s="87">
        <v>49.0</v>
      </c>
      <c r="DM81" s="87">
        <v>9.0</v>
      </c>
      <c r="DN81" s="87"/>
      <c r="DO81" s="87">
        <v>224.0</v>
      </c>
      <c r="DP81" s="87"/>
      <c r="DQ81" s="87">
        <v>83.0</v>
      </c>
      <c r="DR81" s="87">
        <v>58.0</v>
      </c>
      <c r="DS81" s="87"/>
      <c r="DT81" s="87"/>
      <c r="DU81" s="87"/>
      <c r="DV81" s="87"/>
      <c r="DW81" s="87"/>
      <c r="DX81" s="87">
        <v>11.0</v>
      </c>
      <c r="DY81" s="87">
        <v>8.0</v>
      </c>
      <c r="DZ81" s="87"/>
      <c r="EA81" s="87"/>
      <c r="EB81" s="87">
        <v>17.0</v>
      </c>
      <c r="EC81" s="87"/>
      <c r="ED81" s="87">
        <v>290.0</v>
      </c>
      <c r="EE81" s="87">
        <v>12.0</v>
      </c>
      <c r="EF81" s="87">
        <v>1.0</v>
      </c>
      <c r="EG81" s="87">
        <v>7.0</v>
      </c>
      <c r="EH81" s="87"/>
      <c r="EI81" s="87">
        <v>3.0</v>
      </c>
      <c r="EJ81" s="87">
        <v>692.0</v>
      </c>
      <c r="EK81" s="88"/>
      <c r="EL81" s="88"/>
      <c r="EM81" s="88"/>
      <c r="EN81" s="88"/>
      <c r="EO81" s="88"/>
      <c r="EP81" s="88"/>
      <c r="EQ81" s="90"/>
    </row>
    <row r="82" ht="12.0" customHeight="1">
      <c r="A82" s="89">
        <v>1.06190052E8</v>
      </c>
      <c r="B82" s="89" t="s">
        <v>901</v>
      </c>
      <c r="C82" s="89" t="s">
        <v>865</v>
      </c>
      <c r="D82" s="89" t="s">
        <v>902</v>
      </c>
      <c r="E82" s="89" t="s">
        <v>903</v>
      </c>
      <c r="F82" s="89" t="s">
        <v>865</v>
      </c>
      <c r="G82" s="89" t="s">
        <v>904</v>
      </c>
      <c r="H82" s="89" t="s">
        <v>447</v>
      </c>
      <c r="I82" s="89" t="s">
        <v>543</v>
      </c>
      <c r="J82" s="89" t="s">
        <v>437</v>
      </c>
      <c r="K82" s="89" t="s">
        <v>905</v>
      </c>
      <c r="L82" s="89" t="s">
        <v>906</v>
      </c>
      <c r="M82" s="89" t="s">
        <v>907</v>
      </c>
      <c r="N82" s="89" t="s">
        <v>441</v>
      </c>
      <c r="O82" s="87">
        <v>673.0</v>
      </c>
      <c r="P82" s="87"/>
      <c r="Q82" s="87"/>
      <c r="R82" s="87"/>
      <c r="S82" s="87"/>
      <c r="T82" s="87"/>
      <c r="U82" s="87">
        <v>367.0</v>
      </c>
      <c r="V82" s="87">
        <v>306.0</v>
      </c>
      <c r="W82" s="87"/>
      <c r="X82" s="87"/>
      <c r="Y82" s="87"/>
      <c r="Z82" s="87">
        <v>12.0</v>
      </c>
      <c r="AA82" s="87">
        <v>27.0</v>
      </c>
      <c r="AB82" s="87">
        <v>39.0</v>
      </c>
      <c r="AC82" s="87">
        <v>73.0</v>
      </c>
      <c r="AD82" s="87">
        <v>134.0</v>
      </c>
      <c r="AE82" s="87">
        <v>206.0</v>
      </c>
      <c r="AF82" s="87">
        <v>181.0</v>
      </c>
      <c r="AG82" s="87">
        <v>1.0</v>
      </c>
      <c r="AH82" s="87">
        <v>136.0</v>
      </c>
      <c r="AI82" s="87">
        <v>534.0</v>
      </c>
      <c r="AJ82" s="87">
        <v>3.0</v>
      </c>
      <c r="AK82" s="87"/>
      <c r="AL82" s="87">
        <v>68.0</v>
      </c>
      <c r="AM82" s="87"/>
      <c r="AN82" s="87">
        <v>46.0</v>
      </c>
      <c r="AO82" s="87">
        <v>533.0</v>
      </c>
      <c r="AP82" s="87">
        <v>13.0</v>
      </c>
      <c r="AQ82" s="87">
        <v>13.0</v>
      </c>
      <c r="AR82" s="87"/>
      <c r="AS82" s="87"/>
      <c r="AT82" s="87"/>
      <c r="AU82" s="87">
        <v>673.0</v>
      </c>
      <c r="AV82" s="87"/>
      <c r="AW82" s="87"/>
      <c r="AX82" s="87"/>
      <c r="AY82" s="87"/>
      <c r="AZ82" s="87"/>
      <c r="BA82" s="87"/>
      <c r="BB82" s="87"/>
      <c r="BC82" s="87"/>
      <c r="BD82" s="87"/>
      <c r="BE82" s="87"/>
      <c r="BF82" s="87">
        <v>3.0</v>
      </c>
      <c r="BG82" s="87">
        <v>670.0</v>
      </c>
      <c r="BH82" s="87"/>
      <c r="BI82" s="87">
        <v>22927.0</v>
      </c>
      <c r="BJ82" s="87"/>
      <c r="BK82" s="87">
        <v>1.0</v>
      </c>
      <c r="BL82" s="87">
        <v>672.0</v>
      </c>
      <c r="BM82" s="87"/>
      <c r="BN82" s="87"/>
      <c r="BO82" s="87"/>
      <c r="BP82" s="87">
        <v>7.0</v>
      </c>
      <c r="BQ82" s="87">
        <v>134.0</v>
      </c>
      <c r="BR82" s="87">
        <v>76.0</v>
      </c>
      <c r="BS82" s="87">
        <v>298.0</v>
      </c>
      <c r="BT82" s="87"/>
      <c r="BU82" s="87">
        <v>2.0</v>
      </c>
      <c r="BV82" s="87">
        <v>3.0</v>
      </c>
      <c r="BW82" s="87">
        <v>76.0</v>
      </c>
      <c r="BX82" s="87">
        <v>59.0</v>
      </c>
      <c r="BY82" s="87"/>
      <c r="BZ82" s="87"/>
      <c r="CA82" s="87">
        <v>10.0</v>
      </c>
      <c r="CB82" s="87"/>
      <c r="CC82" s="87"/>
      <c r="CD82" s="87">
        <v>6.0</v>
      </c>
      <c r="CE82" s="87">
        <v>1.0</v>
      </c>
      <c r="CF82" s="87">
        <v>1.0</v>
      </c>
      <c r="CG82" s="87">
        <v>58.0</v>
      </c>
      <c r="CH82" s="87">
        <v>614.0</v>
      </c>
      <c r="CI82" s="87">
        <v>1.0</v>
      </c>
      <c r="CJ82" s="87">
        <v>503.0</v>
      </c>
      <c r="CK82" s="87">
        <v>6.0</v>
      </c>
      <c r="CL82" s="87">
        <v>155.0</v>
      </c>
      <c r="CM82" s="87">
        <v>8.0</v>
      </c>
      <c r="CN82" s="87"/>
      <c r="CO82" s="87"/>
      <c r="CP82" s="87"/>
      <c r="CQ82" s="87"/>
      <c r="CR82" s="87"/>
      <c r="CS82" s="87">
        <v>1.0</v>
      </c>
      <c r="CT82" s="87">
        <v>88.0</v>
      </c>
      <c r="CU82" s="87"/>
      <c r="CV82" s="87"/>
      <c r="CW82" s="87">
        <v>10.0</v>
      </c>
      <c r="CX82" s="87"/>
      <c r="CY82" s="87">
        <v>5.0</v>
      </c>
      <c r="CZ82" s="87"/>
      <c r="DA82" s="87"/>
      <c r="DB82" s="87">
        <v>10.0</v>
      </c>
      <c r="DC82" s="87">
        <v>501.0</v>
      </c>
      <c r="DD82" s="87">
        <v>7.0</v>
      </c>
      <c r="DE82" s="87">
        <v>10.0</v>
      </c>
      <c r="DF82" s="87">
        <v>10.0</v>
      </c>
      <c r="DG82" s="87">
        <v>9.0</v>
      </c>
      <c r="DH82" s="87"/>
      <c r="DI82" s="87"/>
      <c r="DJ82" s="87"/>
      <c r="DK82" s="87">
        <v>3.0</v>
      </c>
      <c r="DL82" s="87">
        <v>15.0</v>
      </c>
      <c r="DM82" s="87">
        <v>5.0</v>
      </c>
      <c r="DN82" s="87"/>
      <c r="DO82" s="87">
        <v>428.0</v>
      </c>
      <c r="DP82" s="87"/>
      <c r="DQ82" s="87">
        <v>90.0</v>
      </c>
      <c r="DR82" s="87">
        <v>13.0</v>
      </c>
      <c r="DS82" s="87"/>
      <c r="DT82" s="87"/>
      <c r="DU82" s="87">
        <v>1.0</v>
      </c>
      <c r="DV82" s="87"/>
      <c r="DW82" s="87"/>
      <c r="DX82" s="87">
        <v>4.0</v>
      </c>
      <c r="DY82" s="87">
        <v>5.0</v>
      </c>
      <c r="DZ82" s="87">
        <v>1.0</v>
      </c>
      <c r="EA82" s="87">
        <v>1.0</v>
      </c>
      <c r="EB82" s="87">
        <v>42.0</v>
      </c>
      <c r="EC82" s="87">
        <v>8.0</v>
      </c>
      <c r="ED82" s="87">
        <v>55.0</v>
      </c>
      <c r="EE82" s="87">
        <v>25.0</v>
      </c>
      <c r="EF82" s="87"/>
      <c r="EG82" s="87"/>
      <c r="EH82" s="87"/>
      <c r="EI82" s="87">
        <v>8.0</v>
      </c>
      <c r="EJ82" s="87">
        <v>665.0</v>
      </c>
      <c r="EK82" s="88"/>
      <c r="EL82" s="88"/>
      <c r="EM82" s="88"/>
      <c r="EN82" s="88"/>
      <c r="EO82" s="88"/>
      <c r="EP82" s="88"/>
      <c r="EQ82" s="90"/>
    </row>
    <row r="83" ht="12.0" customHeight="1">
      <c r="A83" s="89">
        <v>1.06190053E8</v>
      </c>
      <c r="B83" s="89" t="s">
        <v>908</v>
      </c>
      <c r="C83" s="89" t="s">
        <v>865</v>
      </c>
      <c r="D83" s="89" t="s">
        <v>909</v>
      </c>
      <c r="E83" s="89" t="s">
        <v>910</v>
      </c>
      <c r="F83" s="89" t="s">
        <v>911</v>
      </c>
      <c r="G83" s="89" t="s">
        <v>912</v>
      </c>
      <c r="H83" s="89" t="s">
        <v>447</v>
      </c>
      <c r="I83" s="89" t="s">
        <v>543</v>
      </c>
      <c r="J83" s="89" t="s">
        <v>448</v>
      </c>
      <c r="K83" s="89" t="s">
        <v>913</v>
      </c>
      <c r="L83" s="89" t="s">
        <v>892</v>
      </c>
      <c r="M83" s="89" t="s">
        <v>914</v>
      </c>
      <c r="N83" s="89" t="s">
        <v>441</v>
      </c>
      <c r="O83" s="87">
        <v>10551.0</v>
      </c>
      <c r="P83" s="87"/>
      <c r="Q83" s="87"/>
      <c r="R83" s="87"/>
      <c r="S83" s="87">
        <v>267.0</v>
      </c>
      <c r="T83" s="87"/>
      <c r="U83" s="87">
        <v>4801.0</v>
      </c>
      <c r="V83" s="87">
        <v>6017.0</v>
      </c>
      <c r="W83" s="87"/>
      <c r="X83" s="87">
        <v>1427.0</v>
      </c>
      <c r="Y83" s="87">
        <v>185.0</v>
      </c>
      <c r="Z83" s="87">
        <v>1262.0</v>
      </c>
      <c r="AA83" s="87">
        <v>1415.0</v>
      </c>
      <c r="AB83" s="87">
        <v>1017.0</v>
      </c>
      <c r="AC83" s="87">
        <v>1496.0</v>
      </c>
      <c r="AD83" s="87">
        <v>1716.0</v>
      </c>
      <c r="AE83" s="87">
        <v>1369.0</v>
      </c>
      <c r="AF83" s="87">
        <v>931.0</v>
      </c>
      <c r="AG83" s="87"/>
      <c r="AH83" s="87">
        <v>4775.0</v>
      </c>
      <c r="AI83" s="87">
        <v>5961.0</v>
      </c>
      <c r="AJ83" s="87">
        <v>82.0</v>
      </c>
      <c r="AK83" s="87">
        <v>33.0</v>
      </c>
      <c r="AL83" s="87">
        <v>703.0</v>
      </c>
      <c r="AM83" s="87">
        <v>159.0</v>
      </c>
      <c r="AN83" s="87">
        <v>1841.0</v>
      </c>
      <c r="AO83" s="87">
        <v>6645.0</v>
      </c>
      <c r="AP83" s="87">
        <v>324.0</v>
      </c>
      <c r="AQ83" s="87">
        <v>887.0</v>
      </c>
      <c r="AR83" s="87">
        <v>226.0</v>
      </c>
      <c r="AS83" s="87">
        <v>8539.0</v>
      </c>
      <c r="AT83" s="87">
        <v>143.0</v>
      </c>
      <c r="AU83" s="87">
        <v>247.0</v>
      </c>
      <c r="AV83" s="87">
        <v>284.0</v>
      </c>
      <c r="AW83" s="87">
        <v>16.0</v>
      </c>
      <c r="AX83" s="87">
        <v>240.0</v>
      </c>
      <c r="AY83" s="87">
        <v>3.0</v>
      </c>
      <c r="AZ83" s="87"/>
      <c r="BA83" s="87">
        <v>1.0</v>
      </c>
      <c r="BB83" s="87"/>
      <c r="BC83" s="87">
        <v>1345.0</v>
      </c>
      <c r="BD83" s="87"/>
      <c r="BE83" s="87">
        <v>6781.0</v>
      </c>
      <c r="BF83" s="87">
        <v>44.0</v>
      </c>
      <c r="BG83" s="87">
        <v>3989.0</v>
      </c>
      <c r="BH83" s="87">
        <v>4.0</v>
      </c>
      <c r="BI83" s="87">
        <v>66386.0</v>
      </c>
      <c r="BJ83" s="87">
        <v>5631.0</v>
      </c>
      <c r="BK83" s="87">
        <v>1540.0</v>
      </c>
      <c r="BL83" s="87">
        <v>1888.0</v>
      </c>
      <c r="BM83" s="87">
        <v>1345.0</v>
      </c>
      <c r="BN83" s="87">
        <v>414.0</v>
      </c>
      <c r="BO83" s="87"/>
      <c r="BP83" s="87">
        <v>7627.0</v>
      </c>
      <c r="BQ83" s="87">
        <v>280.0</v>
      </c>
      <c r="BR83" s="87">
        <v>213.0</v>
      </c>
      <c r="BS83" s="87">
        <v>769.0</v>
      </c>
      <c r="BT83" s="87">
        <v>70.0</v>
      </c>
      <c r="BU83" s="87">
        <v>10.0</v>
      </c>
      <c r="BV83" s="87">
        <v>528.0</v>
      </c>
      <c r="BW83" s="87">
        <v>336.0</v>
      </c>
      <c r="BX83" s="87">
        <v>819.0</v>
      </c>
      <c r="BY83" s="87"/>
      <c r="BZ83" s="87">
        <v>3.0</v>
      </c>
      <c r="CA83" s="87">
        <v>113.0</v>
      </c>
      <c r="CB83" s="87">
        <v>8.0</v>
      </c>
      <c r="CC83" s="87"/>
      <c r="CD83" s="87">
        <v>42.0</v>
      </c>
      <c r="CE83" s="87"/>
      <c r="CF83" s="87"/>
      <c r="CG83" s="87">
        <v>229.0</v>
      </c>
      <c r="CH83" s="87">
        <v>10589.0</v>
      </c>
      <c r="CI83" s="87"/>
      <c r="CJ83" s="87">
        <v>3321.0</v>
      </c>
      <c r="CK83" s="87">
        <v>6177.0</v>
      </c>
      <c r="CL83" s="87">
        <v>967.0</v>
      </c>
      <c r="CM83" s="87">
        <v>49.0</v>
      </c>
      <c r="CN83" s="87">
        <v>4.0</v>
      </c>
      <c r="CO83" s="87">
        <v>96.0</v>
      </c>
      <c r="CP83" s="87"/>
      <c r="CQ83" s="87">
        <v>126.0</v>
      </c>
      <c r="CR83" s="87"/>
      <c r="CS83" s="87">
        <v>78.0</v>
      </c>
      <c r="CT83" s="87">
        <v>1545.0</v>
      </c>
      <c r="CU83" s="87">
        <v>218.0</v>
      </c>
      <c r="CV83" s="87">
        <v>88.0</v>
      </c>
      <c r="CW83" s="87">
        <v>657.0</v>
      </c>
      <c r="CX83" s="87">
        <v>120.0</v>
      </c>
      <c r="CY83" s="87">
        <v>279.0</v>
      </c>
      <c r="CZ83" s="87">
        <v>3.0</v>
      </c>
      <c r="DA83" s="87">
        <v>7.0</v>
      </c>
      <c r="DB83" s="87">
        <v>1549.0</v>
      </c>
      <c r="DC83" s="87">
        <v>439.0</v>
      </c>
      <c r="DD83" s="87">
        <v>843.0</v>
      </c>
      <c r="DE83" s="87">
        <v>156.0</v>
      </c>
      <c r="DF83" s="87">
        <v>183.0</v>
      </c>
      <c r="DG83" s="87">
        <v>487.0</v>
      </c>
      <c r="DH83" s="87">
        <v>1496.0</v>
      </c>
      <c r="DI83" s="87">
        <v>1382.0</v>
      </c>
      <c r="DJ83" s="87">
        <v>3.0</v>
      </c>
      <c r="DK83" s="87">
        <v>211.0</v>
      </c>
      <c r="DL83" s="87">
        <v>1095.0</v>
      </c>
      <c r="DM83" s="87">
        <v>57.0</v>
      </c>
      <c r="DN83" s="87"/>
      <c r="DO83" s="87">
        <v>2050.0</v>
      </c>
      <c r="DP83" s="87">
        <v>1368.0</v>
      </c>
      <c r="DQ83" s="87">
        <v>913.0</v>
      </c>
      <c r="DR83" s="87">
        <v>1013.0</v>
      </c>
      <c r="DS83" s="87">
        <v>6.0</v>
      </c>
      <c r="DT83" s="87">
        <v>7.0</v>
      </c>
      <c r="DU83" s="87">
        <v>3.0</v>
      </c>
      <c r="DV83" s="87">
        <v>160.0</v>
      </c>
      <c r="DW83" s="87">
        <v>31.0</v>
      </c>
      <c r="DX83" s="87">
        <v>226.0</v>
      </c>
      <c r="DY83" s="87">
        <v>477.0</v>
      </c>
      <c r="DZ83" s="87">
        <v>108.0</v>
      </c>
      <c r="EA83" s="87">
        <v>30.0</v>
      </c>
      <c r="EB83" s="87">
        <v>143.0</v>
      </c>
      <c r="EC83" s="87">
        <v>162.0</v>
      </c>
      <c r="ED83" s="87">
        <v>3966.0</v>
      </c>
      <c r="EE83" s="87">
        <v>155.0</v>
      </c>
      <c r="EF83" s="87">
        <v>26.0</v>
      </c>
      <c r="EG83" s="87">
        <v>639.0</v>
      </c>
      <c r="EH83" s="87">
        <v>10.0</v>
      </c>
      <c r="EI83" s="87">
        <v>84.0</v>
      </c>
      <c r="EJ83" s="87">
        <v>10059.0</v>
      </c>
      <c r="EK83" s="88"/>
      <c r="EL83" s="88"/>
      <c r="EM83" s="88"/>
      <c r="EN83" s="88"/>
      <c r="EO83" s="88"/>
      <c r="EP83" s="88"/>
      <c r="EQ83" s="90"/>
    </row>
    <row r="84" ht="12.0" customHeight="1">
      <c r="A84" s="89">
        <v>1.06190066E8</v>
      </c>
      <c r="B84" s="89" t="s">
        <v>915</v>
      </c>
      <c r="C84" s="89" t="s">
        <v>865</v>
      </c>
      <c r="D84" s="89" t="s">
        <v>916</v>
      </c>
      <c r="E84" s="89" t="s">
        <v>917</v>
      </c>
      <c r="F84" s="89" t="s">
        <v>918</v>
      </c>
      <c r="G84" s="89" t="s">
        <v>919</v>
      </c>
      <c r="H84" s="89" t="s">
        <v>503</v>
      </c>
      <c r="I84" s="89" t="s">
        <v>543</v>
      </c>
      <c r="J84" s="89" t="s">
        <v>437</v>
      </c>
      <c r="K84" s="89" t="s">
        <v>777</v>
      </c>
      <c r="L84" s="89" t="s">
        <v>920</v>
      </c>
      <c r="M84" s="89" t="s">
        <v>921</v>
      </c>
      <c r="N84" s="89" t="s">
        <v>441</v>
      </c>
      <c r="O84" s="87"/>
      <c r="P84" s="87"/>
      <c r="Q84" s="87">
        <v>1359.0</v>
      </c>
      <c r="R84" s="87"/>
      <c r="S84" s="87"/>
      <c r="T84" s="87"/>
      <c r="U84" s="87">
        <v>931.0</v>
      </c>
      <c r="V84" s="87">
        <v>428.0</v>
      </c>
      <c r="W84" s="87"/>
      <c r="X84" s="87"/>
      <c r="Y84" s="87">
        <v>16.0</v>
      </c>
      <c r="Z84" s="87">
        <v>233.0</v>
      </c>
      <c r="AA84" s="87">
        <v>338.0</v>
      </c>
      <c r="AB84" s="87">
        <v>270.0</v>
      </c>
      <c r="AC84" s="87">
        <v>284.0</v>
      </c>
      <c r="AD84" s="87">
        <v>176.0</v>
      </c>
      <c r="AE84" s="87">
        <v>39.0</v>
      </c>
      <c r="AF84" s="87"/>
      <c r="AG84" s="87">
        <v>3.0</v>
      </c>
      <c r="AH84" s="87">
        <v>397.0</v>
      </c>
      <c r="AI84" s="87">
        <v>819.0</v>
      </c>
      <c r="AJ84" s="87">
        <v>143.0</v>
      </c>
      <c r="AK84" s="87"/>
      <c r="AL84" s="87">
        <v>68.0</v>
      </c>
      <c r="AM84" s="87"/>
      <c r="AN84" s="87">
        <v>373.0</v>
      </c>
      <c r="AO84" s="87">
        <v>588.0</v>
      </c>
      <c r="AP84" s="87">
        <v>12.0</v>
      </c>
      <c r="AQ84" s="87">
        <v>290.0</v>
      </c>
      <c r="AR84" s="87">
        <v>28.0</v>
      </c>
      <c r="AS84" s="87">
        <v>28.0</v>
      </c>
      <c r="AT84" s="87"/>
      <c r="AU84" s="87">
        <v>1299.0</v>
      </c>
      <c r="AV84" s="87">
        <v>2.0</v>
      </c>
      <c r="AW84" s="87">
        <v>28.0</v>
      </c>
      <c r="AX84" s="87">
        <v>2.0</v>
      </c>
      <c r="AY84" s="87"/>
      <c r="AZ84" s="87"/>
      <c r="BA84" s="87"/>
      <c r="BB84" s="87"/>
      <c r="BC84" s="87"/>
      <c r="BD84" s="87"/>
      <c r="BE84" s="87"/>
      <c r="BF84" s="87">
        <v>685.0</v>
      </c>
      <c r="BG84" s="87">
        <v>674.0</v>
      </c>
      <c r="BH84" s="87"/>
      <c r="BI84" s="87">
        <v>9871.0</v>
      </c>
      <c r="BJ84" s="87">
        <v>213.0</v>
      </c>
      <c r="BK84" s="87"/>
      <c r="BL84" s="87">
        <v>1146.0</v>
      </c>
      <c r="BM84" s="87"/>
      <c r="BN84" s="87"/>
      <c r="BO84" s="87"/>
      <c r="BP84" s="87">
        <v>904.0</v>
      </c>
      <c r="BQ84" s="87">
        <v>38.0</v>
      </c>
      <c r="BR84" s="87">
        <v>27.0</v>
      </c>
      <c r="BS84" s="87">
        <v>155.0</v>
      </c>
      <c r="BT84" s="87">
        <v>70.0</v>
      </c>
      <c r="BU84" s="87">
        <v>2.0</v>
      </c>
      <c r="BV84" s="87">
        <v>9.0</v>
      </c>
      <c r="BW84" s="87"/>
      <c r="BX84" s="87"/>
      <c r="BY84" s="87"/>
      <c r="BZ84" s="87"/>
      <c r="CA84" s="87"/>
      <c r="CB84" s="87">
        <v>7.0</v>
      </c>
      <c r="CC84" s="87"/>
      <c r="CD84" s="87">
        <v>147.0</v>
      </c>
      <c r="CE84" s="87"/>
      <c r="CF84" s="87"/>
      <c r="CG84" s="87">
        <v>1.0</v>
      </c>
      <c r="CH84" s="87">
        <v>1358.0</v>
      </c>
      <c r="CI84" s="87"/>
      <c r="CJ84" s="87">
        <v>326.0</v>
      </c>
      <c r="CK84" s="87">
        <v>985.0</v>
      </c>
      <c r="CL84" s="87">
        <v>43.0</v>
      </c>
      <c r="CM84" s="87"/>
      <c r="CN84" s="87"/>
      <c r="CO84" s="87"/>
      <c r="CP84" s="87"/>
      <c r="CQ84" s="87">
        <v>5.0</v>
      </c>
      <c r="CR84" s="87"/>
      <c r="CS84" s="87"/>
      <c r="CT84" s="87"/>
      <c r="CU84" s="87"/>
      <c r="CV84" s="87"/>
      <c r="CW84" s="87"/>
      <c r="CX84" s="87">
        <v>1354.0</v>
      </c>
      <c r="CY84" s="87"/>
      <c r="CZ84" s="87"/>
      <c r="DA84" s="87"/>
      <c r="DB84" s="87"/>
      <c r="DC84" s="87"/>
      <c r="DD84" s="87"/>
      <c r="DE84" s="87"/>
      <c r="DF84" s="87"/>
      <c r="DG84" s="87"/>
      <c r="DH84" s="87"/>
      <c r="DI84" s="87"/>
      <c r="DJ84" s="87"/>
      <c r="DK84" s="87"/>
      <c r="DL84" s="87"/>
      <c r="DM84" s="87">
        <v>5.0</v>
      </c>
      <c r="DN84" s="87"/>
      <c r="DO84" s="87">
        <v>1347.0</v>
      </c>
      <c r="DP84" s="87"/>
      <c r="DQ84" s="87"/>
      <c r="DR84" s="87"/>
      <c r="DS84" s="87"/>
      <c r="DT84" s="87"/>
      <c r="DU84" s="87"/>
      <c r="DV84" s="87"/>
      <c r="DW84" s="87"/>
      <c r="DX84" s="87"/>
      <c r="DY84" s="87"/>
      <c r="DZ84" s="87"/>
      <c r="EA84" s="87"/>
      <c r="EB84" s="87"/>
      <c r="EC84" s="87"/>
      <c r="ED84" s="87">
        <v>12.0</v>
      </c>
      <c r="EE84" s="87"/>
      <c r="EF84" s="87">
        <v>19.0</v>
      </c>
      <c r="EG84" s="87">
        <v>185.0</v>
      </c>
      <c r="EH84" s="87"/>
      <c r="EI84" s="87">
        <v>6.0</v>
      </c>
      <c r="EJ84" s="87">
        <v>1149.0</v>
      </c>
      <c r="EK84" s="88"/>
      <c r="EL84" s="88"/>
      <c r="EM84" s="88"/>
      <c r="EN84" s="88"/>
      <c r="EO84" s="88"/>
      <c r="EP84" s="88"/>
      <c r="EQ84" s="90"/>
    </row>
    <row r="85" ht="12.0" customHeight="1">
      <c r="A85" s="89">
        <v>1.06190081E8</v>
      </c>
      <c r="B85" s="89" t="s">
        <v>922</v>
      </c>
      <c r="C85" s="89" t="s">
        <v>865</v>
      </c>
      <c r="D85" s="89" t="s">
        <v>923</v>
      </c>
      <c r="E85" s="89" t="s">
        <v>924</v>
      </c>
      <c r="F85" s="89" t="s">
        <v>925</v>
      </c>
      <c r="G85" s="89" t="s">
        <v>926</v>
      </c>
      <c r="H85" s="89" t="s">
        <v>447</v>
      </c>
      <c r="I85" s="89" t="s">
        <v>543</v>
      </c>
      <c r="J85" s="89" t="s">
        <v>469</v>
      </c>
      <c r="K85" s="89" t="s">
        <v>777</v>
      </c>
      <c r="L85" s="89" t="s">
        <v>920</v>
      </c>
      <c r="M85" s="89" t="s">
        <v>927</v>
      </c>
      <c r="N85" s="89" t="s">
        <v>441</v>
      </c>
      <c r="O85" s="87">
        <v>7873.0</v>
      </c>
      <c r="P85" s="87"/>
      <c r="Q85" s="87"/>
      <c r="R85" s="87"/>
      <c r="S85" s="87"/>
      <c r="T85" s="87"/>
      <c r="U85" s="87">
        <v>3727.0</v>
      </c>
      <c r="V85" s="87">
        <v>4146.0</v>
      </c>
      <c r="W85" s="87"/>
      <c r="X85" s="87">
        <v>560.0</v>
      </c>
      <c r="Y85" s="87">
        <v>107.0</v>
      </c>
      <c r="Z85" s="87">
        <v>533.0</v>
      </c>
      <c r="AA85" s="87">
        <v>735.0</v>
      </c>
      <c r="AB85" s="87">
        <v>745.0</v>
      </c>
      <c r="AC85" s="87">
        <v>1128.0</v>
      </c>
      <c r="AD85" s="87">
        <v>1499.0</v>
      </c>
      <c r="AE85" s="87">
        <v>1222.0</v>
      </c>
      <c r="AF85" s="87">
        <v>1344.0</v>
      </c>
      <c r="AG85" s="87"/>
      <c r="AH85" s="87">
        <v>6506.0</v>
      </c>
      <c r="AI85" s="87">
        <v>1317.0</v>
      </c>
      <c r="AJ85" s="87">
        <v>50.0</v>
      </c>
      <c r="AK85" s="87"/>
      <c r="AL85" s="87">
        <v>338.0</v>
      </c>
      <c r="AM85" s="87"/>
      <c r="AN85" s="87">
        <v>207.0</v>
      </c>
      <c r="AO85" s="87">
        <v>7136.0</v>
      </c>
      <c r="AP85" s="87">
        <v>28.0</v>
      </c>
      <c r="AQ85" s="87">
        <v>152.0</v>
      </c>
      <c r="AR85" s="87">
        <v>12.0</v>
      </c>
      <c r="AS85" s="87">
        <v>6670.0</v>
      </c>
      <c r="AT85" s="87">
        <v>1.0</v>
      </c>
      <c r="AU85" s="87">
        <v>294.0</v>
      </c>
      <c r="AV85" s="87">
        <v>489.0</v>
      </c>
      <c r="AW85" s="87"/>
      <c r="AX85" s="87">
        <v>3.0</v>
      </c>
      <c r="AY85" s="87">
        <v>2.0</v>
      </c>
      <c r="AZ85" s="87"/>
      <c r="BA85" s="87"/>
      <c r="BB85" s="87">
        <v>5.0</v>
      </c>
      <c r="BC85" s="87">
        <v>409.0</v>
      </c>
      <c r="BD85" s="87"/>
      <c r="BE85" s="87">
        <v>6092.0</v>
      </c>
      <c r="BF85" s="87">
        <v>268.0</v>
      </c>
      <c r="BG85" s="87">
        <v>1513.0</v>
      </c>
      <c r="BH85" s="87"/>
      <c r="BI85" s="87">
        <v>33713.0</v>
      </c>
      <c r="BJ85" s="87">
        <v>254.0</v>
      </c>
      <c r="BK85" s="87">
        <v>6173.0</v>
      </c>
      <c r="BL85" s="87">
        <v>1030.0</v>
      </c>
      <c r="BM85" s="87">
        <v>409.0</v>
      </c>
      <c r="BN85" s="87"/>
      <c r="BO85" s="87">
        <v>7.0</v>
      </c>
      <c r="BP85" s="87">
        <v>4671.0</v>
      </c>
      <c r="BQ85" s="87">
        <v>195.0</v>
      </c>
      <c r="BR85" s="87">
        <v>7.0</v>
      </c>
      <c r="BS85" s="87">
        <v>1176.0</v>
      </c>
      <c r="BT85" s="87">
        <v>5.0</v>
      </c>
      <c r="BU85" s="87">
        <v>2.0</v>
      </c>
      <c r="BV85" s="87">
        <v>260.0</v>
      </c>
      <c r="BW85" s="87">
        <v>242.0</v>
      </c>
      <c r="BX85" s="87">
        <v>1174.0</v>
      </c>
      <c r="BY85" s="87"/>
      <c r="BZ85" s="87">
        <v>2.0</v>
      </c>
      <c r="CA85" s="87">
        <v>105.0</v>
      </c>
      <c r="CB85" s="87">
        <v>23.0</v>
      </c>
      <c r="CC85" s="87"/>
      <c r="CD85" s="87">
        <v>11.0</v>
      </c>
      <c r="CE85" s="87"/>
      <c r="CF85" s="87"/>
      <c r="CG85" s="87">
        <v>105.0</v>
      </c>
      <c r="CH85" s="87">
        <v>7768.0</v>
      </c>
      <c r="CI85" s="87"/>
      <c r="CJ85" s="87">
        <v>3316.0</v>
      </c>
      <c r="CK85" s="87">
        <v>3515.0</v>
      </c>
      <c r="CL85" s="87">
        <v>923.0</v>
      </c>
      <c r="CM85" s="87">
        <v>11.0</v>
      </c>
      <c r="CN85" s="87">
        <v>2.0</v>
      </c>
      <c r="CO85" s="87"/>
      <c r="CP85" s="87"/>
      <c r="CQ85" s="87">
        <v>106.0</v>
      </c>
      <c r="CR85" s="87"/>
      <c r="CS85" s="87"/>
      <c r="CT85" s="87">
        <v>1081.0</v>
      </c>
      <c r="CU85" s="87">
        <v>218.0</v>
      </c>
      <c r="CV85" s="87">
        <v>69.0</v>
      </c>
      <c r="CW85" s="87">
        <v>448.0</v>
      </c>
      <c r="CX85" s="87">
        <v>101.0</v>
      </c>
      <c r="CY85" s="87">
        <v>219.0</v>
      </c>
      <c r="CZ85" s="87">
        <v>9.0</v>
      </c>
      <c r="DA85" s="87">
        <v>33.0</v>
      </c>
      <c r="DB85" s="87">
        <v>1021.0</v>
      </c>
      <c r="DC85" s="87">
        <v>422.0</v>
      </c>
      <c r="DD85" s="87">
        <v>1206.0</v>
      </c>
      <c r="DE85" s="87">
        <v>175.0</v>
      </c>
      <c r="DF85" s="87">
        <v>460.0</v>
      </c>
      <c r="DG85" s="87">
        <v>661.0</v>
      </c>
      <c r="DH85" s="87">
        <v>498.0</v>
      </c>
      <c r="DI85" s="87">
        <v>420.0</v>
      </c>
      <c r="DJ85" s="87">
        <v>9.0</v>
      </c>
      <c r="DK85" s="87">
        <v>194.0</v>
      </c>
      <c r="DL85" s="87">
        <v>590.0</v>
      </c>
      <c r="DM85" s="87">
        <v>38.0</v>
      </c>
      <c r="DN85" s="87">
        <v>1.0</v>
      </c>
      <c r="DO85" s="87">
        <v>949.0</v>
      </c>
      <c r="DP85" s="87">
        <v>428.0</v>
      </c>
      <c r="DQ85" s="87">
        <v>613.0</v>
      </c>
      <c r="DR85" s="87">
        <v>1076.0</v>
      </c>
      <c r="DS85" s="87"/>
      <c r="DT85" s="87">
        <v>3.0</v>
      </c>
      <c r="DU85" s="87">
        <v>1.0</v>
      </c>
      <c r="DV85" s="87">
        <v>197.0</v>
      </c>
      <c r="DW85" s="87">
        <v>15.0</v>
      </c>
      <c r="DX85" s="87">
        <v>233.0</v>
      </c>
      <c r="DY85" s="87">
        <v>708.0</v>
      </c>
      <c r="DZ85" s="87">
        <v>60.0</v>
      </c>
      <c r="EA85" s="87">
        <v>4.0</v>
      </c>
      <c r="EB85" s="87">
        <v>90.0</v>
      </c>
      <c r="EC85" s="87">
        <v>104.0</v>
      </c>
      <c r="ED85" s="87">
        <v>3322.0</v>
      </c>
      <c r="EE85" s="87">
        <v>70.0</v>
      </c>
      <c r="EF85" s="87">
        <v>7.0</v>
      </c>
      <c r="EG85" s="87">
        <v>195.0</v>
      </c>
      <c r="EH85" s="87"/>
      <c r="EI85" s="87">
        <v>35.0</v>
      </c>
      <c r="EJ85" s="87">
        <v>7636.0</v>
      </c>
      <c r="EK85" s="88"/>
      <c r="EL85" s="88"/>
      <c r="EM85" s="88"/>
      <c r="EN85" s="88"/>
      <c r="EO85" s="88"/>
      <c r="EP85" s="88"/>
      <c r="EQ85" s="90"/>
    </row>
    <row r="86" ht="12.0" customHeight="1">
      <c r="A86" s="89">
        <v>1.0619011E8</v>
      </c>
      <c r="B86" s="89" t="s">
        <v>928</v>
      </c>
      <c r="C86" s="89" t="s">
        <v>865</v>
      </c>
      <c r="D86" s="89" t="s">
        <v>929</v>
      </c>
      <c r="E86" s="89" t="s">
        <v>930</v>
      </c>
      <c r="F86" s="89" t="s">
        <v>931</v>
      </c>
      <c r="G86" s="89" t="s">
        <v>932</v>
      </c>
      <c r="H86" s="89" t="s">
        <v>503</v>
      </c>
      <c r="I86" s="89" t="s">
        <v>543</v>
      </c>
      <c r="J86" s="89" t="s">
        <v>448</v>
      </c>
      <c r="K86" s="89" t="s">
        <v>933</v>
      </c>
      <c r="L86" s="89" t="s">
        <v>934</v>
      </c>
      <c r="M86" s="89" t="s">
        <v>935</v>
      </c>
      <c r="N86" s="89" t="s">
        <v>441</v>
      </c>
      <c r="O86" s="87">
        <v>7510.0</v>
      </c>
      <c r="P86" s="87">
        <v>20.0</v>
      </c>
      <c r="Q86" s="87">
        <v>3455.0</v>
      </c>
      <c r="R86" s="87">
        <v>982.0</v>
      </c>
      <c r="S86" s="87">
        <v>334.0</v>
      </c>
      <c r="T86" s="87"/>
      <c r="U86" s="87">
        <v>7348.0</v>
      </c>
      <c r="V86" s="87">
        <v>4948.0</v>
      </c>
      <c r="W86" s="87">
        <v>5.0</v>
      </c>
      <c r="X86" s="87"/>
      <c r="Y86" s="87">
        <v>79.0</v>
      </c>
      <c r="Z86" s="87">
        <v>1035.0</v>
      </c>
      <c r="AA86" s="87">
        <v>1885.0</v>
      </c>
      <c r="AB86" s="87">
        <v>1854.0</v>
      </c>
      <c r="AC86" s="87">
        <v>2493.0</v>
      </c>
      <c r="AD86" s="87">
        <v>2435.0</v>
      </c>
      <c r="AE86" s="87">
        <v>1424.0</v>
      </c>
      <c r="AF86" s="87">
        <v>1096.0</v>
      </c>
      <c r="AG86" s="87"/>
      <c r="AH86" s="87">
        <v>2558.0</v>
      </c>
      <c r="AI86" s="87">
        <v>9443.0</v>
      </c>
      <c r="AJ86" s="87">
        <v>300.0</v>
      </c>
      <c r="AK86" s="87">
        <v>15.0</v>
      </c>
      <c r="AL86" s="87">
        <v>353.0</v>
      </c>
      <c r="AM86" s="87"/>
      <c r="AN86" s="87">
        <v>4600.0</v>
      </c>
      <c r="AO86" s="87">
        <v>5377.0</v>
      </c>
      <c r="AP86" s="87">
        <v>384.0</v>
      </c>
      <c r="AQ86" s="87">
        <v>1269.0</v>
      </c>
      <c r="AR86" s="87">
        <v>303.0</v>
      </c>
      <c r="AS86" s="87">
        <v>7054.0</v>
      </c>
      <c r="AT86" s="87">
        <v>17.0</v>
      </c>
      <c r="AU86" s="87">
        <v>3322.0</v>
      </c>
      <c r="AV86" s="87">
        <v>1439.0</v>
      </c>
      <c r="AW86" s="87">
        <v>259.0</v>
      </c>
      <c r="AX86" s="87">
        <v>120.0</v>
      </c>
      <c r="AY86" s="87"/>
      <c r="AZ86" s="87"/>
      <c r="BA86" s="87">
        <v>2.0</v>
      </c>
      <c r="BB86" s="87">
        <v>88.0</v>
      </c>
      <c r="BC86" s="87"/>
      <c r="BD86" s="87"/>
      <c r="BE86" s="87">
        <v>6024.0</v>
      </c>
      <c r="BF86" s="87">
        <v>165.0</v>
      </c>
      <c r="BG86" s="87">
        <v>6112.0</v>
      </c>
      <c r="BH86" s="87"/>
      <c r="BI86" s="87">
        <v>77009.0</v>
      </c>
      <c r="BJ86" s="87">
        <v>6164.0</v>
      </c>
      <c r="BK86" s="87">
        <v>3392.0</v>
      </c>
      <c r="BL86" s="87">
        <v>2744.0</v>
      </c>
      <c r="BM86" s="87"/>
      <c r="BN86" s="87"/>
      <c r="BO86" s="87">
        <v>1.0</v>
      </c>
      <c r="BP86" s="87">
        <v>7040.0</v>
      </c>
      <c r="BQ86" s="87">
        <v>324.0</v>
      </c>
      <c r="BR86" s="87">
        <v>249.0</v>
      </c>
      <c r="BS86" s="87">
        <v>2177.0</v>
      </c>
      <c r="BT86" s="87">
        <v>93.0</v>
      </c>
      <c r="BU86" s="87">
        <v>15.0</v>
      </c>
      <c r="BV86" s="87">
        <v>863.0</v>
      </c>
      <c r="BW86" s="87">
        <v>211.0</v>
      </c>
      <c r="BX86" s="87">
        <v>730.0</v>
      </c>
      <c r="BY86" s="87"/>
      <c r="BZ86" s="87"/>
      <c r="CA86" s="87">
        <v>71.0</v>
      </c>
      <c r="CB86" s="87">
        <v>112.0</v>
      </c>
      <c r="CC86" s="87">
        <v>2.0</v>
      </c>
      <c r="CD86" s="87">
        <v>413.0</v>
      </c>
      <c r="CE86" s="87"/>
      <c r="CF86" s="87">
        <v>1.0</v>
      </c>
      <c r="CG86" s="87">
        <v>181.0</v>
      </c>
      <c r="CH86" s="87">
        <v>12120.0</v>
      </c>
      <c r="CI86" s="87"/>
      <c r="CJ86" s="87">
        <v>4292.0</v>
      </c>
      <c r="CK86" s="87">
        <v>3256.0</v>
      </c>
      <c r="CL86" s="87">
        <v>4553.0</v>
      </c>
      <c r="CM86" s="87">
        <v>14.0</v>
      </c>
      <c r="CN86" s="87"/>
      <c r="CO86" s="87">
        <v>10.0</v>
      </c>
      <c r="CP86" s="87"/>
      <c r="CQ86" s="87">
        <v>176.0</v>
      </c>
      <c r="CR86" s="87"/>
      <c r="CS86" s="87"/>
      <c r="CT86" s="87">
        <v>1883.0</v>
      </c>
      <c r="CU86" s="87">
        <v>162.0</v>
      </c>
      <c r="CV86" s="87">
        <v>70.0</v>
      </c>
      <c r="CW86" s="87">
        <v>745.0</v>
      </c>
      <c r="CX86" s="87">
        <v>4808.0</v>
      </c>
      <c r="CY86" s="87">
        <v>457.0</v>
      </c>
      <c r="CZ86" s="87">
        <v>3.0</v>
      </c>
      <c r="DA86" s="87">
        <v>22.0</v>
      </c>
      <c r="DB86" s="87">
        <v>1164.0</v>
      </c>
      <c r="DC86" s="87">
        <v>354.0</v>
      </c>
      <c r="DD86" s="87">
        <v>782.0</v>
      </c>
      <c r="DE86" s="87">
        <v>191.0</v>
      </c>
      <c r="DF86" s="87">
        <v>342.0</v>
      </c>
      <c r="DG86" s="87">
        <v>433.0</v>
      </c>
      <c r="DH86" s="87">
        <v>14.0</v>
      </c>
      <c r="DI86" s="87"/>
      <c r="DJ86" s="87"/>
      <c r="DK86" s="87">
        <v>160.0</v>
      </c>
      <c r="DL86" s="87">
        <v>639.0</v>
      </c>
      <c r="DM86" s="87">
        <v>70.0</v>
      </c>
      <c r="DN86" s="87">
        <v>2.0</v>
      </c>
      <c r="DO86" s="87">
        <v>5629.0</v>
      </c>
      <c r="DP86" s="87">
        <v>1.0</v>
      </c>
      <c r="DQ86" s="87">
        <v>858.0</v>
      </c>
      <c r="DR86" s="87">
        <v>1198.0</v>
      </c>
      <c r="DS86" s="87">
        <v>1.0</v>
      </c>
      <c r="DT86" s="87">
        <v>4.0</v>
      </c>
      <c r="DU86" s="87">
        <v>1.0</v>
      </c>
      <c r="DV86" s="87">
        <v>62.0</v>
      </c>
      <c r="DW86" s="87">
        <v>10.0</v>
      </c>
      <c r="DX86" s="87">
        <v>175.0</v>
      </c>
      <c r="DY86" s="87">
        <v>436.0</v>
      </c>
      <c r="DZ86" s="87">
        <v>60.0</v>
      </c>
      <c r="EA86" s="87">
        <v>16.0</v>
      </c>
      <c r="EB86" s="87">
        <v>89.0</v>
      </c>
      <c r="EC86" s="87">
        <v>84.0</v>
      </c>
      <c r="ED86" s="87">
        <v>3653.0</v>
      </c>
      <c r="EE86" s="87">
        <v>24.0</v>
      </c>
      <c r="EF86" s="87">
        <v>5.0</v>
      </c>
      <c r="EG86" s="87">
        <v>572.0</v>
      </c>
      <c r="EH86" s="87"/>
      <c r="EI86" s="87">
        <v>218.0</v>
      </c>
      <c r="EJ86" s="87">
        <v>11506.0</v>
      </c>
      <c r="EK86" s="88"/>
      <c r="EL86" s="88"/>
      <c r="EM86" s="88"/>
      <c r="EN86" s="88"/>
      <c r="EO86" s="88"/>
      <c r="EP86" s="88"/>
      <c r="EQ86" s="90"/>
    </row>
    <row r="87" ht="12.0" customHeight="1">
      <c r="A87" s="89">
        <v>1.06190125E8</v>
      </c>
      <c r="B87" s="89" t="s">
        <v>936</v>
      </c>
      <c r="C87" s="89" t="s">
        <v>865</v>
      </c>
      <c r="D87" s="89" t="s">
        <v>937</v>
      </c>
      <c r="E87" s="89" t="s">
        <v>938</v>
      </c>
      <c r="F87" s="89" t="s">
        <v>865</v>
      </c>
      <c r="G87" s="89" t="s">
        <v>939</v>
      </c>
      <c r="H87" s="89" t="s">
        <v>447</v>
      </c>
      <c r="I87" s="89" t="s">
        <v>543</v>
      </c>
      <c r="J87" s="89" t="s">
        <v>448</v>
      </c>
      <c r="K87" s="89" t="s">
        <v>933</v>
      </c>
      <c r="L87" s="89" t="s">
        <v>940</v>
      </c>
      <c r="M87" s="89" t="s">
        <v>941</v>
      </c>
      <c r="N87" s="89" t="s">
        <v>441</v>
      </c>
      <c r="O87" s="87">
        <v>17067.0</v>
      </c>
      <c r="P87" s="87"/>
      <c r="Q87" s="87"/>
      <c r="R87" s="87"/>
      <c r="S87" s="87"/>
      <c r="T87" s="87"/>
      <c r="U87" s="87">
        <v>7678.0</v>
      </c>
      <c r="V87" s="87">
        <v>9389.0</v>
      </c>
      <c r="W87" s="87"/>
      <c r="X87" s="87">
        <v>2810.0</v>
      </c>
      <c r="Y87" s="87">
        <v>458.0</v>
      </c>
      <c r="Z87" s="87">
        <v>2660.0</v>
      </c>
      <c r="AA87" s="87">
        <v>2647.0</v>
      </c>
      <c r="AB87" s="87">
        <v>1814.0</v>
      </c>
      <c r="AC87" s="87">
        <v>2364.0</v>
      </c>
      <c r="AD87" s="87">
        <v>2379.0</v>
      </c>
      <c r="AE87" s="87">
        <v>1185.0</v>
      </c>
      <c r="AF87" s="87">
        <v>750.0</v>
      </c>
      <c r="AG87" s="87"/>
      <c r="AH87" s="87">
        <v>10862.0</v>
      </c>
      <c r="AI87" s="87">
        <v>6169.0</v>
      </c>
      <c r="AJ87" s="87">
        <v>36.0</v>
      </c>
      <c r="AK87" s="87">
        <v>17.0</v>
      </c>
      <c r="AL87" s="87">
        <v>477.0</v>
      </c>
      <c r="AM87" s="87">
        <v>12.0</v>
      </c>
      <c r="AN87" s="87">
        <v>4121.0</v>
      </c>
      <c r="AO87" s="87">
        <v>8958.0</v>
      </c>
      <c r="AP87" s="87">
        <v>306.0</v>
      </c>
      <c r="AQ87" s="87">
        <v>3176.0</v>
      </c>
      <c r="AR87" s="87"/>
      <c r="AS87" s="87">
        <v>12133.0</v>
      </c>
      <c r="AT87" s="87">
        <v>461.0</v>
      </c>
      <c r="AU87" s="87">
        <v>1729.0</v>
      </c>
      <c r="AV87" s="87">
        <v>121.0</v>
      </c>
      <c r="AW87" s="87">
        <v>9.0</v>
      </c>
      <c r="AX87" s="87">
        <v>13.0</v>
      </c>
      <c r="AY87" s="87"/>
      <c r="AZ87" s="87"/>
      <c r="BA87" s="87">
        <v>3.0</v>
      </c>
      <c r="BB87" s="87"/>
      <c r="BC87" s="87">
        <v>2598.0</v>
      </c>
      <c r="BD87" s="87"/>
      <c r="BE87" s="87">
        <v>9377.0</v>
      </c>
      <c r="BF87" s="87">
        <v>1641.0</v>
      </c>
      <c r="BG87" s="87">
        <v>6047.0</v>
      </c>
      <c r="BH87" s="87">
        <v>2.0</v>
      </c>
      <c r="BI87" s="87">
        <v>79030.0</v>
      </c>
      <c r="BJ87" s="87">
        <v>8360.0</v>
      </c>
      <c r="BK87" s="87">
        <v>3767.0</v>
      </c>
      <c r="BL87" s="87">
        <v>1348.0</v>
      </c>
      <c r="BM87" s="87">
        <v>2598.0</v>
      </c>
      <c r="BN87" s="87">
        <v>994.0</v>
      </c>
      <c r="BO87" s="87"/>
      <c r="BP87" s="87">
        <v>13476.0</v>
      </c>
      <c r="BQ87" s="87">
        <v>184.0</v>
      </c>
      <c r="BR87" s="87">
        <v>62.0</v>
      </c>
      <c r="BS87" s="87">
        <v>664.0</v>
      </c>
      <c r="BT87" s="87">
        <v>54.0</v>
      </c>
      <c r="BU87" s="87">
        <v>10.0</v>
      </c>
      <c r="BV87" s="87">
        <v>969.0</v>
      </c>
      <c r="BW87" s="87">
        <v>276.0</v>
      </c>
      <c r="BX87" s="87">
        <v>1163.0</v>
      </c>
      <c r="BY87" s="87">
        <v>1.0</v>
      </c>
      <c r="BZ87" s="87">
        <v>1.0</v>
      </c>
      <c r="CA87" s="87">
        <v>180.0</v>
      </c>
      <c r="CB87" s="87">
        <v>19.0</v>
      </c>
      <c r="CC87" s="87">
        <v>2.0</v>
      </c>
      <c r="CD87" s="87">
        <v>5.0</v>
      </c>
      <c r="CE87" s="87">
        <v>1.0</v>
      </c>
      <c r="CF87" s="87"/>
      <c r="CG87" s="87">
        <v>7.0</v>
      </c>
      <c r="CH87" s="87">
        <v>17060.0</v>
      </c>
      <c r="CI87" s="87"/>
      <c r="CJ87" s="87">
        <v>2624.0</v>
      </c>
      <c r="CK87" s="87">
        <v>13049.0</v>
      </c>
      <c r="CL87" s="87">
        <v>715.0</v>
      </c>
      <c r="CM87" s="87">
        <v>24.0</v>
      </c>
      <c r="CN87" s="87"/>
      <c r="CO87" s="87">
        <v>125.0</v>
      </c>
      <c r="CP87" s="87">
        <v>87.0</v>
      </c>
      <c r="CQ87" s="87">
        <v>238.0</v>
      </c>
      <c r="CR87" s="87">
        <v>205.0</v>
      </c>
      <c r="CS87" s="87"/>
      <c r="CT87" s="87">
        <v>1583.0</v>
      </c>
      <c r="CU87" s="87">
        <v>493.0</v>
      </c>
      <c r="CV87" s="87">
        <v>161.0</v>
      </c>
      <c r="CW87" s="87">
        <v>761.0</v>
      </c>
      <c r="CX87" s="87">
        <v>252.0</v>
      </c>
      <c r="CY87" s="87">
        <v>350.0</v>
      </c>
      <c r="CZ87" s="87">
        <v>19.0</v>
      </c>
      <c r="DA87" s="87">
        <v>28.0</v>
      </c>
      <c r="DB87" s="87">
        <v>1717.0</v>
      </c>
      <c r="DC87" s="87">
        <v>584.0</v>
      </c>
      <c r="DD87" s="87">
        <v>1696.0</v>
      </c>
      <c r="DE87" s="87">
        <v>328.0</v>
      </c>
      <c r="DF87" s="87">
        <v>461.0</v>
      </c>
      <c r="DG87" s="87">
        <v>779.0</v>
      </c>
      <c r="DH87" s="87">
        <v>3009.0</v>
      </c>
      <c r="DI87" s="87">
        <v>2648.0</v>
      </c>
      <c r="DJ87" s="87">
        <v>3.0</v>
      </c>
      <c r="DK87" s="87">
        <v>278.0</v>
      </c>
      <c r="DL87" s="87">
        <v>1904.0</v>
      </c>
      <c r="DM87" s="87">
        <v>13.0</v>
      </c>
      <c r="DN87" s="87"/>
      <c r="DO87" s="87">
        <v>3440.0</v>
      </c>
      <c r="DP87" s="87">
        <v>2738.0</v>
      </c>
      <c r="DQ87" s="87">
        <v>1067.0</v>
      </c>
      <c r="DR87" s="87">
        <v>1445.0</v>
      </c>
      <c r="DS87" s="87">
        <v>9.0</v>
      </c>
      <c r="DT87" s="87">
        <v>13.0</v>
      </c>
      <c r="DU87" s="87">
        <v>23.0</v>
      </c>
      <c r="DV87" s="87">
        <v>358.0</v>
      </c>
      <c r="DW87" s="87">
        <v>54.0</v>
      </c>
      <c r="DX87" s="87">
        <v>503.0</v>
      </c>
      <c r="DY87" s="87">
        <v>925.0</v>
      </c>
      <c r="DZ87" s="87">
        <v>156.0</v>
      </c>
      <c r="EA87" s="87">
        <v>37.0</v>
      </c>
      <c r="EB87" s="87">
        <v>274.0</v>
      </c>
      <c r="EC87" s="87">
        <v>128.0</v>
      </c>
      <c r="ED87" s="87">
        <v>5839.0</v>
      </c>
      <c r="EE87" s="87">
        <v>58.0</v>
      </c>
      <c r="EF87" s="87">
        <v>107.0</v>
      </c>
      <c r="EG87" s="87">
        <v>1713.0</v>
      </c>
      <c r="EH87" s="87">
        <v>4.0</v>
      </c>
      <c r="EI87" s="87">
        <v>58.0</v>
      </c>
      <c r="EJ87" s="87">
        <v>15185.0</v>
      </c>
      <c r="EK87" s="88"/>
      <c r="EL87" s="88"/>
      <c r="EM87" s="88"/>
      <c r="EN87" s="88"/>
      <c r="EO87" s="88"/>
      <c r="EP87" s="88"/>
      <c r="EQ87" s="90"/>
    </row>
    <row r="88" ht="12.0" customHeight="1">
      <c r="A88" s="89">
        <v>1.06190137E8</v>
      </c>
      <c r="B88" s="89" t="s">
        <v>942</v>
      </c>
      <c r="C88" s="89" t="s">
        <v>865</v>
      </c>
      <c r="D88" s="89" t="s">
        <v>943</v>
      </c>
      <c r="E88" s="89" t="s">
        <v>944</v>
      </c>
      <c r="F88" s="89" t="s">
        <v>945</v>
      </c>
      <c r="G88" s="89" t="s">
        <v>946</v>
      </c>
      <c r="H88" s="89" t="s">
        <v>447</v>
      </c>
      <c r="I88" s="89" t="s">
        <v>543</v>
      </c>
      <c r="J88" s="89" t="s">
        <v>463</v>
      </c>
      <c r="K88" s="89" t="s">
        <v>487</v>
      </c>
      <c r="L88" s="89" t="s">
        <v>947</v>
      </c>
      <c r="M88" s="89" t="s">
        <v>948</v>
      </c>
      <c r="N88" s="89" t="s">
        <v>441</v>
      </c>
      <c r="O88" s="87">
        <v>973.0</v>
      </c>
      <c r="P88" s="87"/>
      <c r="Q88" s="87"/>
      <c r="R88" s="87"/>
      <c r="S88" s="87">
        <v>1136.0</v>
      </c>
      <c r="T88" s="87"/>
      <c r="U88" s="87">
        <v>1123.0</v>
      </c>
      <c r="V88" s="87">
        <v>986.0</v>
      </c>
      <c r="W88" s="87"/>
      <c r="X88" s="87"/>
      <c r="Y88" s="87">
        <v>21.0</v>
      </c>
      <c r="Z88" s="87">
        <v>96.0</v>
      </c>
      <c r="AA88" s="87">
        <v>152.0</v>
      </c>
      <c r="AB88" s="87">
        <v>152.0</v>
      </c>
      <c r="AC88" s="87">
        <v>309.0</v>
      </c>
      <c r="AD88" s="87">
        <v>530.0</v>
      </c>
      <c r="AE88" s="87">
        <v>495.0</v>
      </c>
      <c r="AF88" s="87">
        <v>354.0</v>
      </c>
      <c r="AG88" s="87"/>
      <c r="AH88" s="87">
        <v>652.0</v>
      </c>
      <c r="AI88" s="87">
        <v>1425.0</v>
      </c>
      <c r="AJ88" s="87">
        <v>32.0</v>
      </c>
      <c r="AK88" s="87">
        <v>16.0</v>
      </c>
      <c r="AL88" s="87"/>
      <c r="AM88" s="87">
        <v>135.0</v>
      </c>
      <c r="AN88" s="87">
        <v>155.0</v>
      </c>
      <c r="AO88" s="87">
        <v>1481.0</v>
      </c>
      <c r="AP88" s="87">
        <v>36.0</v>
      </c>
      <c r="AQ88" s="87">
        <v>270.0</v>
      </c>
      <c r="AR88" s="87">
        <v>16.0</v>
      </c>
      <c r="AS88" s="87">
        <v>556.0</v>
      </c>
      <c r="AT88" s="87">
        <v>39.0</v>
      </c>
      <c r="AU88" s="87">
        <v>1248.0</v>
      </c>
      <c r="AV88" s="87">
        <v>64.0</v>
      </c>
      <c r="AW88" s="87">
        <v>28.0</v>
      </c>
      <c r="AX88" s="87">
        <v>173.0</v>
      </c>
      <c r="AY88" s="87"/>
      <c r="AZ88" s="87">
        <v>1.0</v>
      </c>
      <c r="BA88" s="87"/>
      <c r="BB88" s="87"/>
      <c r="BC88" s="87"/>
      <c r="BD88" s="87"/>
      <c r="BE88" s="87">
        <v>2.0</v>
      </c>
      <c r="BF88" s="87">
        <v>294.0</v>
      </c>
      <c r="BG88" s="87">
        <v>1813.0</v>
      </c>
      <c r="BH88" s="87"/>
      <c r="BI88" s="87">
        <v>26536.0</v>
      </c>
      <c r="BJ88" s="87"/>
      <c r="BK88" s="87">
        <v>525.0</v>
      </c>
      <c r="BL88" s="87">
        <v>1584.0</v>
      </c>
      <c r="BM88" s="87"/>
      <c r="BN88" s="87"/>
      <c r="BO88" s="87"/>
      <c r="BP88" s="87">
        <v>1077.0</v>
      </c>
      <c r="BQ88" s="87">
        <v>126.0</v>
      </c>
      <c r="BR88" s="87">
        <v>124.0</v>
      </c>
      <c r="BS88" s="87">
        <v>192.0</v>
      </c>
      <c r="BT88" s="87"/>
      <c r="BU88" s="87"/>
      <c r="BV88" s="87">
        <v>24.0</v>
      </c>
      <c r="BW88" s="87">
        <v>19.0</v>
      </c>
      <c r="BX88" s="87">
        <v>508.0</v>
      </c>
      <c r="BY88" s="87"/>
      <c r="BZ88" s="87"/>
      <c r="CA88" s="87">
        <v>18.0</v>
      </c>
      <c r="CB88" s="87"/>
      <c r="CC88" s="87"/>
      <c r="CD88" s="87">
        <v>20.0</v>
      </c>
      <c r="CE88" s="87">
        <v>1.0</v>
      </c>
      <c r="CF88" s="87"/>
      <c r="CG88" s="87">
        <v>107.0</v>
      </c>
      <c r="CH88" s="87">
        <v>2002.0</v>
      </c>
      <c r="CI88" s="87"/>
      <c r="CJ88" s="87">
        <v>1086.0</v>
      </c>
      <c r="CK88" s="87">
        <v>184.0</v>
      </c>
      <c r="CL88" s="87">
        <v>756.0</v>
      </c>
      <c r="CM88" s="87">
        <v>59.0</v>
      </c>
      <c r="CN88" s="87"/>
      <c r="CO88" s="87">
        <v>7.0</v>
      </c>
      <c r="CP88" s="87">
        <v>1.0</v>
      </c>
      <c r="CQ88" s="87">
        <v>1.0</v>
      </c>
      <c r="CR88" s="87">
        <v>15.0</v>
      </c>
      <c r="CS88" s="87"/>
      <c r="CT88" s="87">
        <v>116.0</v>
      </c>
      <c r="CU88" s="87">
        <v>77.0</v>
      </c>
      <c r="CV88" s="87">
        <v>5.0</v>
      </c>
      <c r="CW88" s="87">
        <v>54.0</v>
      </c>
      <c r="CX88" s="87">
        <v>10.0</v>
      </c>
      <c r="CY88" s="87">
        <v>220.0</v>
      </c>
      <c r="CZ88" s="87"/>
      <c r="DA88" s="87">
        <v>1.0</v>
      </c>
      <c r="DB88" s="87">
        <v>396.0</v>
      </c>
      <c r="DC88" s="87">
        <v>94.0</v>
      </c>
      <c r="DD88" s="87">
        <v>159.0</v>
      </c>
      <c r="DE88" s="87">
        <v>28.0</v>
      </c>
      <c r="DF88" s="87">
        <v>334.0</v>
      </c>
      <c r="DG88" s="87">
        <v>76.0</v>
      </c>
      <c r="DH88" s="87"/>
      <c r="DI88" s="87"/>
      <c r="DJ88" s="87"/>
      <c r="DK88" s="87">
        <v>26.0</v>
      </c>
      <c r="DL88" s="87">
        <v>416.0</v>
      </c>
      <c r="DM88" s="87">
        <v>95.0</v>
      </c>
      <c r="DN88" s="87">
        <v>2.0</v>
      </c>
      <c r="DO88" s="87">
        <v>34.0</v>
      </c>
      <c r="DP88" s="87"/>
      <c r="DQ88" s="87">
        <v>104.0</v>
      </c>
      <c r="DR88" s="87">
        <v>189.0</v>
      </c>
      <c r="DS88" s="87">
        <v>1.0</v>
      </c>
      <c r="DT88" s="87">
        <v>9.0</v>
      </c>
      <c r="DU88" s="87"/>
      <c r="DV88" s="87">
        <v>8.0</v>
      </c>
      <c r="DW88" s="87">
        <v>1.0</v>
      </c>
      <c r="DX88" s="87">
        <v>20.0</v>
      </c>
      <c r="DY88" s="87">
        <v>230.0</v>
      </c>
      <c r="DZ88" s="87">
        <v>139.0</v>
      </c>
      <c r="EA88" s="87"/>
      <c r="EB88" s="87">
        <v>20.0</v>
      </c>
      <c r="EC88" s="87">
        <v>13.0</v>
      </c>
      <c r="ED88" s="87">
        <v>1337.0</v>
      </c>
      <c r="EE88" s="87">
        <v>4.0</v>
      </c>
      <c r="EF88" s="87">
        <v>3.0</v>
      </c>
      <c r="EG88" s="87">
        <v>14.0</v>
      </c>
      <c r="EH88" s="87"/>
      <c r="EI88" s="87">
        <v>27.0</v>
      </c>
      <c r="EJ88" s="87">
        <v>2065.0</v>
      </c>
      <c r="EK88" s="88"/>
      <c r="EL88" s="88"/>
      <c r="EM88" s="88"/>
      <c r="EN88" s="88"/>
      <c r="EO88" s="88"/>
      <c r="EP88" s="88"/>
      <c r="EQ88" s="90"/>
    </row>
    <row r="89" ht="12.0" customHeight="1">
      <c r="A89" s="89">
        <v>1.06190148E8</v>
      </c>
      <c r="B89" s="89" t="s">
        <v>949</v>
      </c>
      <c r="C89" s="89" t="s">
        <v>865</v>
      </c>
      <c r="D89" s="89" t="s">
        <v>950</v>
      </c>
      <c r="E89" s="89" t="s">
        <v>951</v>
      </c>
      <c r="F89" s="89" t="s">
        <v>952</v>
      </c>
      <c r="G89" s="89" t="s">
        <v>953</v>
      </c>
      <c r="H89" s="89" t="s">
        <v>475</v>
      </c>
      <c r="I89" s="89" t="s">
        <v>543</v>
      </c>
      <c r="J89" s="89" t="s">
        <v>448</v>
      </c>
      <c r="K89" s="89" t="s">
        <v>954</v>
      </c>
      <c r="L89" s="89" t="s">
        <v>955</v>
      </c>
      <c r="M89" s="89" t="s">
        <v>956</v>
      </c>
      <c r="N89" s="89" t="s">
        <v>441</v>
      </c>
      <c r="O89" s="87">
        <v>13205.0</v>
      </c>
      <c r="P89" s="87"/>
      <c r="Q89" s="87"/>
      <c r="R89" s="87"/>
      <c r="S89" s="87">
        <v>92.0</v>
      </c>
      <c r="T89" s="87"/>
      <c r="U89" s="87">
        <v>6205.0</v>
      </c>
      <c r="V89" s="87">
        <v>7092.0</v>
      </c>
      <c r="W89" s="87"/>
      <c r="X89" s="87">
        <v>763.0</v>
      </c>
      <c r="Y89" s="87">
        <v>113.0</v>
      </c>
      <c r="Z89" s="87">
        <v>863.0</v>
      </c>
      <c r="AA89" s="87">
        <v>1126.0</v>
      </c>
      <c r="AB89" s="87">
        <v>1166.0</v>
      </c>
      <c r="AC89" s="87">
        <v>2042.0</v>
      </c>
      <c r="AD89" s="87">
        <v>3046.0</v>
      </c>
      <c r="AE89" s="87">
        <v>2203.0</v>
      </c>
      <c r="AF89" s="87">
        <v>1975.0</v>
      </c>
      <c r="AG89" s="87"/>
      <c r="AH89" s="87">
        <v>3863.0</v>
      </c>
      <c r="AI89" s="87">
        <v>9352.0</v>
      </c>
      <c r="AJ89" s="87">
        <v>82.0</v>
      </c>
      <c r="AK89" s="87">
        <v>27.0</v>
      </c>
      <c r="AL89" s="87">
        <v>188.0</v>
      </c>
      <c r="AM89" s="87"/>
      <c r="AN89" s="87">
        <v>7718.0</v>
      </c>
      <c r="AO89" s="87">
        <v>4593.0</v>
      </c>
      <c r="AP89" s="87"/>
      <c r="AQ89" s="87">
        <v>684.0</v>
      </c>
      <c r="AR89" s="87">
        <v>87.0</v>
      </c>
      <c r="AS89" s="87">
        <v>12409.0</v>
      </c>
      <c r="AT89" s="87">
        <v>11.0</v>
      </c>
      <c r="AU89" s="87">
        <v>83.0</v>
      </c>
      <c r="AV89" s="87">
        <v>5.0</v>
      </c>
      <c r="AW89" s="87">
        <v>21.0</v>
      </c>
      <c r="AX89" s="87"/>
      <c r="AY89" s="87"/>
      <c r="AZ89" s="87"/>
      <c r="BA89" s="87">
        <v>3.0</v>
      </c>
      <c r="BB89" s="87">
        <v>12.0</v>
      </c>
      <c r="BC89" s="87">
        <v>753.0</v>
      </c>
      <c r="BD89" s="87"/>
      <c r="BE89" s="87">
        <v>12275.0</v>
      </c>
      <c r="BF89" s="87">
        <v>32.0</v>
      </c>
      <c r="BG89" s="87">
        <v>990.0</v>
      </c>
      <c r="BH89" s="87"/>
      <c r="BI89" s="87">
        <v>67354.0</v>
      </c>
      <c r="BJ89" s="87">
        <v>11824.0</v>
      </c>
      <c r="BK89" s="87">
        <v>118.0</v>
      </c>
      <c r="BL89" s="87">
        <v>602.0</v>
      </c>
      <c r="BM89" s="87">
        <v>753.0</v>
      </c>
      <c r="BN89" s="87"/>
      <c r="BO89" s="87"/>
      <c r="BP89" s="87">
        <v>7885.0</v>
      </c>
      <c r="BQ89" s="87">
        <v>530.0</v>
      </c>
      <c r="BR89" s="87">
        <v>244.0</v>
      </c>
      <c r="BS89" s="87">
        <v>1419.0</v>
      </c>
      <c r="BT89" s="87">
        <v>2.0</v>
      </c>
      <c r="BU89" s="87">
        <v>5.0</v>
      </c>
      <c r="BV89" s="87">
        <v>938.0</v>
      </c>
      <c r="BW89" s="87">
        <v>518.0</v>
      </c>
      <c r="BX89" s="87">
        <v>1624.0</v>
      </c>
      <c r="BY89" s="87"/>
      <c r="BZ89" s="87"/>
      <c r="CA89" s="87">
        <v>104.0</v>
      </c>
      <c r="CB89" s="87">
        <v>27.0</v>
      </c>
      <c r="CC89" s="87">
        <v>1.0</v>
      </c>
      <c r="CD89" s="87"/>
      <c r="CE89" s="87"/>
      <c r="CF89" s="87"/>
      <c r="CG89" s="87">
        <v>286.0</v>
      </c>
      <c r="CH89" s="87">
        <v>13011.0</v>
      </c>
      <c r="CI89" s="87"/>
      <c r="CJ89" s="87">
        <v>5800.0</v>
      </c>
      <c r="CK89" s="87">
        <v>6682.0</v>
      </c>
      <c r="CL89" s="87">
        <v>612.0</v>
      </c>
      <c r="CM89" s="87"/>
      <c r="CN89" s="87"/>
      <c r="CO89" s="87"/>
      <c r="CP89" s="87"/>
      <c r="CQ89" s="87">
        <v>201.0</v>
      </c>
      <c r="CR89" s="87">
        <v>1.0</v>
      </c>
      <c r="CS89" s="87">
        <v>1.0</v>
      </c>
      <c r="CT89" s="87">
        <v>2513.0</v>
      </c>
      <c r="CU89" s="87">
        <v>158.0</v>
      </c>
      <c r="CV89" s="87">
        <v>135.0</v>
      </c>
      <c r="CW89" s="87">
        <v>620.0</v>
      </c>
      <c r="CX89" s="87">
        <v>69.0</v>
      </c>
      <c r="CY89" s="87">
        <v>1217.0</v>
      </c>
      <c r="CZ89" s="87">
        <v>14.0</v>
      </c>
      <c r="DA89" s="87">
        <v>12.0</v>
      </c>
      <c r="DB89" s="87">
        <v>2392.0</v>
      </c>
      <c r="DC89" s="87">
        <v>786.0</v>
      </c>
      <c r="DD89" s="87">
        <v>1294.0</v>
      </c>
      <c r="DE89" s="87">
        <v>138.0</v>
      </c>
      <c r="DF89" s="87">
        <v>772.0</v>
      </c>
      <c r="DG89" s="87">
        <v>563.0</v>
      </c>
      <c r="DH89" s="87">
        <v>858.0</v>
      </c>
      <c r="DI89" s="87">
        <v>762.0</v>
      </c>
      <c r="DJ89" s="87">
        <v>3.0</v>
      </c>
      <c r="DK89" s="87">
        <v>180.0</v>
      </c>
      <c r="DL89" s="87">
        <v>805.0</v>
      </c>
      <c r="DM89" s="87">
        <v>6.0</v>
      </c>
      <c r="DN89" s="87"/>
      <c r="DO89" s="87">
        <v>3019.0</v>
      </c>
      <c r="DP89" s="87">
        <v>731.0</v>
      </c>
      <c r="DQ89" s="87">
        <v>1650.0</v>
      </c>
      <c r="DR89" s="87">
        <v>611.0</v>
      </c>
      <c r="DS89" s="87"/>
      <c r="DT89" s="87">
        <v>3.0</v>
      </c>
      <c r="DU89" s="87">
        <v>13.0</v>
      </c>
      <c r="DV89" s="87">
        <v>46.0</v>
      </c>
      <c r="DW89" s="87">
        <v>10.0</v>
      </c>
      <c r="DX89" s="87">
        <v>273.0</v>
      </c>
      <c r="DY89" s="87">
        <v>395.0</v>
      </c>
      <c r="DZ89" s="87">
        <v>85.0</v>
      </c>
      <c r="EA89" s="87">
        <v>2.0</v>
      </c>
      <c r="EB89" s="87">
        <v>101.0</v>
      </c>
      <c r="EC89" s="87">
        <v>56.0</v>
      </c>
      <c r="ED89" s="87">
        <v>6275.0</v>
      </c>
      <c r="EE89" s="87">
        <v>27.0</v>
      </c>
      <c r="EF89" s="87">
        <v>15.0</v>
      </c>
      <c r="EG89" s="87">
        <v>496.0</v>
      </c>
      <c r="EH89" s="87">
        <v>7.0</v>
      </c>
      <c r="EI89" s="87">
        <v>131.0</v>
      </c>
      <c r="EJ89" s="87">
        <v>12648.0</v>
      </c>
      <c r="EK89" s="88"/>
      <c r="EL89" s="88"/>
      <c r="EM89" s="88"/>
      <c r="EN89" s="88"/>
      <c r="EO89" s="88"/>
      <c r="EP89" s="88"/>
      <c r="EQ89" s="90"/>
    </row>
    <row r="90" ht="12.0" customHeight="1">
      <c r="A90" s="89">
        <v>1.0619015E8</v>
      </c>
      <c r="B90" s="89" t="s">
        <v>957</v>
      </c>
      <c r="C90" s="89" t="s">
        <v>865</v>
      </c>
      <c r="D90" s="89" t="s">
        <v>958</v>
      </c>
      <c r="E90" s="89" t="s">
        <v>959</v>
      </c>
      <c r="F90" s="89" t="s">
        <v>865</v>
      </c>
      <c r="G90" s="89" t="s">
        <v>960</v>
      </c>
      <c r="H90" s="89" t="s">
        <v>447</v>
      </c>
      <c r="I90" s="89" t="s">
        <v>543</v>
      </c>
      <c r="J90" s="89" t="s">
        <v>463</v>
      </c>
      <c r="K90" s="89" t="s">
        <v>933</v>
      </c>
      <c r="L90" s="89" t="s">
        <v>961</v>
      </c>
      <c r="M90" s="89" t="s">
        <v>962</v>
      </c>
      <c r="N90" s="89" t="s">
        <v>441</v>
      </c>
      <c r="O90" s="87"/>
      <c r="P90" s="87"/>
      <c r="Q90" s="87">
        <v>840.0</v>
      </c>
      <c r="R90" s="87"/>
      <c r="S90" s="87"/>
      <c r="T90" s="87"/>
      <c r="U90" s="87">
        <v>553.0</v>
      </c>
      <c r="V90" s="87">
        <v>287.0</v>
      </c>
      <c r="W90" s="87"/>
      <c r="X90" s="87"/>
      <c r="Y90" s="87">
        <v>24.0</v>
      </c>
      <c r="Z90" s="87">
        <v>295.0</v>
      </c>
      <c r="AA90" s="87">
        <v>269.0</v>
      </c>
      <c r="AB90" s="87">
        <v>154.0</v>
      </c>
      <c r="AC90" s="87">
        <v>75.0</v>
      </c>
      <c r="AD90" s="87">
        <v>23.0</v>
      </c>
      <c r="AE90" s="87"/>
      <c r="AF90" s="87"/>
      <c r="AG90" s="87"/>
      <c r="AH90" s="87">
        <v>242.0</v>
      </c>
      <c r="AI90" s="87">
        <v>563.0</v>
      </c>
      <c r="AJ90" s="87">
        <v>35.0</v>
      </c>
      <c r="AK90" s="87">
        <v>31.0</v>
      </c>
      <c r="AL90" s="87">
        <v>37.0</v>
      </c>
      <c r="AM90" s="87"/>
      <c r="AN90" s="87">
        <v>228.0</v>
      </c>
      <c r="AO90" s="87">
        <v>199.0</v>
      </c>
      <c r="AP90" s="87">
        <v>59.0</v>
      </c>
      <c r="AQ90" s="87">
        <v>286.0</v>
      </c>
      <c r="AR90" s="87"/>
      <c r="AS90" s="87">
        <v>49.0</v>
      </c>
      <c r="AT90" s="87">
        <v>151.0</v>
      </c>
      <c r="AU90" s="87">
        <v>542.0</v>
      </c>
      <c r="AV90" s="87"/>
      <c r="AW90" s="87">
        <v>98.0</v>
      </c>
      <c r="AX90" s="87"/>
      <c r="AY90" s="87"/>
      <c r="AZ90" s="87"/>
      <c r="BA90" s="87"/>
      <c r="BB90" s="87"/>
      <c r="BC90" s="87"/>
      <c r="BD90" s="87"/>
      <c r="BE90" s="87"/>
      <c r="BF90" s="87">
        <v>542.0</v>
      </c>
      <c r="BG90" s="87">
        <v>298.0</v>
      </c>
      <c r="BH90" s="87"/>
      <c r="BI90" s="87">
        <v>15972.0</v>
      </c>
      <c r="BJ90" s="87">
        <v>66.0</v>
      </c>
      <c r="BK90" s="87">
        <v>774.0</v>
      </c>
      <c r="BL90" s="87"/>
      <c r="BM90" s="87"/>
      <c r="BN90" s="87"/>
      <c r="BO90" s="87"/>
      <c r="BP90" s="87">
        <v>695.0</v>
      </c>
      <c r="BQ90" s="87">
        <v>6.0</v>
      </c>
      <c r="BR90" s="87"/>
      <c r="BS90" s="87">
        <v>121.0</v>
      </c>
      <c r="BT90" s="87">
        <v>12.0</v>
      </c>
      <c r="BU90" s="87">
        <v>2.0</v>
      </c>
      <c r="BV90" s="87"/>
      <c r="BW90" s="87"/>
      <c r="BX90" s="87"/>
      <c r="BY90" s="87"/>
      <c r="BZ90" s="87"/>
      <c r="CA90" s="87"/>
      <c r="CB90" s="87">
        <v>2.0</v>
      </c>
      <c r="CC90" s="87"/>
      <c r="CD90" s="87"/>
      <c r="CE90" s="87">
        <v>2.0</v>
      </c>
      <c r="CF90" s="87"/>
      <c r="CG90" s="87"/>
      <c r="CH90" s="87">
        <v>840.0</v>
      </c>
      <c r="CI90" s="87"/>
      <c r="CJ90" s="87">
        <v>2.0</v>
      </c>
      <c r="CK90" s="87"/>
      <c r="CL90" s="87"/>
      <c r="CM90" s="87"/>
      <c r="CN90" s="87"/>
      <c r="CO90" s="87">
        <v>838.0</v>
      </c>
      <c r="CP90" s="87"/>
      <c r="CQ90" s="87"/>
      <c r="CR90" s="87"/>
      <c r="CS90" s="87"/>
      <c r="CT90" s="87"/>
      <c r="CU90" s="87"/>
      <c r="CV90" s="87"/>
      <c r="CW90" s="87"/>
      <c r="CX90" s="87">
        <v>840.0</v>
      </c>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v>840.0</v>
      </c>
      <c r="EE90" s="87"/>
      <c r="EF90" s="87"/>
      <c r="EG90" s="87"/>
      <c r="EH90" s="87"/>
      <c r="EI90" s="87">
        <v>10.0</v>
      </c>
      <c r="EJ90" s="87">
        <v>830.0</v>
      </c>
      <c r="EK90" s="88"/>
      <c r="EL90" s="88"/>
      <c r="EM90" s="88"/>
      <c r="EN90" s="88"/>
      <c r="EO90" s="88"/>
      <c r="EP90" s="88"/>
      <c r="EQ90" s="90"/>
    </row>
    <row r="91" ht="12.0" customHeight="1">
      <c r="A91" s="89">
        <v>1.06190155E8</v>
      </c>
      <c r="B91" s="89" t="s">
        <v>963</v>
      </c>
      <c r="C91" s="89" t="s">
        <v>865</v>
      </c>
      <c r="D91" s="89" t="s">
        <v>964</v>
      </c>
      <c r="E91" s="89" t="s">
        <v>965</v>
      </c>
      <c r="F91" s="89" t="s">
        <v>865</v>
      </c>
      <c r="G91" s="89" t="s">
        <v>966</v>
      </c>
      <c r="H91" s="89" t="s">
        <v>475</v>
      </c>
      <c r="I91" s="89" t="s">
        <v>543</v>
      </c>
      <c r="J91" s="89" t="s">
        <v>437</v>
      </c>
      <c r="K91" s="89" t="s">
        <v>933</v>
      </c>
      <c r="L91" s="89" t="s">
        <v>934</v>
      </c>
      <c r="M91" s="89" t="s">
        <v>967</v>
      </c>
      <c r="N91" s="89" t="s">
        <v>441</v>
      </c>
      <c r="O91" s="87"/>
      <c r="P91" s="87"/>
      <c r="Q91" s="87"/>
      <c r="R91" s="87"/>
      <c r="S91" s="87">
        <v>3362.0</v>
      </c>
      <c r="T91" s="87"/>
      <c r="U91" s="87">
        <v>1759.0</v>
      </c>
      <c r="V91" s="87">
        <v>1603.0</v>
      </c>
      <c r="W91" s="87"/>
      <c r="X91" s="87"/>
      <c r="Y91" s="87"/>
      <c r="Z91" s="87">
        <v>48.0</v>
      </c>
      <c r="AA91" s="87">
        <v>86.0</v>
      </c>
      <c r="AB91" s="87">
        <v>123.0</v>
      </c>
      <c r="AC91" s="87">
        <v>294.0</v>
      </c>
      <c r="AD91" s="87">
        <v>649.0</v>
      </c>
      <c r="AE91" s="87">
        <v>1080.0</v>
      </c>
      <c r="AF91" s="87">
        <v>1074.0</v>
      </c>
      <c r="AG91" s="87">
        <v>8.0</v>
      </c>
      <c r="AH91" s="87">
        <v>242.0</v>
      </c>
      <c r="AI91" s="87">
        <v>3010.0</v>
      </c>
      <c r="AJ91" s="87">
        <v>110.0</v>
      </c>
      <c r="AK91" s="87"/>
      <c r="AL91" s="87">
        <v>211.0</v>
      </c>
      <c r="AM91" s="87"/>
      <c r="AN91" s="87">
        <v>370.0</v>
      </c>
      <c r="AO91" s="87">
        <v>2649.0</v>
      </c>
      <c r="AP91" s="87">
        <v>132.0</v>
      </c>
      <c r="AQ91" s="87"/>
      <c r="AR91" s="87"/>
      <c r="AS91" s="87">
        <v>28.0</v>
      </c>
      <c r="AT91" s="87">
        <v>9.0</v>
      </c>
      <c r="AU91" s="87">
        <v>3310.0</v>
      </c>
      <c r="AV91" s="87">
        <v>14.0</v>
      </c>
      <c r="AW91" s="87">
        <v>1.0</v>
      </c>
      <c r="AX91" s="87"/>
      <c r="AY91" s="87"/>
      <c r="AZ91" s="87"/>
      <c r="BA91" s="87"/>
      <c r="BB91" s="87"/>
      <c r="BC91" s="87"/>
      <c r="BD91" s="87"/>
      <c r="BE91" s="87"/>
      <c r="BF91" s="87">
        <v>9.0</v>
      </c>
      <c r="BG91" s="87">
        <v>3353.0</v>
      </c>
      <c r="BH91" s="87"/>
      <c r="BI91" s="87">
        <v>48087.0</v>
      </c>
      <c r="BJ91" s="87"/>
      <c r="BK91" s="87">
        <v>1.0</v>
      </c>
      <c r="BL91" s="87">
        <v>3361.0</v>
      </c>
      <c r="BM91" s="87"/>
      <c r="BN91" s="87"/>
      <c r="BO91" s="87"/>
      <c r="BP91" s="87">
        <v>700.0</v>
      </c>
      <c r="BQ91" s="87">
        <v>408.0</v>
      </c>
      <c r="BR91" s="87">
        <v>2.0</v>
      </c>
      <c r="BS91" s="87">
        <v>320.0</v>
      </c>
      <c r="BT91" s="87">
        <v>10.0</v>
      </c>
      <c r="BU91" s="87"/>
      <c r="BV91" s="87">
        <v>25.0</v>
      </c>
      <c r="BW91" s="87">
        <v>4.0</v>
      </c>
      <c r="BX91" s="87">
        <v>1887.0</v>
      </c>
      <c r="BY91" s="87"/>
      <c r="BZ91" s="87"/>
      <c r="CA91" s="87">
        <v>6.0</v>
      </c>
      <c r="CB91" s="87"/>
      <c r="CC91" s="87"/>
      <c r="CD91" s="87"/>
      <c r="CE91" s="87"/>
      <c r="CF91" s="87"/>
      <c r="CG91" s="87"/>
      <c r="CH91" s="87">
        <v>3362.0</v>
      </c>
      <c r="CI91" s="87"/>
      <c r="CJ91" s="87">
        <v>2565.0</v>
      </c>
      <c r="CK91" s="87"/>
      <c r="CL91" s="87">
        <v>738.0</v>
      </c>
      <c r="CM91" s="87">
        <v>42.0</v>
      </c>
      <c r="CN91" s="87">
        <v>2.0</v>
      </c>
      <c r="CO91" s="87">
        <v>7.0</v>
      </c>
      <c r="CP91" s="87"/>
      <c r="CQ91" s="87">
        <v>8.0</v>
      </c>
      <c r="CR91" s="87"/>
      <c r="CS91" s="87"/>
      <c r="CT91" s="87">
        <v>2.0</v>
      </c>
      <c r="CU91" s="87">
        <v>21.0</v>
      </c>
      <c r="CV91" s="87"/>
      <c r="CW91" s="87">
        <v>1.0</v>
      </c>
      <c r="CX91" s="87">
        <v>4.0</v>
      </c>
      <c r="CY91" s="87">
        <v>606.0</v>
      </c>
      <c r="CZ91" s="87"/>
      <c r="DA91" s="87"/>
      <c r="DB91" s="87">
        <v>558.0</v>
      </c>
      <c r="DC91" s="87">
        <v>4.0</v>
      </c>
      <c r="DD91" s="87">
        <v>9.0</v>
      </c>
      <c r="DE91" s="87"/>
      <c r="DF91" s="87">
        <v>112.0</v>
      </c>
      <c r="DG91" s="87"/>
      <c r="DH91" s="87"/>
      <c r="DI91" s="87"/>
      <c r="DJ91" s="87">
        <v>1.0</v>
      </c>
      <c r="DK91" s="87">
        <v>645.0</v>
      </c>
      <c r="DL91" s="87">
        <v>664.0</v>
      </c>
      <c r="DM91" s="87">
        <v>735.0</v>
      </c>
      <c r="DN91" s="87"/>
      <c r="DO91" s="87">
        <v>1.0</v>
      </c>
      <c r="DP91" s="87"/>
      <c r="DQ91" s="87">
        <v>23.0</v>
      </c>
      <c r="DR91" s="87"/>
      <c r="DS91" s="87"/>
      <c r="DT91" s="87"/>
      <c r="DU91" s="87"/>
      <c r="DV91" s="87"/>
      <c r="DW91" s="87"/>
      <c r="DX91" s="87"/>
      <c r="DY91" s="87"/>
      <c r="DZ91" s="87"/>
      <c r="EA91" s="87"/>
      <c r="EB91" s="87"/>
      <c r="EC91" s="87"/>
      <c r="ED91" s="87">
        <v>3338.0</v>
      </c>
      <c r="EE91" s="87"/>
      <c r="EF91" s="87">
        <v>2.0</v>
      </c>
      <c r="EG91" s="87"/>
      <c r="EH91" s="87">
        <v>4.0</v>
      </c>
      <c r="EI91" s="87">
        <v>128.0</v>
      </c>
      <c r="EJ91" s="87">
        <v>3228.0</v>
      </c>
      <c r="EK91" s="88"/>
      <c r="EL91" s="88"/>
      <c r="EM91" s="88"/>
      <c r="EN91" s="88"/>
      <c r="EO91" s="88"/>
      <c r="EP91" s="88"/>
      <c r="EQ91" s="90"/>
    </row>
    <row r="92" ht="12.0" customHeight="1">
      <c r="A92" s="89">
        <v>1.06190163E8</v>
      </c>
      <c r="B92" s="89" t="s">
        <v>968</v>
      </c>
      <c r="C92" s="89" t="s">
        <v>865</v>
      </c>
      <c r="D92" s="89" t="s">
        <v>969</v>
      </c>
      <c r="E92" s="89" t="s">
        <v>970</v>
      </c>
      <c r="F92" s="89" t="s">
        <v>971</v>
      </c>
      <c r="G92" s="89" t="s">
        <v>972</v>
      </c>
      <c r="H92" s="89" t="s">
        <v>475</v>
      </c>
      <c r="I92" s="89" t="s">
        <v>543</v>
      </c>
      <c r="J92" s="89" t="s">
        <v>437</v>
      </c>
      <c r="K92" s="89" t="s">
        <v>870</v>
      </c>
      <c r="L92" s="89" t="s">
        <v>899</v>
      </c>
      <c r="M92" s="89" t="s">
        <v>973</v>
      </c>
      <c r="N92" s="89" t="s">
        <v>441</v>
      </c>
      <c r="O92" s="87"/>
      <c r="P92" s="87"/>
      <c r="Q92" s="87">
        <v>6514.0</v>
      </c>
      <c r="R92" s="87"/>
      <c r="S92" s="87"/>
      <c r="T92" s="87"/>
      <c r="U92" s="87">
        <v>3684.0</v>
      </c>
      <c r="V92" s="87">
        <v>2829.0</v>
      </c>
      <c r="W92" s="87">
        <v>1.0</v>
      </c>
      <c r="X92" s="87"/>
      <c r="Y92" s="87">
        <v>1221.0</v>
      </c>
      <c r="Z92" s="87">
        <v>1719.0</v>
      </c>
      <c r="AA92" s="87">
        <v>1405.0</v>
      </c>
      <c r="AB92" s="87">
        <v>1055.0</v>
      </c>
      <c r="AC92" s="87">
        <v>681.0</v>
      </c>
      <c r="AD92" s="87">
        <v>374.0</v>
      </c>
      <c r="AE92" s="87">
        <v>52.0</v>
      </c>
      <c r="AF92" s="87"/>
      <c r="AG92" s="87">
        <v>7.0</v>
      </c>
      <c r="AH92" s="87">
        <v>3209.0</v>
      </c>
      <c r="AI92" s="87">
        <v>3297.0</v>
      </c>
      <c r="AJ92" s="87">
        <v>8.0</v>
      </c>
      <c r="AK92" s="87">
        <v>42.0</v>
      </c>
      <c r="AL92" s="87">
        <v>366.0</v>
      </c>
      <c r="AM92" s="87">
        <v>19.0</v>
      </c>
      <c r="AN92" s="87">
        <v>818.0</v>
      </c>
      <c r="AO92" s="87">
        <v>5112.0</v>
      </c>
      <c r="AP92" s="87">
        <v>33.0</v>
      </c>
      <c r="AQ92" s="87">
        <v>104.0</v>
      </c>
      <c r="AR92" s="87">
        <v>20.0</v>
      </c>
      <c r="AS92" s="87">
        <v>4387.0</v>
      </c>
      <c r="AT92" s="87">
        <v>68.0</v>
      </c>
      <c r="AU92" s="87">
        <v>1840.0</v>
      </c>
      <c r="AV92" s="87">
        <v>1.0</v>
      </c>
      <c r="AW92" s="87">
        <v>34.0</v>
      </c>
      <c r="AX92" s="87"/>
      <c r="AY92" s="87"/>
      <c r="AZ92" s="87"/>
      <c r="BA92" s="87">
        <v>184.0</v>
      </c>
      <c r="BB92" s="87"/>
      <c r="BC92" s="87"/>
      <c r="BD92" s="87"/>
      <c r="BE92" s="87"/>
      <c r="BF92" s="87">
        <v>1712.0</v>
      </c>
      <c r="BG92" s="87">
        <v>4802.0</v>
      </c>
      <c r="BH92" s="87"/>
      <c r="BI92" s="87">
        <v>47147.0</v>
      </c>
      <c r="BJ92" s="87">
        <v>175.0</v>
      </c>
      <c r="BK92" s="87">
        <v>6087.0</v>
      </c>
      <c r="BL92" s="87">
        <v>252.0</v>
      </c>
      <c r="BM92" s="87"/>
      <c r="BN92" s="87"/>
      <c r="BO92" s="87"/>
      <c r="BP92" s="87">
        <v>6014.0</v>
      </c>
      <c r="BQ92" s="87">
        <v>25.0</v>
      </c>
      <c r="BR92" s="87">
        <v>133.0</v>
      </c>
      <c r="BS92" s="87">
        <v>25.0</v>
      </c>
      <c r="BT92" s="87">
        <v>3.0</v>
      </c>
      <c r="BU92" s="87">
        <v>38.0</v>
      </c>
      <c r="BV92" s="87">
        <v>270.0</v>
      </c>
      <c r="BW92" s="87"/>
      <c r="BX92" s="87"/>
      <c r="BY92" s="87"/>
      <c r="BZ92" s="87"/>
      <c r="CA92" s="87">
        <v>3.0</v>
      </c>
      <c r="CB92" s="87">
        <v>3.0</v>
      </c>
      <c r="CC92" s="87"/>
      <c r="CD92" s="87"/>
      <c r="CE92" s="87"/>
      <c r="CF92" s="87"/>
      <c r="CG92" s="87"/>
      <c r="CH92" s="87">
        <v>6514.0</v>
      </c>
      <c r="CI92" s="87"/>
      <c r="CJ92" s="87">
        <v>1054.0</v>
      </c>
      <c r="CK92" s="87">
        <v>906.0</v>
      </c>
      <c r="CL92" s="87">
        <v>1394.0</v>
      </c>
      <c r="CM92" s="87"/>
      <c r="CN92" s="87">
        <v>3071.0</v>
      </c>
      <c r="CO92" s="87">
        <v>44.0</v>
      </c>
      <c r="CP92" s="87">
        <v>2.0</v>
      </c>
      <c r="CQ92" s="87">
        <v>43.0</v>
      </c>
      <c r="CR92" s="87"/>
      <c r="CS92" s="87"/>
      <c r="CT92" s="87"/>
      <c r="CU92" s="87"/>
      <c r="CV92" s="87"/>
      <c r="CW92" s="87"/>
      <c r="CX92" s="87">
        <v>6513.0</v>
      </c>
      <c r="CY92" s="87">
        <v>1.0</v>
      </c>
      <c r="CZ92" s="87"/>
      <c r="DA92" s="87"/>
      <c r="DB92" s="87"/>
      <c r="DC92" s="87"/>
      <c r="DD92" s="87"/>
      <c r="DE92" s="87"/>
      <c r="DF92" s="87"/>
      <c r="DG92" s="87"/>
      <c r="DH92" s="87"/>
      <c r="DI92" s="87"/>
      <c r="DJ92" s="87"/>
      <c r="DK92" s="87"/>
      <c r="DL92" s="87"/>
      <c r="DM92" s="87"/>
      <c r="DN92" s="87"/>
      <c r="DO92" s="87">
        <v>783.0</v>
      </c>
      <c r="DP92" s="87"/>
      <c r="DQ92" s="87"/>
      <c r="DR92" s="87"/>
      <c r="DS92" s="87"/>
      <c r="DT92" s="87"/>
      <c r="DU92" s="87"/>
      <c r="DV92" s="87"/>
      <c r="DW92" s="87"/>
      <c r="DX92" s="87"/>
      <c r="DY92" s="87"/>
      <c r="DZ92" s="87"/>
      <c r="EA92" s="87"/>
      <c r="EB92" s="87"/>
      <c r="EC92" s="87"/>
      <c r="ED92" s="87">
        <v>5731.0</v>
      </c>
      <c r="EE92" s="87"/>
      <c r="EF92" s="87"/>
      <c r="EG92" s="87">
        <v>2115.0</v>
      </c>
      <c r="EH92" s="87"/>
      <c r="EI92" s="87">
        <v>29.0</v>
      </c>
      <c r="EJ92" s="87">
        <v>4370.0</v>
      </c>
      <c r="EK92" s="88"/>
      <c r="EL92" s="88"/>
      <c r="EM92" s="88"/>
      <c r="EN92" s="88"/>
      <c r="EO92" s="88"/>
      <c r="EP92" s="88"/>
      <c r="EQ92" s="90"/>
    </row>
    <row r="93" ht="12.0" customHeight="1">
      <c r="A93" s="89">
        <v>1.0619017E8</v>
      </c>
      <c r="B93" s="89" t="s">
        <v>974</v>
      </c>
      <c r="C93" s="89" t="s">
        <v>865</v>
      </c>
      <c r="D93" s="89" t="s">
        <v>975</v>
      </c>
      <c r="E93" s="89" t="s">
        <v>976</v>
      </c>
      <c r="F93" s="89" t="s">
        <v>865</v>
      </c>
      <c r="G93" s="89" t="s">
        <v>977</v>
      </c>
      <c r="H93" s="89" t="s">
        <v>447</v>
      </c>
      <c r="I93" s="89" t="s">
        <v>456</v>
      </c>
      <c r="J93" s="89" t="s">
        <v>448</v>
      </c>
      <c r="K93" s="89" t="s">
        <v>905</v>
      </c>
      <c r="L93" s="89" t="s">
        <v>978</v>
      </c>
      <c r="M93" s="89" t="s">
        <v>979</v>
      </c>
      <c r="N93" s="89" t="s">
        <v>441</v>
      </c>
      <c r="O93" s="87">
        <v>16893.0</v>
      </c>
      <c r="P93" s="87"/>
      <c r="Q93" s="87"/>
      <c r="R93" s="87"/>
      <c r="S93" s="87">
        <v>160.0</v>
      </c>
      <c r="T93" s="87"/>
      <c r="U93" s="87">
        <v>9528.0</v>
      </c>
      <c r="V93" s="87">
        <v>7524.0</v>
      </c>
      <c r="W93" s="87">
        <v>1.0</v>
      </c>
      <c r="X93" s="87">
        <v>10568.0</v>
      </c>
      <c r="Y93" s="87">
        <v>5946.0</v>
      </c>
      <c r="Z93" s="87">
        <v>538.0</v>
      </c>
      <c r="AA93" s="87"/>
      <c r="AB93" s="87"/>
      <c r="AC93" s="87"/>
      <c r="AD93" s="87"/>
      <c r="AE93" s="87"/>
      <c r="AF93" s="87"/>
      <c r="AG93" s="87">
        <v>1.0</v>
      </c>
      <c r="AH93" s="87">
        <v>10458.0</v>
      </c>
      <c r="AI93" s="87">
        <v>5737.0</v>
      </c>
      <c r="AJ93" s="87">
        <v>858.0</v>
      </c>
      <c r="AK93" s="87"/>
      <c r="AL93" s="87">
        <v>1031.0</v>
      </c>
      <c r="AM93" s="87">
        <v>26.0</v>
      </c>
      <c r="AN93" s="87">
        <v>1293.0</v>
      </c>
      <c r="AO93" s="87">
        <v>3984.0</v>
      </c>
      <c r="AP93" s="87">
        <v>1038.0</v>
      </c>
      <c r="AQ93" s="87">
        <v>9055.0</v>
      </c>
      <c r="AR93" s="87">
        <v>626.0</v>
      </c>
      <c r="AS93" s="87">
        <v>13057.0</v>
      </c>
      <c r="AT93" s="87">
        <v>508.0</v>
      </c>
      <c r="AU93" s="87">
        <v>2646.0</v>
      </c>
      <c r="AV93" s="87">
        <v>1.0</v>
      </c>
      <c r="AW93" s="87">
        <v>29.0</v>
      </c>
      <c r="AX93" s="87">
        <v>127.0</v>
      </c>
      <c r="AY93" s="87">
        <v>597.0</v>
      </c>
      <c r="AZ93" s="87"/>
      <c r="BA93" s="87"/>
      <c r="BB93" s="87">
        <v>68.0</v>
      </c>
      <c r="BC93" s="87">
        <v>20.0</v>
      </c>
      <c r="BD93" s="87"/>
      <c r="BE93" s="87">
        <v>9309.0</v>
      </c>
      <c r="BF93" s="87">
        <v>1183.0</v>
      </c>
      <c r="BG93" s="87">
        <v>6545.0</v>
      </c>
      <c r="BH93" s="87">
        <v>16.0</v>
      </c>
      <c r="BI93" s="87">
        <v>107362.0</v>
      </c>
      <c r="BJ93" s="87">
        <v>8389.0</v>
      </c>
      <c r="BK93" s="87">
        <v>4485.0</v>
      </c>
      <c r="BL93" s="87">
        <v>3922.0</v>
      </c>
      <c r="BM93" s="87">
        <v>20.0</v>
      </c>
      <c r="BN93" s="87">
        <v>237.0</v>
      </c>
      <c r="BO93" s="87"/>
      <c r="BP93" s="87">
        <v>16660.0</v>
      </c>
      <c r="BQ93" s="87">
        <v>195.0</v>
      </c>
      <c r="BR93" s="87"/>
      <c r="BS93" s="87">
        <v>11.0</v>
      </c>
      <c r="BT93" s="87">
        <v>26.0</v>
      </c>
      <c r="BU93" s="87"/>
      <c r="BV93" s="87">
        <v>23.0</v>
      </c>
      <c r="BW93" s="87">
        <v>116.0</v>
      </c>
      <c r="BX93" s="87">
        <v>10.0</v>
      </c>
      <c r="BY93" s="87"/>
      <c r="BZ93" s="87">
        <v>9.0</v>
      </c>
      <c r="CA93" s="87"/>
      <c r="CB93" s="87"/>
      <c r="CC93" s="87"/>
      <c r="CD93" s="87"/>
      <c r="CE93" s="87"/>
      <c r="CF93" s="87">
        <v>3.0</v>
      </c>
      <c r="CG93" s="87">
        <v>33.0</v>
      </c>
      <c r="CH93" s="87">
        <v>16996.0</v>
      </c>
      <c r="CI93" s="87">
        <v>24.0</v>
      </c>
      <c r="CJ93" s="87">
        <v>38.0</v>
      </c>
      <c r="CK93" s="87">
        <v>12438.0</v>
      </c>
      <c r="CL93" s="87">
        <v>4152.0</v>
      </c>
      <c r="CM93" s="87"/>
      <c r="CN93" s="87"/>
      <c r="CO93" s="87">
        <v>164.0</v>
      </c>
      <c r="CP93" s="87"/>
      <c r="CQ93" s="87">
        <v>195.0</v>
      </c>
      <c r="CR93" s="87">
        <v>50.0</v>
      </c>
      <c r="CS93" s="87">
        <v>16.0</v>
      </c>
      <c r="CT93" s="87">
        <v>1158.0</v>
      </c>
      <c r="CU93" s="87">
        <v>737.0</v>
      </c>
      <c r="CV93" s="87">
        <v>558.0</v>
      </c>
      <c r="CW93" s="87">
        <v>626.0</v>
      </c>
      <c r="CX93" s="87">
        <v>223.0</v>
      </c>
      <c r="CY93" s="87">
        <v>1355.0</v>
      </c>
      <c r="CZ93" s="87">
        <v>159.0</v>
      </c>
      <c r="DA93" s="87">
        <v>89.0</v>
      </c>
      <c r="DB93" s="87">
        <v>317.0</v>
      </c>
      <c r="DC93" s="87">
        <v>2961.0</v>
      </c>
      <c r="DD93" s="87">
        <v>2248.0</v>
      </c>
      <c r="DE93" s="87">
        <v>271.0</v>
      </c>
      <c r="DF93" s="87">
        <v>687.0</v>
      </c>
      <c r="DG93" s="87">
        <v>608.0</v>
      </c>
      <c r="DH93" s="87"/>
      <c r="DI93" s="87">
        <v>445.0</v>
      </c>
      <c r="DJ93" s="87">
        <v>1452.0</v>
      </c>
      <c r="DK93" s="87">
        <v>511.0</v>
      </c>
      <c r="DL93" s="87">
        <v>1706.0</v>
      </c>
      <c r="DM93" s="87">
        <v>932.0</v>
      </c>
      <c r="DN93" s="87">
        <v>10.0</v>
      </c>
      <c r="DO93" s="87">
        <v>2256.0</v>
      </c>
      <c r="DP93" s="87"/>
      <c r="DQ93" s="87">
        <v>947.0</v>
      </c>
      <c r="DR93" s="87">
        <v>1488.0</v>
      </c>
      <c r="DS93" s="87">
        <v>95.0</v>
      </c>
      <c r="DT93" s="87">
        <v>32.0</v>
      </c>
      <c r="DU93" s="87">
        <v>137.0</v>
      </c>
      <c r="DV93" s="87">
        <v>172.0</v>
      </c>
      <c r="DW93" s="87">
        <v>122.0</v>
      </c>
      <c r="DX93" s="87">
        <v>320.0</v>
      </c>
      <c r="DY93" s="87">
        <v>1298.0</v>
      </c>
      <c r="DZ93" s="87">
        <v>646.0</v>
      </c>
      <c r="EA93" s="87">
        <v>518.0</v>
      </c>
      <c r="EB93" s="87">
        <v>221.0</v>
      </c>
      <c r="EC93" s="87">
        <v>225.0</v>
      </c>
      <c r="ED93" s="87">
        <v>8418.0</v>
      </c>
      <c r="EE93" s="87">
        <v>158.0</v>
      </c>
      <c r="EF93" s="87">
        <v>20.0</v>
      </c>
      <c r="EG93" s="87"/>
      <c r="EH93" s="87"/>
      <c r="EI93" s="87">
        <v>214.0</v>
      </c>
      <c r="EJ93" s="87">
        <v>16819.0</v>
      </c>
      <c r="EK93" s="88"/>
      <c r="EL93" s="88"/>
      <c r="EM93" s="88"/>
      <c r="EN93" s="88"/>
      <c r="EO93" s="88"/>
      <c r="EP93" s="88"/>
      <c r="EQ93" s="90"/>
    </row>
    <row r="94" ht="12.0" customHeight="1">
      <c r="A94" s="89">
        <v>1.06190176E8</v>
      </c>
      <c r="B94" s="89" t="s">
        <v>980</v>
      </c>
      <c r="C94" s="89" t="s">
        <v>865</v>
      </c>
      <c r="D94" s="89" t="s">
        <v>981</v>
      </c>
      <c r="E94" s="89" t="s">
        <v>982</v>
      </c>
      <c r="F94" s="89" t="s">
        <v>983</v>
      </c>
      <c r="G94" s="89" t="s">
        <v>984</v>
      </c>
      <c r="H94" s="89" t="s">
        <v>447</v>
      </c>
      <c r="I94" s="89" t="s">
        <v>456</v>
      </c>
      <c r="J94" s="89" t="s">
        <v>469</v>
      </c>
      <c r="K94" s="89" t="s">
        <v>504</v>
      </c>
      <c r="L94" s="89" t="s">
        <v>899</v>
      </c>
      <c r="M94" s="89" t="s">
        <v>985</v>
      </c>
      <c r="N94" s="89" t="s">
        <v>441</v>
      </c>
      <c r="O94" s="87">
        <v>7387.0</v>
      </c>
      <c r="P94" s="87"/>
      <c r="Q94" s="87"/>
      <c r="R94" s="87"/>
      <c r="S94" s="87"/>
      <c r="T94" s="87"/>
      <c r="U94" s="87">
        <v>3821.0</v>
      </c>
      <c r="V94" s="87">
        <v>3566.0</v>
      </c>
      <c r="W94" s="87"/>
      <c r="X94" s="87">
        <v>40.0</v>
      </c>
      <c r="Y94" s="87">
        <v>151.0</v>
      </c>
      <c r="Z94" s="87">
        <v>485.0</v>
      </c>
      <c r="AA94" s="87">
        <v>530.0</v>
      </c>
      <c r="AB94" s="87">
        <v>869.0</v>
      </c>
      <c r="AC94" s="87">
        <v>1498.0</v>
      </c>
      <c r="AD94" s="87">
        <v>2107.0</v>
      </c>
      <c r="AE94" s="87">
        <v>1330.0</v>
      </c>
      <c r="AF94" s="87">
        <v>377.0</v>
      </c>
      <c r="AG94" s="87"/>
      <c r="AH94" s="87">
        <v>2491.0</v>
      </c>
      <c r="AI94" s="87">
        <v>4828.0</v>
      </c>
      <c r="AJ94" s="87">
        <v>68.0</v>
      </c>
      <c r="AK94" s="87">
        <v>26.0</v>
      </c>
      <c r="AL94" s="87">
        <v>1204.0</v>
      </c>
      <c r="AM94" s="87">
        <v>29.0</v>
      </c>
      <c r="AN94" s="87">
        <v>311.0</v>
      </c>
      <c r="AO94" s="87">
        <v>5394.0</v>
      </c>
      <c r="AP94" s="87">
        <v>192.0</v>
      </c>
      <c r="AQ94" s="87">
        <v>116.0</v>
      </c>
      <c r="AR94" s="87">
        <v>115.0</v>
      </c>
      <c r="AS94" s="87">
        <v>2361.0</v>
      </c>
      <c r="AT94" s="87">
        <v>4554.0</v>
      </c>
      <c r="AU94" s="87">
        <v>469.0</v>
      </c>
      <c r="AV94" s="87">
        <v>1.0</v>
      </c>
      <c r="AW94" s="87">
        <v>2.0</v>
      </c>
      <c r="AX94" s="87"/>
      <c r="AY94" s="87"/>
      <c r="AZ94" s="87"/>
      <c r="BA94" s="87"/>
      <c r="BB94" s="87"/>
      <c r="BC94" s="87"/>
      <c r="BD94" s="87"/>
      <c r="BE94" s="87"/>
      <c r="BF94" s="87"/>
      <c r="BG94" s="87">
        <v>7387.0</v>
      </c>
      <c r="BH94" s="87"/>
      <c r="BI94" s="87">
        <v>75518.0</v>
      </c>
      <c r="BJ94" s="87">
        <v>1.0</v>
      </c>
      <c r="BK94" s="87">
        <v>4254.0</v>
      </c>
      <c r="BL94" s="87">
        <v>3132.0</v>
      </c>
      <c r="BM94" s="87"/>
      <c r="BN94" s="87"/>
      <c r="BO94" s="87"/>
      <c r="BP94" s="87">
        <v>4275.0</v>
      </c>
      <c r="BQ94" s="87">
        <v>35.0</v>
      </c>
      <c r="BR94" s="87">
        <v>77.0</v>
      </c>
      <c r="BS94" s="87">
        <v>181.0</v>
      </c>
      <c r="BT94" s="87"/>
      <c r="BU94" s="87">
        <v>1.0</v>
      </c>
      <c r="BV94" s="87"/>
      <c r="BW94" s="87">
        <v>309.0</v>
      </c>
      <c r="BX94" s="87">
        <v>2223.0</v>
      </c>
      <c r="BY94" s="87"/>
      <c r="BZ94" s="87">
        <v>2.0</v>
      </c>
      <c r="CA94" s="87">
        <v>280.0</v>
      </c>
      <c r="CB94" s="87"/>
      <c r="CC94" s="87"/>
      <c r="CD94" s="87">
        <v>4.0</v>
      </c>
      <c r="CE94" s="87"/>
      <c r="CF94" s="87"/>
      <c r="CG94" s="87">
        <v>456.0</v>
      </c>
      <c r="CH94" s="87">
        <v>6931.0</v>
      </c>
      <c r="CI94" s="87"/>
      <c r="CJ94" s="87">
        <v>2712.0</v>
      </c>
      <c r="CK94" s="87">
        <v>1217.0</v>
      </c>
      <c r="CL94" s="87">
        <v>3304.0</v>
      </c>
      <c r="CM94" s="87">
        <v>22.0</v>
      </c>
      <c r="CN94" s="87"/>
      <c r="CO94" s="87">
        <v>8.0</v>
      </c>
      <c r="CP94" s="87">
        <v>29.0</v>
      </c>
      <c r="CQ94" s="87">
        <v>90.0</v>
      </c>
      <c r="CR94" s="87">
        <v>5.0</v>
      </c>
      <c r="CS94" s="87"/>
      <c r="CT94" s="87">
        <v>649.0</v>
      </c>
      <c r="CU94" s="87">
        <v>3382.0</v>
      </c>
      <c r="CV94" s="87">
        <v>145.0</v>
      </c>
      <c r="CW94" s="87">
        <v>114.0</v>
      </c>
      <c r="CX94" s="87">
        <v>5.0</v>
      </c>
      <c r="CY94" s="87">
        <v>123.0</v>
      </c>
      <c r="CZ94" s="87">
        <v>7.0</v>
      </c>
      <c r="DA94" s="87">
        <v>2.0</v>
      </c>
      <c r="DB94" s="87">
        <v>147.0</v>
      </c>
      <c r="DC94" s="87">
        <v>309.0</v>
      </c>
      <c r="DD94" s="87">
        <v>574.0</v>
      </c>
      <c r="DE94" s="87">
        <v>71.0</v>
      </c>
      <c r="DF94" s="87">
        <v>143.0</v>
      </c>
      <c r="DG94" s="87">
        <v>178.0</v>
      </c>
      <c r="DH94" s="87"/>
      <c r="DI94" s="87"/>
      <c r="DJ94" s="87">
        <v>1.0</v>
      </c>
      <c r="DK94" s="87">
        <v>95.0</v>
      </c>
      <c r="DL94" s="87">
        <v>613.0</v>
      </c>
      <c r="DM94" s="87">
        <v>820.0</v>
      </c>
      <c r="DN94" s="87">
        <v>9.0</v>
      </c>
      <c r="DO94" s="87">
        <v>1530.0</v>
      </c>
      <c r="DP94" s="87"/>
      <c r="DQ94" s="87">
        <v>342.0</v>
      </c>
      <c r="DR94" s="87">
        <v>1329.0</v>
      </c>
      <c r="DS94" s="87">
        <v>15.0</v>
      </c>
      <c r="DT94" s="87">
        <v>36.0</v>
      </c>
      <c r="DU94" s="87"/>
      <c r="DV94" s="87">
        <v>134.0</v>
      </c>
      <c r="DW94" s="87">
        <v>790.0</v>
      </c>
      <c r="DX94" s="87">
        <v>263.0</v>
      </c>
      <c r="DY94" s="87">
        <v>253.0</v>
      </c>
      <c r="DZ94" s="87">
        <v>271.0</v>
      </c>
      <c r="EA94" s="87">
        <v>49.0</v>
      </c>
      <c r="EB94" s="87">
        <v>586.0</v>
      </c>
      <c r="EC94" s="87">
        <v>238.0</v>
      </c>
      <c r="ED94" s="87">
        <v>1124.0</v>
      </c>
      <c r="EE94" s="87">
        <v>427.0</v>
      </c>
      <c r="EF94" s="87"/>
      <c r="EG94" s="87">
        <v>15.0</v>
      </c>
      <c r="EH94" s="87"/>
      <c r="EI94" s="87">
        <v>282.0</v>
      </c>
      <c r="EJ94" s="87">
        <v>7090.0</v>
      </c>
      <c r="EK94" s="88"/>
      <c r="EL94" s="88"/>
      <c r="EM94" s="88"/>
      <c r="EN94" s="88"/>
      <c r="EO94" s="88"/>
      <c r="EP94" s="88"/>
      <c r="EQ94" s="90"/>
    </row>
    <row r="95" ht="12.0" customHeight="1">
      <c r="A95" s="89">
        <v>1.06190184E8</v>
      </c>
      <c r="B95" s="89" t="s">
        <v>986</v>
      </c>
      <c r="C95" s="89" t="s">
        <v>865</v>
      </c>
      <c r="D95" s="89" t="s">
        <v>987</v>
      </c>
      <c r="E95" s="89" t="s">
        <v>988</v>
      </c>
      <c r="F95" s="89" t="s">
        <v>989</v>
      </c>
      <c r="G95" s="89" t="s">
        <v>990</v>
      </c>
      <c r="H95" s="89" t="s">
        <v>503</v>
      </c>
      <c r="I95" s="89" t="s">
        <v>456</v>
      </c>
      <c r="J95" s="89" t="s">
        <v>457</v>
      </c>
      <c r="K95" s="89" t="s">
        <v>777</v>
      </c>
      <c r="L95" s="89" t="s">
        <v>920</v>
      </c>
      <c r="M95" s="89" t="s">
        <v>991</v>
      </c>
      <c r="N95" s="89" t="s">
        <v>441</v>
      </c>
      <c r="O95" s="87"/>
      <c r="P95" s="87"/>
      <c r="Q95" s="87">
        <v>3560.0</v>
      </c>
      <c r="R95" s="87"/>
      <c r="S95" s="87"/>
      <c r="T95" s="87"/>
      <c r="U95" s="87">
        <v>2003.0</v>
      </c>
      <c r="V95" s="87">
        <v>1557.0</v>
      </c>
      <c r="W95" s="87"/>
      <c r="X95" s="87"/>
      <c r="Y95" s="87">
        <v>734.0</v>
      </c>
      <c r="Z95" s="87">
        <v>902.0</v>
      </c>
      <c r="AA95" s="87">
        <v>744.0</v>
      </c>
      <c r="AB95" s="87">
        <v>504.0</v>
      </c>
      <c r="AC95" s="87">
        <v>358.0</v>
      </c>
      <c r="AD95" s="87">
        <v>261.0</v>
      </c>
      <c r="AE95" s="87">
        <v>54.0</v>
      </c>
      <c r="AF95" s="87"/>
      <c r="AG95" s="87">
        <v>3.0</v>
      </c>
      <c r="AH95" s="87">
        <v>1504.0</v>
      </c>
      <c r="AI95" s="87">
        <v>2038.0</v>
      </c>
      <c r="AJ95" s="87">
        <v>18.0</v>
      </c>
      <c r="AK95" s="87">
        <v>12.0</v>
      </c>
      <c r="AL95" s="87">
        <v>238.0</v>
      </c>
      <c r="AM95" s="87"/>
      <c r="AN95" s="87">
        <v>514.0</v>
      </c>
      <c r="AO95" s="87">
        <v>1284.0</v>
      </c>
      <c r="AP95" s="87">
        <v>12.0</v>
      </c>
      <c r="AQ95" s="87">
        <v>1450.0</v>
      </c>
      <c r="AR95" s="87">
        <v>50.0</v>
      </c>
      <c r="AS95" s="87">
        <v>3129.0</v>
      </c>
      <c r="AT95" s="87">
        <v>13.0</v>
      </c>
      <c r="AU95" s="87">
        <v>150.0</v>
      </c>
      <c r="AV95" s="87">
        <v>4.0</v>
      </c>
      <c r="AW95" s="87"/>
      <c r="AX95" s="87"/>
      <c r="AY95" s="87"/>
      <c r="AZ95" s="87"/>
      <c r="BA95" s="87">
        <v>264.0</v>
      </c>
      <c r="BB95" s="87"/>
      <c r="BC95" s="87"/>
      <c r="BD95" s="87"/>
      <c r="BE95" s="87"/>
      <c r="BF95" s="87"/>
      <c r="BG95" s="87">
        <v>3560.0</v>
      </c>
      <c r="BH95" s="87"/>
      <c r="BI95" s="87">
        <v>60077.0</v>
      </c>
      <c r="BJ95" s="87">
        <v>329.0</v>
      </c>
      <c r="BK95" s="87">
        <v>3231.0</v>
      </c>
      <c r="BL95" s="87"/>
      <c r="BM95" s="87"/>
      <c r="BN95" s="87"/>
      <c r="BO95" s="87"/>
      <c r="BP95" s="87">
        <v>2808.0</v>
      </c>
      <c r="BQ95" s="87">
        <v>168.0</v>
      </c>
      <c r="BR95" s="87"/>
      <c r="BS95" s="87">
        <v>110.0</v>
      </c>
      <c r="BT95" s="87">
        <v>285.0</v>
      </c>
      <c r="BU95" s="87"/>
      <c r="BV95" s="87">
        <v>141.0</v>
      </c>
      <c r="BW95" s="87">
        <v>1.0</v>
      </c>
      <c r="BX95" s="87"/>
      <c r="BY95" s="87"/>
      <c r="BZ95" s="87">
        <v>29.0</v>
      </c>
      <c r="CA95" s="87"/>
      <c r="CB95" s="87">
        <v>17.0</v>
      </c>
      <c r="CC95" s="87"/>
      <c r="CD95" s="87"/>
      <c r="CE95" s="87"/>
      <c r="CF95" s="87">
        <v>1.0</v>
      </c>
      <c r="CG95" s="87"/>
      <c r="CH95" s="87">
        <v>3560.0</v>
      </c>
      <c r="CI95" s="87"/>
      <c r="CJ95" s="87">
        <v>425.0</v>
      </c>
      <c r="CK95" s="87">
        <v>1017.0</v>
      </c>
      <c r="CL95" s="87">
        <v>1852.0</v>
      </c>
      <c r="CM95" s="87">
        <v>5.0</v>
      </c>
      <c r="CN95" s="87">
        <v>1.0</v>
      </c>
      <c r="CO95" s="87">
        <v>113.0</v>
      </c>
      <c r="CP95" s="87">
        <v>41.0</v>
      </c>
      <c r="CQ95" s="87">
        <v>6.0</v>
      </c>
      <c r="CR95" s="87">
        <v>99.0</v>
      </c>
      <c r="CS95" s="87">
        <v>1.0</v>
      </c>
      <c r="CT95" s="87"/>
      <c r="CU95" s="87"/>
      <c r="CV95" s="87"/>
      <c r="CW95" s="87"/>
      <c r="CX95" s="87">
        <v>3560.0</v>
      </c>
      <c r="CY95" s="87"/>
      <c r="CZ95" s="87"/>
      <c r="DA95" s="87"/>
      <c r="DB95" s="87"/>
      <c r="DC95" s="87"/>
      <c r="DD95" s="87"/>
      <c r="DE95" s="87"/>
      <c r="DF95" s="87"/>
      <c r="DG95" s="87"/>
      <c r="DH95" s="87"/>
      <c r="DI95" s="87"/>
      <c r="DJ95" s="87"/>
      <c r="DK95" s="87"/>
      <c r="DL95" s="87"/>
      <c r="DM95" s="87"/>
      <c r="DN95" s="87"/>
      <c r="DO95" s="87">
        <v>3559.0</v>
      </c>
      <c r="DP95" s="87"/>
      <c r="DQ95" s="87"/>
      <c r="DR95" s="87"/>
      <c r="DS95" s="87"/>
      <c r="DT95" s="87"/>
      <c r="DU95" s="87"/>
      <c r="DV95" s="87"/>
      <c r="DW95" s="87"/>
      <c r="DX95" s="87"/>
      <c r="DY95" s="87"/>
      <c r="DZ95" s="87"/>
      <c r="EA95" s="87"/>
      <c r="EB95" s="87"/>
      <c r="EC95" s="87"/>
      <c r="ED95" s="87">
        <v>1.0</v>
      </c>
      <c r="EE95" s="87"/>
      <c r="EF95" s="87">
        <v>32.0</v>
      </c>
      <c r="EG95" s="87">
        <v>322.0</v>
      </c>
      <c r="EH95" s="87"/>
      <c r="EI95" s="87">
        <v>50.0</v>
      </c>
      <c r="EJ95" s="87">
        <v>3156.0</v>
      </c>
      <c r="EK95" s="88"/>
      <c r="EL95" s="88"/>
      <c r="EM95" s="88"/>
      <c r="EN95" s="88"/>
      <c r="EO95" s="88"/>
      <c r="EP95" s="88"/>
      <c r="EQ95" s="90"/>
    </row>
    <row r="96" ht="12.0" customHeight="1">
      <c r="A96" s="89">
        <v>1.06190196E8</v>
      </c>
      <c r="B96" s="89" t="s">
        <v>992</v>
      </c>
      <c r="C96" s="89" t="s">
        <v>865</v>
      </c>
      <c r="D96" s="89" t="s">
        <v>993</v>
      </c>
      <c r="E96" s="89" t="s">
        <v>994</v>
      </c>
      <c r="F96" s="89" t="s">
        <v>995</v>
      </c>
      <c r="G96" s="89" t="s">
        <v>996</v>
      </c>
      <c r="H96" s="89" t="s">
        <v>475</v>
      </c>
      <c r="I96" s="89" t="s">
        <v>456</v>
      </c>
      <c r="J96" s="89" t="s">
        <v>463</v>
      </c>
      <c r="K96" s="89" t="s">
        <v>954</v>
      </c>
      <c r="L96" s="89" t="s">
        <v>997</v>
      </c>
      <c r="M96" s="89" t="s">
        <v>998</v>
      </c>
      <c r="N96" s="89" t="s">
        <v>441</v>
      </c>
      <c r="O96" s="87">
        <v>422.0</v>
      </c>
      <c r="P96" s="87"/>
      <c r="Q96" s="87"/>
      <c r="R96" s="87"/>
      <c r="S96" s="87"/>
      <c r="T96" s="87"/>
      <c r="U96" s="87">
        <v>234.0</v>
      </c>
      <c r="V96" s="87">
        <v>188.0</v>
      </c>
      <c r="W96" s="87"/>
      <c r="X96" s="87"/>
      <c r="Y96" s="87"/>
      <c r="Z96" s="87"/>
      <c r="AA96" s="87"/>
      <c r="AB96" s="87">
        <v>19.0</v>
      </c>
      <c r="AC96" s="87">
        <v>40.0</v>
      </c>
      <c r="AD96" s="87">
        <v>105.0</v>
      </c>
      <c r="AE96" s="87">
        <v>119.0</v>
      </c>
      <c r="AF96" s="87">
        <v>127.0</v>
      </c>
      <c r="AG96" s="87">
        <v>12.0</v>
      </c>
      <c r="AH96" s="87">
        <v>73.0</v>
      </c>
      <c r="AI96" s="87">
        <v>343.0</v>
      </c>
      <c r="AJ96" s="87">
        <v>6.0</v>
      </c>
      <c r="AK96" s="87"/>
      <c r="AL96" s="87">
        <v>41.0</v>
      </c>
      <c r="AM96" s="87"/>
      <c r="AN96" s="87">
        <v>150.0</v>
      </c>
      <c r="AO96" s="87">
        <v>140.0</v>
      </c>
      <c r="AP96" s="87">
        <v>11.0</v>
      </c>
      <c r="AQ96" s="87">
        <v>80.0</v>
      </c>
      <c r="AR96" s="87"/>
      <c r="AS96" s="87"/>
      <c r="AT96" s="87">
        <v>1.0</v>
      </c>
      <c r="AU96" s="87">
        <v>406.0</v>
      </c>
      <c r="AV96" s="87"/>
      <c r="AW96" s="87">
        <v>15.0</v>
      </c>
      <c r="AX96" s="87"/>
      <c r="AY96" s="87"/>
      <c r="AZ96" s="87"/>
      <c r="BA96" s="87"/>
      <c r="BB96" s="87"/>
      <c r="BC96" s="87"/>
      <c r="BD96" s="87"/>
      <c r="BE96" s="87"/>
      <c r="BF96" s="87"/>
      <c r="BG96" s="87">
        <v>422.0</v>
      </c>
      <c r="BH96" s="87"/>
      <c r="BI96" s="87">
        <v>16831.0</v>
      </c>
      <c r="BJ96" s="87"/>
      <c r="BK96" s="87"/>
      <c r="BL96" s="87">
        <v>422.0</v>
      </c>
      <c r="BM96" s="87"/>
      <c r="BN96" s="87"/>
      <c r="BO96" s="87"/>
      <c r="BP96" s="87">
        <v>14.0</v>
      </c>
      <c r="BQ96" s="87">
        <v>24.0</v>
      </c>
      <c r="BR96" s="87">
        <v>12.0</v>
      </c>
      <c r="BS96" s="87">
        <v>185.0</v>
      </c>
      <c r="BT96" s="87"/>
      <c r="BU96" s="87"/>
      <c r="BV96" s="87">
        <v>6.0</v>
      </c>
      <c r="BW96" s="87">
        <v>120.0</v>
      </c>
      <c r="BX96" s="87">
        <v>45.0</v>
      </c>
      <c r="BY96" s="87"/>
      <c r="BZ96" s="87"/>
      <c r="CA96" s="87">
        <v>16.0</v>
      </c>
      <c r="CB96" s="87"/>
      <c r="CC96" s="87"/>
      <c r="CD96" s="87"/>
      <c r="CE96" s="87"/>
      <c r="CF96" s="87"/>
      <c r="CG96" s="87">
        <v>72.0</v>
      </c>
      <c r="CH96" s="87">
        <v>350.0</v>
      </c>
      <c r="CI96" s="87"/>
      <c r="CJ96" s="87">
        <v>297.0</v>
      </c>
      <c r="CK96" s="87">
        <v>38.0</v>
      </c>
      <c r="CL96" s="87">
        <v>77.0</v>
      </c>
      <c r="CM96" s="87">
        <v>2.0</v>
      </c>
      <c r="CN96" s="87"/>
      <c r="CO96" s="87">
        <v>8.0</v>
      </c>
      <c r="CP96" s="87"/>
      <c r="CQ96" s="87"/>
      <c r="CR96" s="87"/>
      <c r="CS96" s="87"/>
      <c r="CT96" s="87">
        <v>30.0</v>
      </c>
      <c r="CU96" s="87">
        <v>6.0</v>
      </c>
      <c r="CV96" s="87">
        <v>4.0</v>
      </c>
      <c r="CW96" s="87">
        <v>5.0</v>
      </c>
      <c r="CX96" s="87">
        <v>2.0</v>
      </c>
      <c r="CY96" s="87">
        <v>11.0</v>
      </c>
      <c r="CZ96" s="87"/>
      <c r="DA96" s="87"/>
      <c r="DB96" s="87">
        <v>20.0</v>
      </c>
      <c r="DC96" s="87">
        <v>201.0</v>
      </c>
      <c r="DD96" s="87">
        <v>21.0</v>
      </c>
      <c r="DE96" s="87">
        <v>20.0</v>
      </c>
      <c r="DF96" s="87">
        <v>10.0</v>
      </c>
      <c r="DG96" s="87">
        <v>47.0</v>
      </c>
      <c r="DH96" s="87"/>
      <c r="DI96" s="87"/>
      <c r="DJ96" s="87"/>
      <c r="DK96" s="87">
        <v>6.0</v>
      </c>
      <c r="DL96" s="87">
        <v>21.0</v>
      </c>
      <c r="DM96" s="87">
        <v>18.0</v>
      </c>
      <c r="DN96" s="87"/>
      <c r="DO96" s="87">
        <v>146.0</v>
      </c>
      <c r="DP96" s="87"/>
      <c r="DQ96" s="87">
        <v>123.0</v>
      </c>
      <c r="DR96" s="87">
        <v>25.0</v>
      </c>
      <c r="DS96" s="87"/>
      <c r="DT96" s="87"/>
      <c r="DU96" s="87"/>
      <c r="DV96" s="87"/>
      <c r="DW96" s="87"/>
      <c r="DX96" s="87">
        <v>7.0</v>
      </c>
      <c r="DY96" s="87">
        <v>14.0</v>
      </c>
      <c r="DZ96" s="87"/>
      <c r="EA96" s="87"/>
      <c r="EB96" s="87">
        <v>9.0</v>
      </c>
      <c r="EC96" s="87">
        <v>3.0</v>
      </c>
      <c r="ED96" s="87">
        <v>95.0</v>
      </c>
      <c r="EE96" s="87"/>
      <c r="EF96" s="87"/>
      <c r="EG96" s="87">
        <v>7.0</v>
      </c>
      <c r="EH96" s="87"/>
      <c r="EI96" s="87">
        <v>4.0</v>
      </c>
      <c r="EJ96" s="87">
        <v>411.0</v>
      </c>
      <c r="EK96" s="88"/>
      <c r="EL96" s="88"/>
      <c r="EM96" s="88"/>
      <c r="EN96" s="88"/>
      <c r="EO96" s="88"/>
      <c r="EP96" s="88"/>
      <c r="EQ96" s="90"/>
    </row>
    <row r="97" ht="12.0" customHeight="1">
      <c r="A97" s="89">
        <v>1.06190197E8</v>
      </c>
      <c r="B97" s="89" t="s">
        <v>999</v>
      </c>
      <c r="C97" s="89" t="s">
        <v>865</v>
      </c>
      <c r="D97" s="89" t="s">
        <v>1000</v>
      </c>
      <c r="E97" s="89" t="s">
        <v>1001</v>
      </c>
      <c r="F97" s="89" t="s">
        <v>1002</v>
      </c>
      <c r="G97" s="89" t="s">
        <v>1003</v>
      </c>
      <c r="H97" s="89" t="s">
        <v>503</v>
      </c>
      <c r="I97" s="89" t="s">
        <v>456</v>
      </c>
      <c r="J97" s="89" t="s">
        <v>463</v>
      </c>
      <c r="K97" s="89" t="s">
        <v>913</v>
      </c>
      <c r="L97" s="89" t="s">
        <v>940</v>
      </c>
      <c r="M97" s="89" t="s">
        <v>1004</v>
      </c>
      <c r="N97" s="89" t="s">
        <v>441</v>
      </c>
      <c r="O97" s="87">
        <v>3296.0</v>
      </c>
      <c r="P97" s="87"/>
      <c r="Q97" s="87"/>
      <c r="R97" s="87"/>
      <c r="S97" s="87"/>
      <c r="T97" s="87"/>
      <c r="U97" s="87">
        <v>1837.0</v>
      </c>
      <c r="V97" s="87">
        <v>1459.0</v>
      </c>
      <c r="W97" s="87"/>
      <c r="X97" s="87"/>
      <c r="Y97" s="87">
        <v>20.0</v>
      </c>
      <c r="Z97" s="87">
        <v>180.0</v>
      </c>
      <c r="AA97" s="87">
        <v>283.0</v>
      </c>
      <c r="AB97" s="87">
        <v>451.0</v>
      </c>
      <c r="AC97" s="87">
        <v>635.0</v>
      </c>
      <c r="AD97" s="87">
        <v>695.0</v>
      </c>
      <c r="AE97" s="87">
        <v>562.0</v>
      </c>
      <c r="AF97" s="87">
        <v>469.0</v>
      </c>
      <c r="AG97" s="87">
        <v>1.0</v>
      </c>
      <c r="AH97" s="87">
        <v>2666.0</v>
      </c>
      <c r="AI97" s="87">
        <v>627.0</v>
      </c>
      <c r="AJ97" s="87">
        <v>3.0</v>
      </c>
      <c r="AK97" s="87"/>
      <c r="AL97" s="87">
        <v>35.0</v>
      </c>
      <c r="AM97" s="87"/>
      <c r="AN97" s="87">
        <v>397.0</v>
      </c>
      <c r="AO97" s="87">
        <v>186.0</v>
      </c>
      <c r="AP97" s="87">
        <v>9.0</v>
      </c>
      <c r="AQ97" s="87">
        <v>2669.0</v>
      </c>
      <c r="AR97" s="87"/>
      <c r="AS97" s="87">
        <v>3109.0</v>
      </c>
      <c r="AT97" s="87">
        <v>6.0</v>
      </c>
      <c r="AU97" s="87">
        <v>72.0</v>
      </c>
      <c r="AV97" s="87">
        <v>108.0</v>
      </c>
      <c r="AW97" s="87"/>
      <c r="AX97" s="87"/>
      <c r="AY97" s="87"/>
      <c r="AZ97" s="87"/>
      <c r="BA97" s="87"/>
      <c r="BB97" s="87">
        <v>1.0</v>
      </c>
      <c r="BC97" s="87"/>
      <c r="BD97" s="87"/>
      <c r="BE97" s="87">
        <v>3161.0</v>
      </c>
      <c r="BF97" s="87"/>
      <c r="BG97" s="87">
        <v>135.0</v>
      </c>
      <c r="BH97" s="87"/>
      <c r="BI97" s="87">
        <v>15199.0</v>
      </c>
      <c r="BJ97" s="87">
        <v>3190.0</v>
      </c>
      <c r="BK97" s="87"/>
      <c r="BL97" s="87">
        <v>104.0</v>
      </c>
      <c r="BM97" s="87"/>
      <c r="BN97" s="87"/>
      <c r="BO97" s="87">
        <v>2.0</v>
      </c>
      <c r="BP97" s="87">
        <v>1997.0</v>
      </c>
      <c r="BQ97" s="87">
        <v>133.0</v>
      </c>
      <c r="BR97" s="87">
        <v>1.0</v>
      </c>
      <c r="BS97" s="87">
        <v>331.0</v>
      </c>
      <c r="BT97" s="87">
        <v>23.0</v>
      </c>
      <c r="BU97" s="87"/>
      <c r="BV97" s="87">
        <v>367.0</v>
      </c>
      <c r="BW97" s="87">
        <v>132.0</v>
      </c>
      <c r="BX97" s="87">
        <v>288.0</v>
      </c>
      <c r="BY97" s="87"/>
      <c r="BZ97" s="87"/>
      <c r="CA97" s="87">
        <v>21.0</v>
      </c>
      <c r="CB97" s="87">
        <v>3.0</v>
      </c>
      <c r="CC97" s="87"/>
      <c r="CD97" s="87"/>
      <c r="CE97" s="87"/>
      <c r="CF97" s="87"/>
      <c r="CG97" s="87">
        <v>14.0</v>
      </c>
      <c r="CH97" s="87">
        <v>3282.0</v>
      </c>
      <c r="CI97" s="87"/>
      <c r="CJ97" s="87">
        <v>1186.0</v>
      </c>
      <c r="CK97" s="87">
        <v>1912.0</v>
      </c>
      <c r="CL97" s="87">
        <v>170.0</v>
      </c>
      <c r="CM97" s="87">
        <v>2.0</v>
      </c>
      <c r="CN97" s="87"/>
      <c r="CO97" s="87">
        <v>4.0</v>
      </c>
      <c r="CP97" s="87"/>
      <c r="CQ97" s="87">
        <v>19.0</v>
      </c>
      <c r="CR97" s="87">
        <v>3.0</v>
      </c>
      <c r="CS97" s="87"/>
      <c r="CT97" s="87">
        <v>676.0</v>
      </c>
      <c r="CU97" s="87">
        <v>35.0</v>
      </c>
      <c r="CV97" s="87">
        <v>45.0</v>
      </c>
      <c r="CW97" s="87">
        <v>277.0</v>
      </c>
      <c r="CX97" s="87">
        <v>68.0</v>
      </c>
      <c r="CY97" s="87">
        <v>87.0</v>
      </c>
      <c r="CZ97" s="87">
        <v>4.0</v>
      </c>
      <c r="DA97" s="87">
        <v>4.0</v>
      </c>
      <c r="DB97" s="87">
        <v>701.0</v>
      </c>
      <c r="DC97" s="87">
        <v>173.0</v>
      </c>
      <c r="DD97" s="87">
        <v>655.0</v>
      </c>
      <c r="DE97" s="87">
        <v>78.0</v>
      </c>
      <c r="DF97" s="87">
        <v>23.0</v>
      </c>
      <c r="DG97" s="87">
        <v>184.0</v>
      </c>
      <c r="DH97" s="87">
        <v>21.0</v>
      </c>
      <c r="DI97" s="87"/>
      <c r="DJ97" s="87"/>
      <c r="DK97" s="87">
        <v>73.0</v>
      </c>
      <c r="DL97" s="87">
        <v>190.0</v>
      </c>
      <c r="DM97" s="87">
        <v>1.0</v>
      </c>
      <c r="DN97" s="87">
        <v>1.0</v>
      </c>
      <c r="DO97" s="87">
        <v>347.0</v>
      </c>
      <c r="DP97" s="87">
        <v>7.0</v>
      </c>
      <c r="DQ97" s="87">
        <v>353.0</v>
      </c>
      <c r="DR97" s="87">
        <v>349.0</v>
      </c>
      <c r="DS97" s="87"/>
      <c r="DT97" s="87"/>
      <c r="DU97" s="87"/>
      <c r="DV97" s="87">
        <v>28.0</v>
      </c>
      <c r="DW97" s="87">
        <v>1.0</v>
      </c>
      <c r="DX97" s="87">
        <v>69.0</v>
      </c>
      <c r="DY97" s="87">
        <v>124.0</v>
      </c>
      <c r="DZ97" s="87">
        <v>8.0</v>
      </c>
      <c r="EA97" s="87"/>
      <c r="EB97" s="87">
        <v>31.0</v>
      </c>
      <c r="EC97" s="87">
        <v>12.0</v>
      </c>
      <c r="ED97" s="87">
        <v>1952.0</v>
      </c>
      <c r="EE97" s="87">
        <v>15.0</v>
      </c>
      <c r="EF97" s="87">
        <v>22.0</v>
      </c>
      <c r="EG97" s="87">
        <v>47.0</v>
      </c>
      <c r="EH97" s="87"/>
      <c r="EI97" s="87">
        <v>7.0</v>
      </c>
      <c r="EJ97" s="87">
        <v>3220.0</v>
      </c>
      <c r="EK97" s="88"/>
      <c r="EL97" s="88"/>
      <c r="EM97" s="88"/>
      <c r="EN97" s="88"/>
      <c r="EO97" s="88"/>
      <c r="EP97" s="88"/>
      <c r="EQ97" s="90"/>
    </row>
    <row r="98" ht="12.0" customHeight="1">
      <c r="A98" s="89">
        <v>1.06190198E8</v>
      </c>
      <c r="B98" s="89" t="s">
        <v>1005</v>
      </c>
      <c r="C98" s="89" t="s">
        <v>865</v>
      </c>
      <c r="D98" s="89" t="s">
        <v>1006</v>
      </c>
      <c r="E98" s="89" t="s">
        <v>1007</v>
      </c>
      <c r="F98" s="89" t="s">
        <v>865</v>
      </c>
      <c r="G98" s="89" t="s">
        <v>1008</v>
      </c>
      <c r="H98" s="89" t="s">
        <v>503</v>
      </c>
      <c r="I98" s="89" t="s">
        <v>456</v>
      </c>
      <c r="J98" s="89" t="s">
        <v>437</v>
      </c>
      <c r="K98" s="89" t="s">
        <v>905</v>
      </c>
      <c r="L98" s="89" t="s">
        <v>906</v>
      </c>
      <c r="M98" s="89" t="s">
        <v>1009</v>
      </c>
      <c r="N98" s="89" t="s">
        <v>441</v>
      </c>
      <c r="O98" s="87">
        <v>5635.0</v>
      </c>
      <c r="P98" s="87">
        <v>60.0</v>
      </c>
      <c r="Q98" s="87"/>
      <c r="R98" s="87"/>
      <c r="S98" s="87"/>
      <c r="T98" s="87"/>
      <c r="U98" s="87">
        <v>3220.0</v>
      </c>
      <c r="V98" s="87">
        <v>2472.0</v>
      </c>
      <c r="W98" s="87">
        <v>3.0</v>
      </c>
      <c r="X98" s="87"/>
      <c r="Y98" s="87">
        <v>38.0</v>
      </c>
      <c r="Z98" s="87">
        <v>334.0</v>
      </c>
      <c r="AA98" s="87">
        <v>544.0</v>
      </c>
      <c r="AB98" s="87">
        <v>674.0</v>
      </c>
      <c r="AC98" s="87">
        <v>1331.0</v>
      </c>
      <c r="AD98" s="87">
        <v>1559.0</v>
      </c>
      <c r="AE98" s="87">
        <v>704.0</v>
      </c>
      <c r="AF98" s="87">
        <v>511.0</v>
      </c>
      <c r="AG98" s="87"/>
      <c r="AH98" s="87">
        <v>2646.0</v>
      </c>
      <c r="AI98" s="87">
        <v>2834.0</v>
      </c>
      <c r="AJ98" s="87">
        <v>215.0</v>
      </c>
      <c r="AK98" s="87"/>
      <c r="AL98" s="87">
        <v>221.0</v>
      </c>
      <c r="AM98" s="87">
        <v>19.0</v>
      </c>
      <c r="AN98" s="87">
        <v>1496.0</v>
      </c>
      <c r="AO98" s="87">
        <v>1420.0</v>
      </c>
      <c r="AP98" s="87">
        <v>263.0</v>
      </c>
      <c r="AQ98" s="87">
        <v>2276.0</v>
      </c>
      <c r="AR98" s="87"/>
      <c r="AS98" s="87">
        <v>645.0</v>
      </c>
      <c r="AT98" s="87">
        <v>10.0</v>
      </c>
      <c r="AU98" s="87">
        <v>3449.0</v>
      </c>
      <c r="AV98" s="87">
        <v>1400.0</v>
      </c>
      <c r="AW98" s="87">
        <v>11.0</v>
      </c>
      <c r="AX98" s="87">
        <v>179.0</v>
      </c>
      <c r="AY98" s="87"/>
      <c r="AZ98" s="87"/>
      <c r="BA98" s="87"/>
      <c r="BB98" s="87">
        <v>1.0</v>
      </c>
      <c r="BC98" s="87"/>
      <c r="BD98" s="87"/>
      <c r="BE98" s="87">
        <v>1886.0</v>
      </c>
      <c r="BF98" s="87">
        <v>3367.0</v>
      </c>
      <c r="BG98" s="87">
        <v>442.0</v>
      </c>
      <c r="BH98" s="87"/>
      <c r="BI98" s="87">
        <v>34202.0</v>
      </c>
      <c r="BJ98" s="87">
        <v>3507.0</v>
      </c>
      <c r="BK98" s="87">
        <v>6.0</v>
      </c>
      <c r="BL98" s="87">
        <v>2182.0</v>
      </c>
      <c r="BM98" s="87"/>
      <c r="BN98" s="87"/>
      <c r="BO98" s="87"/>
      <c r="BP98" s="87">
        <v>2966.0</v>
      </c>
      <c r="BQ98" s="87">
        <v>123.0</v>
      </c>
      <c r="BR98" s="87">
        <v>6.0</v>
      </c>
      <c r="BS98" s="87">
        <v>1576.0</v>
      </c>
      <c r="BT98" s="87">
        <v>260.0</v>
      </c>
      <c r="BU98" s="87">
        <v>1.0</v>
      </c>
      <c r="BV98" s="87">
        <v>284.0</v>
      </c>
      <c r="BW98" s="87">
        <v>96.0</v>
      </c>
      <c r="BX98" s="87">
        <v>323.0</v>
      </c>
      <c r="BY98" s="87"/>
      <c r="BZ98" s="87"/>
      <c r="CA98" s="87">
        <v>26.0</v>
      </c>
      <c r="CB98" s="87">
        <v>31.0</v>
      </c>
      <c r="CC98" s="87"/>
      <c r="CD98" s="87">
        <v>3.0</v>
      </c>
      <c r="CE98" s="87"/>
      <c r="CF98" s="87"/>
      <c r="CG98" s="87">
        <v>108.0</v>
      </c>
      <c r="CH98" s="87">
        <v>5587.0</v>
      </c>
      <c r="CI98" s="87"/>
      <c r="CJ98" s="87">
        <v>1666.0</v>
      </c>
      <c r="CK98" s="87">
        <v>3916.0</v>
      </c>
      <c r="CL98" s="87">
        <v>93.0</v>
      </c>
      <c r="CM98" s="87">
        <v>2.0</v>
      </c>
      <c r="CN98" s="87"/>
      <c r="CO98" s="87">
        <v>5.0</v>
      </c>
      <c r="CP98" s="87"/>
      <c r="CQ98" s="87">
        <v>13.0</v>
      </c>
      <c r="CR98" s="87"/>
      <c r="CS98" s="87"/>
      <c r="CT98" s="87">
        <v>1240.0</v>
      </c>
      <c r="CU98" s="87">
        <v>63.0</v>
      </c>
      <c r="CV98" s="87">
        <v>73.0</v>
      </c>
      <c r="CW98" s="87">
        <v>390.0</v>
      </c>
      <c r="CX98" s="87">
        <v>138.0</v>
      </c>
      <c r="CY98" s="87">
        <v>286.0</v>
      </c>
      <c r="CZ98" s="87">
        <v>8.0</v>
      </c>
      <c r="DA98" s="87">
        <v>12.0</v>
      </c>
      <c r="DB98" s="87">
        <v>627.0</v>
      </c>
      <c r="DC98" s="87">
        <v>371.0</v>
      </c>
      <c r="DD98" s="87">
        <v>826.0</v>
      </c>
      <c r="DE98" s="87">
        <v>250.0</v>
      </c>
      <c r="DF98" s="87">
        <v>220.0</v>
      </c>
      <c r="DG98" s="87">
        <v>477.0</v>
      </c>
      <c r="DH98" s="87">
        <v>14.0</v>
      </c>
      <c r="DI98" s="87"/>
      <c r="DJ98" s="87">
        <v>1.0</v>
      </c>
      <c r="DK98" s="87">
        <v>192.0</v>
      </c>
      <c r="DL98" s="87">
        <v>484.0</v>
      </c>
      <c r="DM98" s="87">
        <v>23.0</v>
      </c>
      <c r="DN98" s="87"/>
      <c r="DO98" s="87">
        <v>365.0</v>
      </c>
      <c r="DP98" s="87">
        <v>1.0</v>
      </c>
      <c r="DQ98" s="87">
        <v>479.0</v>
      </c>
      <c r="DR98" s="87">
        <v>550.0</v>
      </c>
      <c r="DS98" s="87">
        <v>2.0</v>
      </c>
      <c r="DT98" s="87"/>
      <c r="DU98" s="87">
        <v>1.0</v>
      </c>
      <c r="DV98" s="87">
        <v>29.0</v>
      </c>
      <c r="DW98" s="87">
        <v>4.0</v>
      </c>
      <c r="DX98" s="87">
        <v>113.0</v>
      </c>
      <c r="DY98" s="87">
        <v>278.0</v>
      </c>
      <c r="DZ98" s="87">
        <v>10.0</v>
      </c>
      <c r="EA98" s="87">
        <v>2.0</v>
      </c>
      <c r="EB98" s="87">
        <v>61.0</v>
      </c>
      <c r="EC98" s="87">
        <v>25.0</v>
      </c>
      <c r="ED98" s="87">
        <v>3750.0</v>
      </c>
      <c r="EE98" s="87">
        <v>25.0</v>
      </c>
      <c r="EF98" s="87">
        <v>13.0</v>
      </c>
      <c r="EG98" s="87">
        <v>184.0</v>
      </c>
      <c r="EH98" s="87"/>
      <c r="EI98" s="87">
        <v>6.0</v>
      </c>
      <c r="EJ98" s="87">
        <v>5492.0</v>
      </c>
      <c r="EK98" s="88"/>
      <c r="EL98" s="88"/>
      <c r="EM98" s="88"/>
      <c r="EN98" s="88"/>
      <c r="EO98" s="88"/>
      <c r="EP98" s="88"/>
      <c r="EQ98" s="90"/>
    </row>
    <row r="99" ht="12.0" customHeight="1">
      <c r="A99" s="89">
        <v>1.061902E8</v>
      </c>
      <c r="B99" s="89" t="s">
        <v>1010</v>
      </c>
      <c r="C99" s="89" t="s">
        <v>865</v>
      </c>
      <c r="D99" s="89" t="s">
        <v>1011</v>
      </c>
      <c r="E99" s="89" t="s">
        <v>1012</v>
      </c>
      <c r="F99" s="89" t="s">
        <v>1013</v>
      </c>
      <c r="G99" s="89" t="s">
        <v>1014</v>
      </c>
      <c r="H99" s="89" t="s">
        <v>696</v>
      </c>
      <c r="I99" s="89" t="s">
        <v>456</v>
      </c>
      <c r="J99" s="89" t="s">
        <v>469</v>
      </c>
      <c r="K99" s="89" t="s">
        <v>870</v>
      </c>
      <c r="L99" s="89" t="s">
        <v>871</v>
      </c>
      <c r="M99" s="89" t="s">
        <v>872</v>
      </c>
      <c r="N99" s="89" t="s">
        <v>441</v>
      </c>
      <c r="O99" s="87">
        <v>7654.0</v>
      </c>
      <c r="P99" s="87">
        <v>50.0</v>
      </c>
      <c r="Q99" s="87">
        <v>430.0</v>
      </c>
      <c r="R99" s="87"/>
      <c r="S99" s="87"/>
      <c r="T99" s="87">
        <v>1.0</v>
      </c>
      <c r="U99" s="87">
        <v>3293.0</v>
      </c>
      <c r="V99" s="87">
        <v>4842.0</v>
      </c>
      <c r="W99" s="87"/>
      <c r="X99" s="87">
        <v>981.0</v>
      </c>
      <c r="Y99" s="87">
        <v>47.0</v>
      </c>
      <c r="Z99" s="87">
        <v>509.0</v>
      </c>
      <c r="AA99" s="87">
        <v>962.0</v>
      </c>
      <c r="AB99" s="87">
        <v>532.0</v>
      </c>
      <c r="AC99" s="87">
        <v>837.0</v>
      </c>
      <c r="AD99" s="87">
        <v>1238.0</v>
      </c>
      <c r="AE99" s="87">
        <v>1251.0</v>
      </c>
      <c r="AF99" s="87">
        <v>1778.0</v>
      </c>
      <c r="AG99" s="87"/>
      <c r="AH99" s="87">
        <v>2104.0</v>
      </c>
      <c r="AI99" s="87">
        <v>6000.0</v>
      </c>
      <c r="AJ99" s="87">
        <v>31.0</v>
      </c>
      <c r="AK99" s="87"/>
      <c r="AL99" s="87">
        <v>4441.0</v>
      </c>
      <c r="AM99" s="87"/>
      <c r="AN99" s="87">
        <v>242.0</v>
      </c>
      <c r="AO99" s="87">
        <v>2979.0</v>
      </c>
      <c r="AP99" s="87">
        <v>33.0</v>
      </c>
      <c r="AQ99" s="87">
        <v>427.0</v>
      </c>
      <c r="AR99" s="87">
        <v>13.0</v>
      </c>
      <c r="AS99" s="87">
        <v>6025.0</v>
      </c>
      <c r="AT99" s="87">
        <v>20.0</v>
      </c>
      <c r="AU99" s="87">
        <v>531.0</v>
      </c>
      <c r="AV99" s="87">
        <v>521.0</v>
      </c>
      <c r="AW99" s="87"/>
      <c r="AX99" s="87">
        <v>48.0</v>
      </c>
      <c r="AY99" s="87"/>
      <c r="AZ99" s="87">
        <v>1.0</v>
      </c>
      <c r="BA99" s="87">
        <v>17.0</v>
      </c>
      <c r="BB99" s="87"/>
      <c r="BC99" s="87">
        <v>972.0</v>
      </c>
      <c r="BD99" s="87"/>
      <c r="BE99" s="87">
        <v>4341.0</v>
      </c>
      <c r="BF99" s="87">
        <v>214.0</v>
      </c>
      <c r="BG99" s="87">
        <v>3580.0</v>
      </c>
      <c r="BH99" s="87"/>
      <c r="BI99" s="87">
        <v>56832.0</v>
      </c>
      <c r="BJ99" s="87">
        <v>4925.0</v>
      </c>
      <c r="BK99" s="87">
        <v>1590.0</v>
      </c>
      <c r="BL99" s="87">
        <v>648.0</v>
      </c>
      <c r="BM99" s="87">
        <v>972.0</v>
      </c>
      <c r="BN99" s="87"/>
      <c r="BO99" s="87"/>
      <c r="BP99" s="87">
        <v>4748.0</v>
      </c>
      <c r="BQ99" s="87">
        <v>363.0</v>
      </c>
      <c r="BR99" s="87">
        <v>82.0</v>
      </c>
      <c r="BS99" s="87">
        <v>1479.0</v>
      </c>
      <c r="BT99" s="87">
        <v>66.0</v>
      </c>
      <c r="BU99" s="87">
        <v>2.0</v>
      </c>
      <c r="BV99" s="87">
        <v>178.0</v>
      </c>
      <c r="BW99" s="87">
        <v>279.0</v>
      </c>
      <c r="BX99" s="87">
        <v>838.0</v>
      </c>
      <c r="BY99" s="87"/>
      <c r="BZ99" s="87">
        <v>2.0</v>
      </c>
      <c r="CA99" s="87">
        <v>53.0</v>
      </c>
      <c r="CB99" s="87">
        <v>34.0</v>
      </c>
      <c r="CC99" s="87">
        <v>8.0</v>
      </c>
      <c r="CD99" s="87">
        <v>1.0</v>
      </c>
      <c r="CE99" s="87"/>
      <c r="CF99" s="87">
        <v>2.0</v>
      </c>
      <c r="CG99" s="87">
        <v>201.0</v>
      </c>
      <c r="CH99" s="87">
        <v>7934.0</v>
      </c>
      <c r="CI99" s="87"/>
      <c r="CJ99" s="87">
        <v>3823.0</v>
      </c>
      <c r="CK99" s="87">
        <v>2772.0</v>
      </c>
      <c r="CL99" s="87">
        <v>1336.0</v>
      </c>
      <c r="CM99" s="87">
        <v>3.0</v>
      </c>
      <c r="CN99" s="87"/>
      <c r="CO99" s="87">
        <v>9.0</v>
      </c>
      <c r="CP99" s="87">
        <v>10.0</v>
      </c>
      <c r="CQ99" s="87">
        <v>182.0</v>
      </c>
      <c r="CR99" s="87"/>
      <c r="CS99" s="87"/>
      <c r="CT99" s="87">
        <v>1066.0</v>
      </c>
      <c r="CU99" s="87">
        <v>427.0</v>
      </c>
      <c r="CV99" s="87">
        <v>78.0</v>
      </c>
      <c r="CW99" s="87">
        <v>387.0</v>
      </c>
      <c r="CX99" s="87">
        <v>367.0</v>
      </c>
      <c r="CY99" s="87">
        <v>324.0</v>
      </c>
      <c r="CZ99" s="87">
        <v>12.0</v>
      </c>
      <c r="DA99" s="87">
        <v>22.0</v>
      </c>
      <c r="DB99" s="87">
        <v>715.0</v>
      </c>
      <c r="DC99" s="87">
        <v>442.0</v>
      </c>
      <c r="DD99" s="87">
        <v>728.0</v>
      </c>
      <c r="DE99" s="87">
        <v>104.0</v>
      </c>
      <c r="DF99" s="87">
        <v>329.0</v>
      </c>
      <c r="DG99" s="87">
        <v>398.0</v>
      </c>
      <c r="DH99" s="87">
        <v>1101.0</v>
      </c>
      <c r="DI99" s="87">
        <v>981.0</v>
      </c>
      <c r="DJ99" s="87">
        <v>2.0</v>
      </c>
      <c r="DK99" s="87">
        <v>137.0</v>
      </c>
      <c r="DL99" s="87">
        <v>486.0</v>
      </c>
      <c r="DM99" s="87">
        <v>29.0</v>
      </c>
      <c r="DN99" s="87"/>
      <c r="DO99" s="87">
        <v>1456.0</v>
      </c>
      <c r="DP99" s="87">
        <v>1009.0</v>
      </c>
      <c r="DQ99" s="87">
        <v>393.0</v>
      </c>
      <c r="DR99" s="87">
        <v>820.0</v>
      </c>
      <c r="DS99" s="87">
        <v>4.0</v>
      </c>
      <c r="DT99" s="87">
        <v>8.0</v>
      </c>
      <c r="DU99" s="87">
        <v>4.0</v>
      </c>
      <c r="DV99" s="87">
        <v>298.0</v>
      </c>
      <c r="DW99" s="87">
        <v>24.0</v>
      </c>
      <c r="DX99" s="87">
        <v>167.0</v>
      </c>
      <c r="DY99" s="87">
        <v>566.0</v>
      </c>
      <c r="DZ99" s="87">
        <v>46.0</v>
      </c>
      <c r="EA99" s="87">
        <v>8.0</v>
      </c>
      <c r="EB99" s="87">
        <v>159.0</v>
      </c>
      <c r="EC99" s="87">
        <v>62.0</v>
      </c>
      <c r="ED99" s="87">
        <v>2975.0</v>
      </c>
      <c r="EE99" s="87">
        <v>136.0</v>
      </c>
      <c r="EF99" s="87">
        <v>22.0</v>
      </c>
      <c r="EG99" s="87">
        <v>28.0</v>
      </c>
      <c r="EH99" s="87"/>
      <c r="EI99" s="87">
        <v>34.0</v>
      </c>
      <c r="EJ99" s="87">
        <v>8051.0</v>
      </c>
      <c r="EK99" s="88"/>
      <c r="EL99" s="88"/>
      <c r="EM99" s="88"/>
      <c r="EN99" s="88"/>
      <c r="EO99" s="88"/>
      <c r="EP99" s="88"/>
      <c r="EQ99" s="90"/>
    </row>
    <row r="100" ht="12.0" customHeight="1">
      <c r="A100" s="89">
        <v>1.06190232E8</v>
      </c>
      <c r="B100" s="89" t="s">
        <v>1015</v>
      </c>
      <c r="C100" s="89" t="s">
        <v>865</v>
      </c>
      <c r="D100" s="89" t="s">
        <v>1016</v>
      </c>
      <c r="E100" s="89" t="s">
        <v>1017</v>
      </c>
      <c r="F100" s="89" t="s">
        <v>1018</v>
      </c>
      <c r="G100" s="89" t="s">
        <v>1019</v>
      </c>
      <c r="H100" s="89" t="s">
        <v>503</v>
      </c>
      <c r="I100" s="89" t="s">
        <v>456</v>
      </c>
      <c r="J100" s="89" t="s">
        <v>457</v>
      </c>
      <c r="K100" s="89" t="s">
        <v>763</v>
      </c>
      <c r="L100" s="89" t="s">
        <v>997</v>
      </c>
      <c r="M100" s="89" t="s">
        <v>1020</v>
      </c>
      <c r="N100" s="89" t="s">
        <v>441</v>
      </c>
      <c r="O100" s="87"/>
      <c r="P100" s="87"/>
      <c r="Q100" s="87">
        <v>7022.0</v>
      </c>
      <c r="R100" s="87"/>
      <c r="S100" s="87"/>
      <c r="T100" s="87"/>
      <c r="U100" s="87">
        <v>2662.0</v>
      </c>
      <c r="V100" s="87">
        <v>4359.0</v>
      </c>
      <c r="W100" s="87">
        <v>1.0</v>
      </c>
      <c r="X100" s="87">
        <v>124.0</v>
      </c>
      <c r="Y100" s="87">
        <v>4136.0</v>
      </c>
      <c r="Z100" s="87">
        <v>821.0</v>
      </c>
      <c r="AA100" s="87">
        <v>658.0</v>
      </c>
      <c r="AB100" s="87">
        <v>462.0</v>
      </c>
      <c r="AC100" s="87">
        <v>359.0</v>
      </c>
      <c r="AD100" s="87">
        <v>328.0</v>
      </c>
      <c r="AE100" s="87">
        <v>117.0</v>
      </c>
      <c r="AF100" s="87">
        <v>17.0</v>
      </c>
      <c r="AG100" s="87"/>
      <c r="AH100" s="87">
        <v>2946.0</v>
      </c>
      <c r="AI100" s="87">
        <v>3389.0</v>
      </c>
      <c r="AJ100" s="87">
        <v>687.0</v>
      </c>
      <c r="AK100" s="87"/>
      <c r="AL100" s="87">
        <v>188.0</v>
      </c>
      <c r="AM100" s="87"/>
      <c r="AN100" s="87">
        <v>603.0</v>
      </c>
      <c r="AO100" s="87">
        <v>2335.0</v>
      </c>
      <c r="AP100" s="87">
        <v>7.0</v>
      </c>
      <c r="AQ100" s="87">
        <v>3875.0</v>
      </c>
      <c r="AR100" s="87">
        <v>14.0</v>
      </c>
      <c r="AS100" s="87">
        <v>474.0</v>
      </c>
      <c r="AT100" s="87">
        <v>67.0</v>
      </c>
      <c r="AU100" s="87">
        <v>6084.0</v>
      </c>
      <c r="AV100" s="87"/>
      <c r="AW100" s="87"/>
      <c r="AX100" s="87"/>
      <c r="AY100" s="87"/>
      <c r="AZ100" s="87"/>
      <c r="BA100" s="87">
        <v>397.0</v>
      </c>
      <c r="BB100" s="87"/>
      <c r="BC100" s="87"/>
      <c r="BD100" s="87"/>
      <c r="BE100" s="87"/>
      <c r="BF100" s="87">
        <v>6042.0</v>
      </c>
      <c r="BG100" s="87">
        <v>980.0</v>
      </c>
      <c r="BH100" s="87"/>
      <c r="BI100" s="87">
        <v>49887.0</v>
      </c>
      <c r="BJ100" s="87">
        <v>200.0</v>
      </c>
      <c r="BK100" s="87">
        <v>6815.0</v>
      </c>
      <c r="BL100" s="87">
        <v>7.0</v>
      </c>
      <c r="BM100" s="87"/>
      <c r="BN100" s="87"/>
      <c r="BO100" s="87"/>
      <c r="BP100" s="87">
        <v>6701.0</v>
      </c>
      <c r="BQ100" s="87">
        <v>73.0</v>
      </c>
      <c r="BR100" s="87"/>
      <c r="BS100" s="87">
        <v>91.0</v>
      </c>
      <c r="BT100" s="87">
        <v>11.0</v>
      </c>
      <c r="BU100" s="87">
        <v>12.0</v>
      </c>
      <c r="BV100" s="87">
        <v>126.0</v>
      </c>
      <c r="BW100" s="87">
        <v>1.0</v>
      </c>
      <c r="BX100" s="87"/>
      <c r="BY100" s="87"/>
      <c r="BZ100" s="87"/>
      <c r="CA100" s="87"/>
      <c r="CB100" s="87">
        <v>5.0</v>
      </c>
      <c r="CC100" s="87"/>
      <c r="CD100" s="87"/>
      <c r="CE100" s="87">
        <v>2.0</v>
      </c>
      <c r="CF100" s="87"/>
      <c r="CG100" s="87"/>
      <c r="CH100" s="87">
        <v>7022.0</v>
      </c>
      <c r="CI100" s="87"/>
      <c r="CJ100" s="87">
        <v>638.0</v>
      </c>
      <c r="CK100" s="87">
        <v>3146.0</v>
      </c>
      <c r="CL100" s="87">
        <v>2992.0</v>
      </c>
      <c r="CM100" s="87"/>
      <c r="CN100" s="87"/>
      <c r="CO100" s="87">
        <v>227.0</v>
      </c>
      <c r="CP100" s="87">
        <v>8.0</v>
      </c>
      <c r="CQ100" s="87">
        <v>11.0</v>
      </c>
      <c r="CR100" s="87"/>
      <c r="CS100" s="87"/>
      <c r="CT100" s="87"/>
      <c r="CU100" s="87"/>
      <c r="CV100" s="87"/>
      <c r="CW100" s="87">
        <v>1.0</v>
      </c>
      <c r="CX100" s="87">
        <v>7011.0</v>
      </c>
      <c r="CY100" s="87">
        <v>3.0</v>
      </c>
      <c r="CZ100" s="87"/>
      <c r="DA100" s="87"/>
      <c r="DB100" s="87">
        <v>1.0</v>
      </c>
      <c r="DC100" s="87"/>
      <c r="DD100" s="87"/>
      <c r="DE100" s="87"/>
      <c r="DF100" s="87"/>
      <c r="DG100" s="87"/>
      <c r="DH100" s="87"/>
      <c r="DI100" s="87"/>
      <c r="DJ100" s="87"/>
      <c r="DK100" s="87"/>
      <c r="DL100" s="87"/>
      <c r="DM100" s="87">
        <v>1.0</v>
      </c>
      <c r="DN100" s="87">
        <v>5.0</v>
      </c>
      <c r="DO100" s="87">
        <v>324.0</v>
      </c>
      <c r="DP100" s="87"/>
      <c r="DQ100" s="87"/>
      <c r="DR100" s="87"/>
      <c r="DS100" s="87"/>
      <c r="DT100" s="87"/>
      <c r="DU100" s="87"/>
      <c r="DV100" s="87"/>
      <c r="DW100" s="87"/>
      <c r="DX100" s="87"/>
      <c r="DY100" s="87"/>
      <c r="DZ100" s="87"/>
      <c r="EA100" s="87"/>
      <c r="EB100" s="87"/>
      <c r="EC100" s="87"/>
      <c r="ED100" s="87">
        <v>6698.0</v>
      </c>
      <c r="EE100" s="87"/>
      <c r="EF100" s="87">
        <v>12.0</v>
      </c>
      <c r="EG100" s="87">
        <v>677.0</v>
      </c>
      <c r="EH100" s="87"/>
      <c r="EI100" s="87">
        <v>53.0</v>
      </c>
      <c r="EJ100" s="87">
        <v>6280.0</v>
      </c>
      <c r="EK100" s="88"/>
      <c r="EL100" s="88"/>
      <c r="EM100" s="88"/>
      <c r="EN100" s="88"/>
      <c r="EO100" s="88"/>
      <c r="EP100" s="88"/>
      <c r="EQ100" s="90"/>
    </row>
    <row r="101" ht="12.0" customHeight="1">
      <c r="A101" s="89">
        <v>1.0619024E8</v>
      </c>
      <c r="B101" s="89" t="s">
        <v>1021</v>
      </c>
      <c r="C101" s="89" t="s">
        <v>865</v>
      </c>
      <c r="D101" s="89" t="s">
        <v>1022</v>
      </c>
      <c r="E101" s="89" t="s">
        <v>1023</v>
      </c>
      <c r="F101" s="89" t="s">
        <v>1024</v>
      </c>
      <c r="G101" s="89" t="s">
        <v>1025</v>
      </c>
      <c r="H101" s="89" t="s">
        <v>503</v>
      </c>
      <c r="I101" s="89" t="s">
        <v>456</v>
      </c>
      <c r="J101" s="89" t="s">
        <v>457</v>
      </c>
      <c r="K101" s="89" t="s">
        <v>913</v>
      </c>
      <c r="L101" s="89" t="s">
        <v>1026</v>
      </c>
      <c r="M101" s="89" t="s">
        <v>991</v>
      </c>
      <c r="N101" s="89" t="s">
        <v>441</v>
      </c>
      <c r="O101" s="87">
        <v>7310.0</v>
      </c>
      <c r="P101" s="87"/>
      <c r="Q101" s="87"/>
      <c r="R101" s="87"/>
      <c r="S101" s="87"/>
      <c r="T101" s="87"/>
      <c r="U101" s="87">
        <v>3733.0</v>
      </c>
      <c r="V101" s="87">
        <v>3577.0</v>
      </c>
      <c r="W101" s="87"/>
      <c r="X101" s="87"/>
      <c r="Y101" s="87">
        <v>31.0</v>
      </c>
      <c r="Z101" s="87">
        <v>234.0</v>
      </c>
      <c r="AA101" s="87">
        <v>481.0</v>
      </c>
      <c r="AB101" s="87">
        <v>637.0</v>
      </c>
      <c r="AC101" s="87">
        <v>1246.0</v>
      </c>
      <c r="AD101" s="87">
        <v>1683.0</v>
      </c>
      <c r="AE101" s="87">
        <v>1677.0</v>
      </c>
      <c r="AF101" s="87">
        <v>1321.0</v>
      </c>
      <c r="AG101" s="87"/>
      <c r="AH101" s="87">
        <v>2766.0</v>
      </c>
      <c r="AI101" s="87">
        <v>4426.0</v>
      </c>
      <c r="AJ101" s="87">
        <v>118.0</v>
      </c>
      <c r="AK101" s="87"/>
      <c r="AL101" s="87">
        <v>704.0</v>
      </c>
      <c r="AM101" s="87">
        <v>93.0</v>
      </c>
      <c r="AN101" s="87">
        <v>1281.0</v>
      </c>
      <c r="AO101" s="87">
        <v>3023.0</v>
      </c>
      <c r="AP101" s="87">
        <v>173.0</v>
      </c>
      <c r="AQ101" s="87">
        <v>2025.0</v>
      </c>
      <c r="AR101" s="87">
        <v>11.0</v>
      </c>
      <c r="AS101" s="87">
        <v>6854.0</v>
      </c>
      <c r="AT101" s="87">
        <v>16.0</v>
      </c>
      <c r="AU101" s="87">
        <v>130.0</v>
      </c>
      <c r="AV101" s="87">
        <v>203.0</v>
      </c>
      <c r="AW101" s="87">
        <v>103.0</v>
      </c>
      <c r="AX101" s="87">
        <v>1.0</v>
      </c>
      <c r="AY101" s="87">
        <v>2.0</v>
      </c>
      <c r="AZ101" s="87"/>
      <c r="BA101" s="87">
        <v>1.0</v>
      </c>
      <c r="BB101" s="87"/>
      <c r="BC101" s="87"/>
      <c r="BD101" s="87"/>
      <c r="BE101" s="87">
        <v>6674.0</v>
      </c>
      <c r="BF101" s="87">
        <v>113.0</v>
      </c>
      <c r="BG101" s="87">
        <v>523.0</v>
      </c>
      <c r="BH101" s="87"/>
      <c r="BI101" s="87">
        <v>48223.0</v>
      </c>
      <c r="BJ101" s="87">
        <v>3605.0</v>
      </c>
      <c r="BK101" s="87">
        <v>3574.0</v>
      </c>
      <c r="BL101" s="87">
        <v>129.0</v>
      </c>
      <c r="BM101" s="87"/>
      <c r="BN101" s="87">
        <v>2.0</v>
      </c>
      <c r="BO101" s="87"/>
      <c r="BP101" s="87">
        <v>3668.0</v>
      </c>
      <c r="BQ101" s="87">
        <v>241.0</v>
      </c>
      <c r="BR101" s="87">
        <v>41.0</v>
      </c>
      <c r="BS101" s="87">
        <v>1328.0</v>
      </c>
      <c r="BT101" s="87">
        <v>44.0</v>
      </c>
      <c r="BU101" s="87">
        <v>1.0</v>
      </c>
      <c r="BV101" s="87">
        <v>355.0</v>
      </c>
      <c r="BW101" s="87">
        <v>388.0</v>
      </c>
      <c r="BX101" s="87">
        <v>1085.0</v>
      </c>
      <c r="BY101" s="87"/>
      <c r="BZ101" s="87"/>
      <c r="CA101" s="87">
        <v>147.0</v>
      </c>
      <c r="CB101" s="87">
        <v>11.0</v>
      </c>
      <c r="CC101" s="87"/>
      <c r="CD101" s="87">
        <v>1.0</v>
      </c>
      <c r="CE101" s="87"/>
      <c r="CF101" s="87"/>
      <c r="CG101" s="87">
        <v>182.0</v>
      </c>
      <c r="CH101" s="87">
        <v>7128.0</v>
      </c>
      <c r="CI101" s="87"/>
      <c r="CJ101" s="87">
        <v>3673.0</v>
      </c>
      <c r="CK101" s="87">
        <v>2032.0</v>
      </c>
      <c r="CL101" s="87">
        <v>1442.0</v>
      </c>
      <c r="CM101" s="87">
        <v>13.0</v>
      </c>
      <c r="CN101" s="87"/>
      <c r="CO101" s="87">
        <v>12.0</v>
      </c>
      <c r="CP101" s="87">
        <v>4.0</v>
      </c>
      <c r="CQ101" s="87">
        <v>45.0</v>
      </c>
      <c r="CR101" s="87">
        <v>89.0</v>
      </c>
      <c r="CS101" s="87"/>
      <c r="CT101" s="87">
        <v>1395.0</v>
      </c>
      <c r="CU101" s="87">
        <v>249.0</v>
      </c>
      <c r="CV101" s="87">
        <v>104.0</v>
      </c>
      <c r="CW101" s="87">
        <v>551.0</v>
      </c>
      <c r="CX101" s="87">
        <v>91.0</v>
      </c>
      <c r="CY101" s="87">
        <v>212.0</v>
      </c>
      <c r="CZ101" s="87">
        <v>5.0</v>
      </c>
      <c r="DA101" s="87">
        <v>11.0</v>
      </c>
      <c r="DB101" s="87">
        <v>1613.0</v>
      </c>
      <c r="DC101" s="87">
        <v>436.0</v>
      </c>
      <c r="DD101" s="87">
        <v>1016.0</v>
      </c>
      <c r="DE101" s="87">
        <v>144.0</v>
      </c>
      <c r="DF101" s="87">
        <v>187.0</v>
      </c>
      <c r="DG101" s="87">
        <v>494.0</v>
      </c>
      <c r="DH101" s="87">
        <v>20.0</v>
      </c>
      <c r="DI101" s="87"/>
      <c r="DJ101" s="87">
        <v>6.0</v>
      </c>
      <c r="DK101" s="87">
        <v>109.0</v>
      </c>
      <c r="DL101" s="87">
        <v>645.0</v>
      </c>
      <c r="DM101" s="87">
        <v>22.0</v>
      </c>
      <c r="DN101" s="87"/>
      <c r="DO101" s="87">
        <v>1397.0</v>
      </c>
      <c r="DP101" s="87">
        <v>3.0</v>
      </c>
      <c r="DQ101" s="87">
        <v>1230.0</v>
      </c>
      <c r="DR101" s="87">
        <v>844.0</v>
      </c>
      <c r="DS101" s="87">
        <v>2.0</v>
      </c>
      <c r="DT101" s="87">
        <v>6.0</v>
      </c>
      <c r="DU101" s="87"/>
      <c r="DV101" s="87">
        <v>61.0</v>
      </c>
      <c r="DW101" s="87">
        <v>21.0</v>
      </c>
      <c r="DX101" s="87">
        <v>198.0</v>
      </c>
      <c r="DY101" s="87">
        <v>440.0</v>
      </c>
      <c r="DZ101" s="87">
        <v>78.0</v>
      </c>
      <c r="EA101" s="87">
        <v>10.0</v>
      </c>
      <c r="EB101" s="87">
        <v>191.0</v>
      </c>
      <c r="EC101" s="87">
        <v>76.0</v>
      </c>
      <c r="ED101" s="87">
        <v>2681.0</v>
      </c>
      <c r="EE101" s="87">
        <v>72.0</v>
      </c>
      <c r="EF101" s="87">
        <v>4.0</v>
      </c>
      <c r="EG101" s="87">
        <v>128.0</v>
      </c>
      <c r="EH101" s="87">
        <v>1.0</v>
      </c>
      <c r="EI101" s="87">
        <v>35.0</v>
      </c>
      <c r="EJ101" s="87">
        <v>7142.0</v>
      </c>
      <c r="EK101" s="88"/>
      <c r="EL101" s="88"/>
      <c r="EM101" s="88"/>
      <c r="EN101" s="88"/>
      <c r="EO101" s="88"/>
      <c r="EP101" s="88"/>
      <c r="EQ101" s="90"/>
    </row>
    <row r="102" ht="12.0" customHeight="1">
      <c r="A102" s="89">
        <v>1.06190243E8</v>
      </c>
      <c r="B102" s="89" t="s">
        <v>1027</v>
      </c>
      <c r="C102" s="89" t="s">
        <v>865</v>
      </c>
      <c r="D102" s="89" t="s">
        <v>1028</v>
      </c>
      <c r="E102" s="89" t="s">
        <v>1029</v>
      </c>
      <c r="F102" s="89" t="s">
        <v>1030</v>
      </c>
      <c r="G102" s="89" t="s">
        <v>1031</v>
      </c>
      <c r="H102" s="89" t="s">
        <v>447</v>
      </c>
      <c r="I102" s="89" t="s">
        <v>456</v>
      </c>
      <c r="J102" s="89" t="s">
        <v>457</v>
      </c>
      <c r="K102" s="89" t="s">
        <v>777</v>
      </c>
      <c r="L102" s="89" t="s">
        <v>920</v>
      </c>
      <c r="M102" s="89" t="s">
        <v>1032</v>
      </c>
      <c r="N102" s="89" t="s">
        <v>441</v>
      </c>
      <c r="O102" s="87">
        <v>9581.0</v>
      </c>
      <c r="P102" s="87"/>
      <c r="Q102" s="87"/>
      <c r="R102" s="87"/>
      <c r="S102" s="87"/>
      <c r="T102" s="87"/>
      <c r="U102" s="87">
        <v>4600.0</v>
      </c>
      <c r="V102" s="87">
        <v>4981.0</v>
      </c>
      <c r="W102" s="87"/>
      <c r="X102" s="87"/>
      <c r="Y102" s="87">
        <v>60.0</v>
      </c>
      <c r="Z102" s="87">
        <v>484.0</v>
      </c>
      <c r="AA102" s="87">
        <v>706.0</v>
      </c>
      <c r="AB102" s="87">
        <v>972.0</v>
      </c>
      <c r="AC102" s="87">
        <v>1348.0</v>
      </c>
      <c r="AD102" s="87">
        <v>1876.0</v>
      </c>
      <c r="AE102" s="87">
        <v>1967.0</v>
      </c>
      <c r="AF102" s="87">
        <v>2168.0</v>
      </c>
      <c r="AG102" s="87"/>
      <c r="AH102" s="87">
        <v>6433.0</v>
      </c>
      <c r="AI102" s="87">
        <v>2239.0</v>
      </c>
      <c r="AJ102" s="87">
        <v>909.0</v>
      </c>
      <c r="AK102" s="87">
        <v>90.0</v>
      </c>
      <c r="AL102" s="87">
        <v>309.0</v>
      </c>
      <c r="AM102" s="87"/>
      <c r="AN102" s="87">
        <v>417.0</v>
      </c>
      <c r="AO102" s="87">
        <v>3995.0</v>
      </c>
      <c r="AP102" s="87">
        <v>922.0</v>
      </c>
      <c r="AQ102" s="87">
        <v>3803.0</v>
      </c>
      <c r="AR102" s="87">
        <v>45.0</v>
      </c>
      <c r="AS102" s="87">
        <v>8776.0</v>
      </c>
      <c r="AT102" s="87">
        <v>15.0</v>
      </c>
      <c r="AU102" s="87">
        <v>302.0</v>
      </c>
      <c r="AV102" s="87">
        <v>399.0</v>
      </c>
      <c r="AW102" s="87">
        <v>71.0</v>
      </c>
      <c r="AX102" s="87">
        <v>13.0</v>
      </c>
      <c r="AY102" s="87"/>
      <c r="AZ102" s="87"/>
      <c r="BA102" s="87">
        <v>3.0</v>
      </c>
      <c r="BB102" s="87"/>
      <c r="BC102" s="87"/>
      <c r="BD102" s="87">
        <v>2.0</v>
      </c>
      <c r="BE102" s="87">
        <v>9112.0</v>
      </c>
      <c r="BF102" s="87">
        <v>261.0</v>
      </c>
      <c r="BG102" s="87">
        <v>206.0</v>
      </c>
      <c r="BH102" s="87">
        <v>2.0</v>
      </c>
      <c r="BI102" s="87">
        <v>34401.0</v>
      </c>
      <c r="BJ102" s="87">
        <v>9118.0</v>
      </c>
      <c r="BK102" s="87">
        <v>275.0</v>
      </c>
      <c r="BL102" s="87">
        <v>136.0</v>
      </c>
      <c r="BM102" s="87"/>
      <c r="BN102" s="87"/>
      <c r="BO102" s="87">
        <v>52.0</v>
      </c>
      <c r="BP102" s="87">
        <v>5258.0</v>
      </c>
      <c r="BQ102" s="87">
        <v>382.0</v>
      </c>
      <c r="BR102" s="87">
        <v>21.0</v>
      </c>
      <c r="BS102" s="87">
        <v>1021.0</v>
      </c>
      <c r="BT102" s="87">
        <v>37.0</v>
      </c>
      <c r="BU102" s="87">
        <v>1.0</v>
      </c>
      <c r="BV102" s="87">
        <v>276.0</v>
      </c>
      <c r="BW102" s="87">
        <v>281.0</v>
      </c>
      <c r="BX102" s="87">
        <v>2124.0</v>
      </c>
      <c r="BY102" s="87"/>
      <c r="BZ102" s="87">
        <v>1.0</v>
      </c>
      <c r="CA102" s="87">
        <v>165.0</v>
      </c>
      <c r="CB102" s="87">
        <v>13.0</v>
      </c>
      <c r="CC102" s="87"/>
      <c r="CD102" s="87">
        <v>1.0</v>
      </c>
      <c r="CE102" s="87"/>
      <c r="CF102" s="87"/>
      <c r="CG102" s="87">
        <v>415.0</v>
      </c>
      <c r="CH102" s="87">
        <v>9164.0</v>
      </c>
      <c r="CI102" s="87">
        <v>2.0</v>
      </c>
      <c r="CJ102" s="87">
        <v>5394.0</v>
      </c>
      <c r="CK102" s="87">
        <v>2731.0</v>
      </c>
      <c r="CL102" s="87">
        <v>1262.0</v>
      </c>
      <c r="CM102" s="87">
        <v>13.0</v>
      </c>
      <c r="CN102" s="87"/>
      <c r="CO102" s="87">
        <v>31.0</v>
      </c>
      <c r="CP102" s="87"/>
      <c r="CQ102" s="87">
        <v>150.0</v>
      </c>
      <c r="CR102" s="87"/>
      <c r="CS102" s="87"/>
      <c r="CT102" s="87">
        <v>1844.0</v>
      </c>
      <c r="CU102" s="87">
        <v>210.0</v>
      </c>
      <c r="CV102" s="87">
        <v>155.0</v>
      </c>
      <c r="CW102" s="87">
        <v>673.0</v>
      </c>
      <c r="CX102" s="87">
        <v>101.0</v>
      </c>
      <c r="CY102" s="87">
        <v>435.0</v>
      </c>
      <c r="CZ102" s="87">
        <v>27.0</v>
      </c>
      <c r="DA102" s="87">
        <v>33.0</v>
      </c>
      <c r="DB102" s="87">
        <v>1848.0</v>
      </c>
      <c r="DC102" s="87">
        <v>486.0</v>
      </c>
      <c r="DD102" s="87">
        <v>1684.0</v>
      </c>
      <c r="DE102" s="87">
        <v>166.0</v>
      </c>
      <c r="DF102" s="87">
        <v>282.0</v>
      </c>
      <c r="DG102" s="87">
        <v>657.0</v>
      </c>
      <c r="DH102" s="87">
        <v>62.0</v>
      </c>
      <c r="DI102" s="87"/>
      <c r="DJ102" s="87">
        <v>3.0</v>
      </c>
      <c r="DK102" s="87">
        <v>359.0</v>
      </c>
      <c r="DL102" s="87">
        <v>550.0</v>
      </c>
      <c r="DM102" s="87">
        <v>6.0</v>
      </c>
      <c r="DN102" s="87"/>
      <c r="DO102" s="87">
        <v>848.0</v>
      </c>
      <c r="DP102" s="87">
        <v>13.0</v>
      </c>
      <c r="DQ102" s="87">
        <v>1071.0</v>
      </c>
      <c r="DR102" s="87">
        <v>1234.0</v>
      </c>
      <c r="DS102" s="87">
        <v>1.0</v>
      </c>
      <c r="DT102" s="87">
        <v>3.0</v>
      </c>
      <c r="DU102" s="87"/>
      <c r="DV102" s="87">
        <v>85.0</v>
      </c>
      <c r="DW102" s="87">
        <v>22.0</v>
      </c>
      <c r="DX102" s="87">
        <v>215.0</v>
      </c>
      <c r="DY102" s="87">
        <v>421.0</v>
      </c>
      <c r="DZ102" s="87">
        <v>77.0</v>
      </c>
      <c r="EA102" s="87">
        <v>37.0</v>
      </c>
      <c r="EB102" s="87">
        <v>139.0</v>
      </c>
      <c r="EC102" s="87">
        <v>129.0</v>
      </c>
      <c r="ED102" s="87">
        <v>5118.0</v>
      </c>
      <c r="EE102" s="87">
        <v>168.0</v>
      </c>
      <c r="EF102" s="87">
        <v>32.0</v>
      </c>
      <c r="EG102" s="87">
        <v>147.0</v>
      </c>
      <c r="EH102" s="87"/>
      <c r="EI102" s="87">
        <v>32.0</v>
      </c>
      <c r="EJ102" s="87">
        <v>9370.0</v>
      </c>
      <c r="EK102" s="88"/>
      <c r="EL102" s="88"/>
      <c r="EM102" s="88"/>
      <c r="EN102" s="88"/>
      <c r="EO102" s="88"/>
      <c r="EP102" s="88"/>
      <c r="EQ102" s="90"/>
    </row>
    <row r="103" ht="12.0" customHeight="1">
      <c r="A103" s="89">
        <v>1.06190256E8</v>
      </c>
      <c r="B103" s="89" t="s">
        <v>1033</v>
      </c>
      <c r="C103" s="89" t="s">
        <v>865</v>
      </c>
      <c r="D103" s="89" t="s">
        <v>1034</v>
      </c>
      <c r="E103" s="89" t="s">
        <v>1035</v>
      </c>
      <c r="F103" s="89" t="s">
        <v>865</v>
      </c>
      <c r="G103" s="89" t="s">
        <v>1008</v>
      </c>
      <c r="H103" s="89" t="s">
        <v>696</v>
      </c>
      <c r="I103" s="89" t="s">
        <v>456</v>
      </c>
      <c r="J103" s="89" t="s">
        <v>437</v>
      </c>
      <c r="K103" s="89" t="s">
        <v>905</v>
      </c>
      <c r="L103" s="89" t="s">
        <v>906</v>
      </c>
      <c r="M103" s="89" t="s">
        <v>1009</v>
      </c>
      <c r="N103" s="89" t="s">
        <v>441</v>
      </c>
      <c r="O103" s="87">
        <v>2695.0</v>
      </c>
      <c r="P103" s="87">
        <v>8.0</v>
      </c>
      <c r="Q103" s="87"/>
      <c r="R103" s="87"/>
      <c r="S103" s="87"/>
      <c r="T103" s="87"/>
      <c r="U103" s="87">
        <v>1212.0</v>
      </c>
      <c r="V103" s="87">
        <v>1491.0</v>
      </c>
      <c r="W103" s="87"/>
      <c r="X103" s="87">
        <v>405.0</v>
      </c>
      <c r="Y103" s="87">
        <v>58.0</v>
      </c>
      <c r="Z103" s="87">
        <v>269.0</v>
      </c>
      <c r="AA103" s="87">
        <v>316.0</v>
      </c>
      <c r="AB103" s="87">
        <v>279.0</v>
      </c>
      <c r="AC103" s="87">
        <v>368.0</v>
      </c>
      <c r="AD103" s="87">
        <v>453.0</v>
      </c>
      <c r="AE103" s="87">
        <v>301.0</v>
      </c>
      <c r="AF103" s="87">
        <v>254.0</v>
      </c>
      <c r="AG103" s="87"/>
      <c r="AH103" s="87">
        <v>2137.0</v>
      </c>
      <c r="AI103" s="87">
        <v>558.0</v>
      </c>
      <c r="AJ103" s="87">
        <v>8.0</v>
      </c>
      <c r="AK103" s="87"/>
      <c r="AL103" s="87">
        <v>76.0</v>
      </c>
      <c r="AM103" s="87"/>
      <c r="AN103" s="87">
        <v>269.0</v>
      </c>
      <c r="AO103" s="87">
        <v>736.0</v>
      </c>
      <c r="AP103" s="87">
        <v>22.0</v>
      </c>
      <c r="AQ103" s="87">
        <v>1600.0</v>
      </c>
      <c r="AR103" s="87"/>
      <c r="AS103" s="87">
        <v>1982.0</v>
      </c>
      <c r="AT103" s="87">
        <v>18.0</v>
      </c>
      <c r="AU103" s="87">
        <v>238.0</v>
      </c>
      <c r="AV103" s="87">
        <v>89.0</v>
      </c>
      <c r="AW103" s="87"/>
      <c r="AX103" s="87">
        <v>7.0</v>
      </c>
      <c r="AY103" s="87"/>
      <c r="AZ103" s="87">
        <v>2.0</v>
      </c>
      <c r="BA103" s="87">
        <v>1.0</v>
      </c>
      <c r="BB103" s="87"/>
      <c r="BC103" s="87">
        <v>366.0</v>
      </c>
      <c r="BD103" s="87"/>
      <c r="BE103" s="87">
        <v>1431.0</v>
      </c>
      <c r="BF103" s="87">
        <v>213.0</v>
      </c>
      <c r="BG103" s="87">
        <v>1059.0</v>
      </c>
      <c r="BH103" s="87"/>
      <c r="BI103" s="87">
        <v>14423.0</v>
      </c>
      <c r="BJ103" s="87">
        <v>1365.0</v>
      </c>
      <c r="BK103" s="87">
        <v>364.0</v>
      </c>
      <c r="BL103" s="87">
        <v>608.0</v>
      </c>
      <c r="BM103" s="87">
        <v>366.0</v>
      </c>
      <c r="BN103" s="87"/>
      <c r="BO103" s="87"/>
      <c r="BP103" s="87">
        <v>1823.0</v>
      </c>
      <c r="BQ103" s="87">
        <v>97.0</v>
      </c>
      <c r="BR103" s="87">
        <v>1.0</v>
      </c>
      <c r="BS103" s="87">
        <v>283.0</v>
      </c>
      <c r="BT103" s="87">
        <v>6.0</v>
      </c>
      <c r="BU103" s="87">
        <v>3.0</v>
      </c>
      <c r="BV103" s="87">
        <v>195.0</v>
      </c>
      <c r="BW103" s="87">
        <v>108.0</v>
      </c>
      <c r="BX103" s="87">
        <v>168.0</v>
      </c>
      <c r="BY103" s="87"/>
      <c r="BZ103" s="87">
        <v>2.0</v>
      </c>
      <c r="CA103" s="87">
        <v>14.0</v>
      </c>
      <c r="CB103" s="87">
        <v>3.0</v>
      </c>
      <c r="CC103" s="87"/>
      <c r="CD103" s="87"/>
      <c r="CE103" s="87"/>
      <c r="CF103" s="87"/>
      <c r="CG103" s="87">
        <v>50.0</v>
      </c>
      <c r="CH103" s="87">
        <v>2653.0</v>
      </c>
      <c r="CI103" s="87"/>
      <c r="CJ103" s="87">
        <v>681.0</v>
      </c>
      <c r="CK103" s="87">
        <v>1780.0</v>
      </c>
      <c r="CL103" s="87">
        <v>170.0</v>
      </c>
      <c r="CM103" s="87">
        <v>3.0</v>
      </c>
      <c r="CN103" s="87"/>
      <c r="CO103" s="87">
        <v>1.0</v>
      </c>
      <c r="CP103" s="87"/>
      <c r="CQ103" s="87">
        <v>64.0</v>
      </c>
      <c r="CR103" s="87">
        <v>4.0</v>
      </c>
      <c r="CS103" s="87"/>
      <c r="CT103" s="87">
        <v>434.0</v>
      </c>
      <c r="CU103" s="87">
        <v>44.0</v>
      </c>
      <c r="CV103" s="87">
        <v>37.0</v>
      </c>
      <c r="CW103" s="87">
        <v>127.0</v>
      </c>
      <c r="CX103" s="87">
        <v>23.0</v>
      </c>
      <c r="CY103" s="87">
        <v>71.0</v>
      </c>
      <c r="CZ103" s="87">
        <v>1.0</v>
      </c>
      <c r="DA103" s="87">
        <v>1.0</v>
      </c>
      <c r="DB103" s="87">
        <v>336.0</v>
      </c>
      <c r="DC103" s="87">
        <v>108.0</v>
      </c>
      <c r="DD103" s="87">
        <v>299.0</v>
      </c>
      <c r="DE103" s="87">
        <v>67.0</v>
      </c>
      <c r="DF103" s="87">
        <v>44.0</v>
      </c>
      <c r="DG103" s="87">
        <v>154.0</v>
      </c>
      <c r="DH103" s="87">
        <v>381.0</v>
      </c>
      <c r="DI103" s="87">
        <v>375.0</v>
      </c>
      <c r="DJ103" s="87"/>
      <c r="DK103" s="87">
        <v>46.0</v>
      </c>
      <c r="DL103" s="87">
        <v>148.0</v>
      </c>
      <c r="DM103" s="87">
        <v>7.0</v>
      </c>
      <c r="DN103" s="87"/>
      <c r="DO103" s="87">
        <v>609.0</v>
      </c>
      <c r="DP103" s="87">
        <v>363.0</v>
      </c>
      <c r="DQ103" s="87">
        <v>205.0</v>
      </c>
      <c r="DR103" s="87">
        <v>167.0</v>
      </c>
      <c r="DS103" s="87"/>
      <c r="DT103" s="87"/>
      <c r="DU103" s="87"/>
      <c r="DV103" s="87">
        <v>54.0</v>
      </c>
      <c r="DW103" s="87"/>
      <c r="DX103" s="87">
        <v>44.0</v>
      </c>
      <c r="DY103" s="87">
        <v>100.0</v>
      </c>
      <c r="DZ103" s="87">
        <v>2.0</v>
      </c>
      <c r="EA103" s="87"/>
      <c r="EB103" s="87">
        <v>21.0</v>
      </c>
      <c r="EC103" s="87">
        <v>4.0</v>
      </c>
      <c r="ED103" s="87">
        <v>1131.0</v>
      </c>
      <c r="EE103" s="87">
        <v>3.0</v>
      </c>
      <c r="EF103" s="87">
        <v>19.0</v>
      </c>
      <c r="EG103" s="87">
        <v>207.0</v>
      </c>
      <c r="EH103" s="87"/>
      <c r="EI103" s="87">
        <v>5.0</v>
      </c>
      <c r="EJ103" s="87">
        <v>2472.0</v>
      </c>
      <c r="EK103" s="88"/>
      <c r="EL103" s="88"/>
      <c r="EM103" s="88"/>
      <c r="EN103" s="88"/>
      <c r="EO103" s="88"/>
      <c r="EP103" s="88"/>
      <c r="EQ103" s="90"/>
    </row>
    <row r="104" ht="12.0" customHeight="1">
      <c r="A104" s="89">
        <v>1.0619028E8</v>
      </c>
      <c r="B104" s="89" t="s">
        <v>1036</v>
      </c>
      <c r="C104" s="89" t="s">
        <v>865</v>
      </c>
      <c r="D104" s="89" t="s">
        <v>1037</v>
      </c>
      <c r="E104" s="89" t="s">
        <v>1038</v>
      </c>
      <c r="F104" s="89" t="s">
        <v>1039</v>
      </c>
      <c r="G104" s="89" t="s">
        <v>1040</v>
      </c>
      <c r="H104" s="89" t="s">
        <v>475</v>
      </c>
      <c r="I104" s="89" t="s">
        <v>456</v>
      </c>
      <c r="J104" s="89" t="s">
        <v>437</v>
      </c>
      <c r="K104" s="89" t="s">
        <v>1041</v>
      </c>
      <c r="L104" s="89" t="s">
        <v>1042</v>
      </c>
      <c r="M104" s="89" t="s">
        <v>1043</v>
      </c>
      <c r="N104" s="89" t="s">
        <v>441</v>
      </c>
      <c r="O104" s="87">
        <v>1501.0</v>
      </c>
      <c r="P104" s="87">
        <v>10.0</v>
      </c>
      <c r="Q104" s="87">
        <v>285.0</v>
      </c>
      <c r="R104" s="87"/>
      <c r="S104" s="87">
        <v>177.0</v>
      </c>
      <c r="T104" s="87"/>
      <c r="U104" s="87">
        <v>899.0</v>
      </c>
      <c r="V104" s="87">
        <v>1074.0</v>
      </c>
      <c r="W104" s="87"/>
      <c r="X104" s="87"/>
      <c r="Y104" s="87"/>
      <c r="Z104" s="87">
        <v>60.0</v>
      </c>
      <c r="AA104" s="87">
        <v>91.0</v>
      </c>
      <c r="AB104" s="87">
        <v>97.0</v>
      </c>
      <c r="AC104" s="87">
        <v>210.0</v>
      </c>
      <c r="AD104" s="87">
        <v>380.0</v>
      </c>
      <c r="AE104" s="87">
        <v>462.0</v>
      </c>
      <c r="AF104" s="87">
        <v>667.0</v>
      </c>
      <c r="AG104" s="87">
        <v>6.0</v>
      </c>
      <c r="AH104" s="87">
        <v>220.0</v>
      </c>
      <c r="AI104" s="87">
        <v>1722.0</v>
      </c>
      <c r="AJ104" s="87">
        <v>31.0</v>
      </c>
      <c r="AK104" s="87"/>
      <c r="AL104" s="87">
        <v>53.0</v>
      </c>
      <c r="AM104" s="87">
        <v>11.0</v>
      </c>
      <c r="AN104" s="87">
        <v>137.0</v>
      </c>
      <c r="AO104" s="87">
        <v>1505.0</v>
      </c>
      <c r="AP104" s="87">
        <v>86.0</v>
      </c>
      <c r="AQ104" s="87">
        <v>181.0</v>
      </c>
      <c r="AR104" s="87"/>
      <c r="AS104" s="87">
        <v>1172.0</v>
      </c>
      <c r="AT104" s="87">
        <v>5.0</v>
      </c>
      <c r="AU104" s="87">
        <v>267.0</v>
      </c>
      <c r="AV104" s="87">
        <v>383.0</v>
      </c>
      <c r="AW104" s="87">
        <v>1.0</v>
      </c>
      <c r="AX104" s="87">
        <v>141.0</v>
      </c>
      <c r="AY104" s="87">
        <v>1.0</v>
      </c>
      <c r="AZ104" s="87"/>
      <c r="BA104" s="87">
        <v>3.0</v>
      </c>
      <c r="BB104" s="87"/>
      <c r="BC104" s="87"/>
      <c r="BD104" s="87"/>
      <c r="BE104" s="87">
        <v>1687.0</v>
      </c>
      <c r="BF104" s="87">
        <v>40.0</v>
      </c>
      <c r="BG104" s="87">
        <v>246.0</v>
      </c>
      <c r="BH104" s="87"/>
      <c r="BI104" s="87">
        <v>12724.0</v>
      </c>
      <c r="BJ104" s="87">
        <v>168.0</v>
      </c>
      <c r="BK104" s="87">
        <v>1610.0</v>
      </c>
      <c r="BL104" s="87">
        <v>195.0</v>
      </c>
      <c r="BM104" s="87"/>
      <c r="BN104" s="87"/>
      <c r="BO104" s="87"/>
      <c r="BP104" s="87">
        <v>678.0</v>
      </c>
      <c r="BQ104" s="87">
        <v>121.0</v>
      </c>
      <c r="BR104" s="87">
        <v>83.0</v>
      </c>
      <c r="BS104" s="87">
        <v>555.0</v>
      </c>
      <c r="BT104" s="87">
        <v>83.0</v>
      </c>
      <c r="BU104" s="87">
        <v>1.0</v>
      </c>
      <c r="BV104" s="87">
        <v>103.0</v>
      </c>
      <c r="BW104" s="87">
        <v>44.0</v>
      </c>
      <c r="BX104" s="87">
        <v>267.0</v>
      </c>
      <c r="BY104" s="87"/>
      <c r="BZ104" s="87"/>
      <c r="CA104" s="87">
        <v>23.0</v>
      </c>
      <c r="CB104" s="87">
        <v>14.0</v>
      </c>
      <c r="CC104" s="87"/>
      <c r="CD104" s="87">
        <v>1.0</v>
      </c>
      <c r="CE104" s="87"/>
      <c r="CF104" s="87"/>
      <c r="CG104" s="87">
        <v>72.0</v>
      </c>
      <c r="CH104" s="87">
        <v>1901.0</v>
      </c>
      <c r="CI104" s="87"/>
      <c r="CJ104" s="87">
        <v>1473.0</v>
      </c>
      <c r="CK104" s="87">
        <v>312.0</v>
      </c>
      <c r="CL104" s="87">
        <v>170.0</v>
      </c>
      <c r="CM104" s="87">
        <v>3.0</v>
      </c>
      <c r="CN104" s="87"/>
      <c r="CO104" s="87">
        <v>1.0</v>
      </c>
      <c r="CP104" s="87"/>
      <c r="CQ104" s="87">
        <v>14.0</v>
      </c>
      <c r="CR104" s="87"/>
      <c r="CS104" s="87"/>
      <c r="CT104" s="87">
        <v>387.0</v>
      </c>
      <c r="CU104" s="87">
        <v>21.0</v>
      </c>
      <c r="CV104" s="87">
        <v>7.0</v>
      </c>
      <c r="CW104" s="87">
        <v>76.0</v>
      </c>
      <c r="CX104" s="87">
        <v>310.0</v>
      </c>
      <c r="CY104" s="87">
        <v>103.0</v>
      </c>
      <c r="CZ104" s="87"/>
      <c r="DA104" s="87">
        <v>6.0</v>
      </c>
      <c r="DB104" s="87">
        <v>241.0</v>
      </c>
      <c r="DC104" s="87">
        <v>126.0</v>
      </c>
      <c r="DD104" s="87">
        <v>189.0</v>
      </c>
      <c r="DE104" s="87">
        <v>42.0</v>
      </c>
      <c r="DF104" s="87">
        <v>56.0</v>
      </c>
      <c r="DG104" s="87">
        <v>127.0</v>
      </c>
      <c r="DH104" s="87"/>
      <c r="DI104" s="87"/>
      <c r="DJ104" s="87"/>
      <c r="DK104" s="87">
        <v>35.0</v>
      </c>
      <c r="DL104" s="87">
        <v>223.0</v>
      </c>
      <c r="DM104" s="87">
        <v>21.0</v>
      </c>
      <c r="DN104" s="87">
        <v>3.0</v>
      </c>
      <c r="DO104" s="87">
        <v>154.0</v>
      </c>
      <c r="DP104" s="87">
        <v>1.0</v>
      </c>
      <c r="DQ104" s="87">
        <v>346.0</v>
      </c>
      <c r="DR104" s="87">
        <v>80.0</v>
      </c>
      <c r="DS104" s="87"/>
      <c r="DT104" s="87">
        <v>1.0</v>
      </c>
      <c r="DU104" s="87"/>
      <c r="DV104" s="87">
        <v>5.0</v>
      </c>
      <c r="DW104" s="87">
        <v>3.0</v>
      </c>
      <c r="DX104" s="87">
        <v>59.0</v>
      </c>
      <c r="DY104" s="87">
        <v>77.0</v>
      </c>
      <c r="DZ104" s="87">
        <v>1.0</v>
      </c>
      <c r="EA104" s="87">
        <v>2.0</v>
      </c>
      <c r="EB104" s="87">
        <v>9.0</v>
      </c>
      <c r="EC104" s="87">
        <v>6.0</v>
      </c>
      <c r="ED104" s="87">
        <v>1209.0</v>
      </c>
      <c r="EE104" s="87">
        <v>20.0</v>
      </c>
      <c r="EF104" s="87">
        <v>8.0</v>
      </c>
      <c r="EG104" s="87">
        <v>105.0</v>
      </c>
      <c r="EH104" s="87"/>
      <c r="EI104" s="87">
        <v>31.0</v>
      </c>
      <c r="EJ104" s="87">
        <v>1829.0</v>
      </c>
      <c r="EK104" s="88"/>
      <c r="EL104" s="88"/>
      <c r="EM104" s="88"/>
      <c r="EN104" s="88"/>
      <c r="EO104" s="88"/>
      <c r="EP104" s="88"/>
      <c r="EQ104" s="90"/>
    </row>
    <row r="105" ht="12.0" customHeight="1">
      <c r="A105" s="89">
        <v>1.06190298E8</v>
      </c>
      <c r="B105" s="89" t="s">
        <v>1044</v>
      </c>
      <c r="C105" s="89" t="s">
        <v>865</v>
      </c>
      <c r="D105" s="89" t="s">
        <v>1045</v>
      </c>
      <c r="E105" s="89" t="s">
        <v>1046</v>
      </c>
      <c r="F105" s="89" t="s">
        <v>1047</v>
      </c>
      <c r="G105" s="89" t="s">
        <v>1048</v>
      </c>
      <c r="H105" s="89" t="s">
        <v>447</v>
      </c>
      <c r="I105" s="89" t="s">
        <v>456</v>
      </c>
      <c r="J105" s="89" t="s">
        <v>437</v>
      </c>
      <c r="K105" s="89" t="s">
        <v>504</v>
      </c>
      <c r="L105" s="89" t="s">
        <v>899</v>
      </c>
      <c r="M105" s="89" t="s">
        <v>973</v>
      </c>
      <c r="N105" s="89" t="s">
        <v>441</v>
      </c>
      <c r="O105" s="87">
        <v>4728.0</v>
      </c>
      <c r="P105" s="87"/>
      <c r="Q105" s="87"/>
      <c r="R105" s="87"/>
      <c r="S105" s="87"/>
      <c r="T105" s="87"/>
      <c r="U105" s="87">
        <v>2401.0</v>
      </c>
      <c r="V105" s="87">
        <v>2327.0</v>
      </c>
      <c r="W105" s="87"/>
      <c r="X105" s="87"/>
      <c r="Y105" s="87">
        <v>22.0</v>
      </c>
      <c r="Z105" s="87">
        <v>193.0</v>
      </c>
      <c r="AA105" s="87">
        <v>355.0</v>
      </c>
      <c r="AB105" s="87">
        <v>446.0</v>
      </c>
      <c r="AC105" s="87">
        <v>663.0</v>
      </c>
      <c r="AD105" s="87">
        <v>995.0</v>
      </c>
      <c r="AE105" s="87">
        <v>989.0</v>
      </c>
      <c r="AF105" s="87">
        <v>1065.0</v>
      </c>
      <c r="AG105" s="87"/>
      <c r="AH105" s="87">
        <v>2011.0</v>
      </c>
      <c r="AI105" s="87">
        <v>2711.0</v>
      </c>
      <c r="AJ105" s="87">
        <v>6.0</v>
      </c>
      <c r="AK105" s="87"/>
      <c r="AL105" s="87">
        <v>248.0</v>
      </c>
      <c r="AM105" s="87">
        <v>12.0</v>
      </c>
      <c r="AN105" s="87">
        <v>193.0</v>
      </c>
      <c r="AO105" s="87">
        <v>4157.0</v>
      </c>
      <c r="AP105" s="87">
        <v>54.0</v>
      </c>
      <c r="AQ105" s="87">
        <v>64.0</v>
      </c>
      <c r="AR105" s="87"/>
      <c r="AS105" s="87">
        <v>4154.0</v>
      </c>
      <c r="AT105" s="87">
        <v>39.0</v>
      </c>
      <c r="AU105" s="87">
        <v>23.0</v>
      </c>
      <c r="AV105" s="87">
        <v>466.0</v>
      </c>
      <c r="AW105" s="87">
        <v>29.0</v>
      </c>
      <c r="AX105" s="87">
        <v>8.0</v>
      </c>
      <c r="AY105" s="87">
        <v>3.0</v>
      </c>
      <c r="AZ105" s="87">
        <v>1.0</v>
      </c>
      <c r="BA105" s="87">
        <v>4.0</v>
      </c>
      <c r="BB105" s="87">
        <v>1.0</v>
      </c>
      <c r="BC105" s="87"/>
      <c r="BD105" s="87"/>
      <c r="BE105" s="87">
        <v>4504.0</v>
      </c>
      <c r="BF105" s="87">
        <v>5.0</v>
      </c>
      <c r="BG105" s="87">
        <v>219.0</v>
      </c>
      <c r="BH105" s="87"/>
      <c r="BI105" s="87">
        <v>25636.0</v>
      </c>
      <c r="BJ105" s="87">
        <v>1467.0</v>
      </c>
      <c r="BK105" s="87">
        <v>3053.0</v>
      </c>
      <c r="BL105" s="87">
        <v>208.0</v>
      </c>
      <c r="BM105" s="87"/>
      <c r="BN105" s="87"/>
      <c r="BO105" s="87"/>
      <c r="BP105" s="87">
        <v>2108.0</v>
      </c>
      <c r="BQ105" s="87">
        <v>391.0</v>
      </c>
      <c r="BR105" s="87">
        <v>7.0</v>
      </c>
      <c r="BS105" s="87">
        <v>774.0</v>
      </c>
      <c r="BT105" s="87">
        <v>13.0</v>
      </c>
      <c r="BU105" s="87">
        <v>1.0</v>
      </c>
      <c r="BV105" s="87">
        <v>193.0</v>
      </c>
      <c r="BW105" s="87">
        <v>224.0</v>
      </c>
      <c r="BX105" s="87">
        <v>833.0</v>
      </c>
      <c r="BY105" s="87"/>
      <c r="BZ105" s="87">
        <v>1.0</v>
      </c>
      <c r="CA105" s="87">
        <v>175.0</v>
      </c>
      <c r="CB105" s="87">
        <v>8.0</v>
      </c>
      <c r="CC105" s="87"/>
      <c r="CD105" s="87"/>
      <c r="CE105" s="87"/>
      <c r="CF105" s="87"/>
      <c r="CG105" s="87">
        <v>214.0</v>
      </c>
      <c r="CH105" s="87">
        <v>4514.0</v>
      </c>
      <c r="CI105" s="87"/>
      <c r="CJ105" s="87">
        <v>2648.0</v>
      </c>
      <c r="CK105" s="87">
        <v>1199.0</v>
      </c>
      <c r="CL105" s="87">
        <v>771.0</v>
      </c>
      <c r="CM105" s="87">
        <v>5.0</v>
      </c>
      <c r="CN105" s="87"/>
      <c r="CO105" s="87">
        <v>17.0</v>
      </c>
      <c r="CP105" s="87"/>
      <c r="CQ105" s="87">
        <v>87.0</v>
      </c>
      <c r="CR105" s="87">
        <v>1.0</v>
      </c>
      <c r="CS105" s="87"/>
      <c r="CT105" s="87">
        <v>837.0</v>
      </c>
      <c r="CU105" s="87">
        <v>180.0</v>
      </c>
      <c r="CV105" s="87">
        <v>64.0</v>
      </c>
      <c r="CW105" s="87">
        <v>262.0</v>
      </c>
      <c r="CX105" s="87">
        <v>58.0</v>
      </c>
      <c r="CY105" s="87">
        <v>161.0</v>
      </c>
      <c r="CZ105" s="87">
        <v>5.0</v>
      </c>
      <c r="DA105" s="87">
        <v>1.0</v>
      </c>
      <c r="DB105" s="87">
        <v>656.0</v>
      </c>
      <c r="DC105" s="87">
        <v>400.0</v>
      </c>
      <c r="DD105" s="87">
        <v>936.0</v>
      </c>
      <c r="DE105" s="87">
        <v>130.0</v>
      </c>
      <c r="DF105" s="87">
        <v>114.0</v>
      </c>
      <c r="DG105" s="87">
        <v>415.0</v>
      </c>
      <c r="DH105" s="87">
        <v>12.0</v>
      </c>
      <c r="DI105" s="87"/>
      <c r="DJ105" s="87">
        <v>2.0</v>
      </c>
      <c r="DK105" s="87">
        <v>137.0</v>
      </c>
      <c r="DL105" s="87">
        <v>338.0</v>
      </c>
      <c r="DM105" s="87">
        <v>20.0</v>
      </c>
      <c r="DN105" s="87"/>
      <c r="DO105" s="87">
        <v>692.0</v>
      </c>
      <c r="DP105" s="87">
        <v>2.0</v>
      </c>
      <c r="DQ105" s="87">
        <v>393.0</v>
      </c>
      <c r="DR105" s="87">
        <v>806.0</v>
      </c>
      <c r="DS105" s="87"/>
      <c r="DT105" s="87">
        <v>7.0</v>
      </c>
      <c r="DU105" s="87">
        <v>2.0</v>
      </c>
      <c r="DV105" s="87">
        <v>51.0</v>
      </c>
      <c r="DW105" s="87">
        <v>21.0</v>
      </c>
      <c r="DX105" s="87">
        <v>136.0</v>
      </c>
      <c r="DY105" s="87">
        <v>229.0</v>
      </c>
      <c r="DZ105" s="87">
        <v>28.0</v>
      </c>
      <c r="EA105" s="87">
        <v>5.0</v>
      </c>
      <c r="EB105" s="87">
        <v>111.0</v>
      </c>
      <c r="EC105" s="87">
        <v>128.0</v>
      </c>
      <c r="ED105" s="87">
        <v>1951.0</v>
      </c>
      <c r="EE105" s="87">
        <v>166.0</v>
      </c>
      <c r="EF105" s="87">
        <v>8.0</v>
      </c>
      <c r="EG105" s="87">
        <v>100.0</v>
      </c>
      <c r="EH105" s="87"/>
      <c r="EI105" s="87">
        <v>23.0</v>
      </c>
      <c r="EJ105" s="87">
        <v>4597.0</v>
      </c>
      <c r="EK105" s="88"/>
      <c r="EL105" s="88"/>
      <c r="EM105" s="88"/>
      <c r="EN105" s="88"/>
      <c r="EO105" s="88"/>
      <c r="EP105" s="88"/>
      <c r="EQ105" s="90"/>
    </row>
    <row r="106" ht="12.0" customHeight="1">
      <c r="A106" s="89">
        <v>1.06190305E8</v>
      </c>
      <c r="B106" s="89" t="s">
        <v>1049</v>
      </c>
      <c r="C106" s="89" t="s">
        <v>865</v>
      </c>
      <c r="D106" s="89" t="s">
        <v>1050</v>
      </c>
      <c r="E106" s="89" t="s">
        <v>1051</v>
      </c>
      <c r="F106" s="89" t="s">
        <v>865</v>
      </c>
      <c r="G106" s="89" t="s">
        <v>1052</v>
      </c>
      <c r="H106" s="89" t="s">
        <v>475</v>
      </c>
      <c r="I106" s="89" t="s">
        <v>456</v>
      </c>
      <c r="J106" s="89" t="s">
        <v>463</v>
      </c>
      <c r="K106" s="89" t="s">
        <v>933</v>
      </c>
      <c r="L106" s="89" t="s">
        <v>934</v>
      </c>
      <c r="M106" s="89" t="s">
        <v>1053</v>
      </c>
      <c r="N106" s="89" t="s">
        <v>441</v>
      </c>
      <c r="O106" s="87">
        <v>484.0</v>
      </c>
      <c r="P106" s="87"/>
      <c r="Q106" s="87"/>
      <c r="R106" s="87"/>
      <c r="S106" s="87"/>
      <c r="T106" s="87"/>
      <c r="U106" s="87">
        <v>271.0</v>
      </c>
      <c r="V106" s="87">
        <v>213.0</v>
      </c>
      <c r="W106" s="87"/>
      <c r="X106" s="87"/>
      <c r="Y106" s="87"/>
      <c r="Z106" s="87"/>
      <c r="AA106" s="87">
        <v>11.0</v>
      </c>
      <c r="AB106" s="87">
        <v>29.0</v>
      </c>
      <c r="AC106" s="87">
        <v>60.0</v>
      </c>
      <c r="AD106" s="87">
        <v>131.0</v>
      </c>
      <c r="AE106" s="87">
        <v>136.0</v>
      </c>
      <c r="AF106" s="87">
        <v>107.0</v>
      </c>
      <c r="AG106" s="87">
        <v>10.0</v>
      </c>
      <c r="AH106" s="87">
        <v>88.0</v>
      </c>
      <c r="AI106" s="87">
        <v>380.0</v>
      </c>
      <c r="AJ106" s="87">
        <v>16.0</v>
      </c>
      <c r="AK106" s="87"/>
      <c r="AL106" s="87">
        <v>36.0</v>
      </c>
      <c r="AM106" s="87"/>
      <c r="AN106" s="87">
        <v>143.0</v>
      </c>
      <c r="AO106" s="87">
        <v>198.0</v>
      </c>
      <c r="AP106" s="87">
        <v>1.0</v>
      </c>
      <c r="AQ106" s="87">
        <v>106.0</v>
      </c>
      <c r="AR106" s="87"/>
      <c r="AS106" s="87">
        <v>1.0</v>
      </c>
      <c r="AT106" s="87"/>
      <c r="AU106" s="87">
        <v>482.0</v>
      </c>
      <c r="AV106" s="87">
        <v>1.0</v>
      </c>
      <c r="AW106" s="87"/>
      <c r="AX106" s="87"/>
      <c r="AY106" s="87"/>
      <c r="AZ106" s="87"/>
      <c r="BA106" s="87"/>
      <c r="BB106" s="87"/>
      <c r="BC106" s="87"/>
      <c r="BD106" s="87"/>
      <c r="BE106" s="87"/>
      <c r="BF106" s="87"/>
      <c r="BG106" s="87">
        <v>484.0</v>
      </c>
      <c r="BH106" s="87"/>
      <c r="BI106" s="87">
        <v>23016.0</v>
      </c>
      <c r="BJ106" s="87"/>
      <c r="BK106" s="87"/>
      <c r="BL106" s="87">
        <v>484.0</v>
      </c>
      <c r="BM106" s="87"/>
      <c r="BN106" s="87"/>
      <c r="BO106" s="87"/>
      <c r="BP106" s="87">
        <v>11.0</v>
      </c>
      <c r="BQ106" s="87">
        <v>58.0</v>
      </c>
      <c r="BR106" s="87">
        <v>15.0</v>
      </c>
      <c r="BS106" s="87">
        <v>209.0</v>
      </c>
      <c r="BT106" s="87"/>
      <c r="BU106" s="87"/>
      <c r="BV106" s="87">
        <v>6.0</v>
      </c>
      <c r="BW106" s="87">
        <v>129.0</v>
      </c>
      <c r="BX106" s="87">
        <v>54.0</v>
      </c>
      <c r="BY106" s="87"/>
      <c r="BZ106" s="87"/>
      <c r="CA106" s="87">
        <v>2.0</v>
      </c>
      <c r="CB106" s="87"/>
      <c r="CC106" s="87"/>
      <c r="CD106" s="87"/>
      <c r="CE106" s="87"/>
      <c r="CF106" s="87"/>
      <c r="CG106" s="87"/>
      <c r="CH106" s="87">
        <v>484.0</v>
      </c>
      <c r="CI106" s="87"/>
      <c r="CJ106" s="87">
        <v>273.0</v>
      </c>
      <c r="CK106" s="87">
        <v>68.0</v>
      </c>
      <c r="CL106" s="87">
        <v>123.0</v>
      </c>
      <c r="CM106" s="87">
        <v>2.0</v>
      </c>
      <c r="CN106" s="87"/>
      <c r="CO106" s="87">
        <v>18.0</v>
      </c>
      <c r="CP106" s="87"/>
      <c r="CQ106" s="87"/>
      <c r="CR106" s="87"/>
      <c r="CS106" s="87"/>
      <c r="CT106" s="87">
        <v>66.0</v>
      </c>
      <c r="CU106" s="87">
        <v>2.0</v>
      </c>
      <c r="CV106" s="87">
        <v>1.0</v>
      </c>
      <c r="CW106" s="87">
        <v>1.0</v>
      </c>
      <c r="CX106" s="87"/>
      <c r="CY106" s="87">
        <v>2.0</v>
      </c>
      <c r="CZ106" s="87"/>
      <c r="DA106" s="87"/>
      <c r="DB106" s="87">
        <v>12.0</v>
      </c>
      <c r="DC106" s="87">
        <v>296.0</v>
      </c>
      <c r="DD106" s="87">
        <v>23.0</v>
      </c>
      <c r="DE106" s="87">
        <v>18.0</v>
      </c>
      <c r="DF106" s="87">
        <v>16.0</v>
      </c>
      <c r="DG106" s="87">
        <v>24.0</v>
      </c>
      <c r="DH106" s="87"/>
      <c r="DI106" s="87"/>
      <c r="DJ106" s="87"/>
      <c r="DK106" s="87">
        <v>2.0</v>
      </c>
      <c r="DL106" s="87">
        <v>16.0</v>
      </c>
      <c r="DM106" s="87">
        <v>5.0</v>
      </c>
      <c r="DN106" s="87"/>
      <c r="DO106" s="87">
        <v>199.0</v>
      </c>
      <c r="DP106" s="87"/>
      <c r="DQ106" s="87">
        <v>27.0</v>
      </c>
      <c r="DR106" s="87">
        <v>34.0</v>
      </c>
      <c r="DS106" s="87"/>
      <c r="DT106" s="87"/>
      <c r="DU106" s="87"/>
      <c r="DV106" s="87"/>
      <c r="DW106" s="87"/>
      <c r="DX106" s="87">
        <v>3.0</v>
      </c>
      <c r="DY106" s="87">
        <v>46.0</v>
      </c>
      <c r="DZ106" s="87"/>
      <c r="EA106" s="87">
        <v>1.0</v>
      </c>
      <c r="EB106" s="87">
        <v>11.0</v>
      </c>
      <c r="EC106" s="87"/>
      <c r="ED106" s="87">
        <v>160.0</v>
      </c>
      <c r="EE106" s="87">
        <v>3.0</v>
      </c>
      <c r="EF106" s="87">
        <v>2.0</v>
      </c>
      <c r="EG106" s="87">
        <v>3.0</v>
      </c>
      <c r="EH106" s="87"/>
      <c r="EI106" s="87">
        <v>1.0</v>
      </c>
      <c r="EJ106" s="87">
        <v>478.0</v>
      </c>
      <c r="EK106" s="88"/>
      <c r="EL106" s="88"/>
      <c r="EM106" s="88"/>
      <c r="EN106" s="88"/>
      <c r="EO106" s="88"/>
      <c r="EP106" s="88"/>
      <c r="EQ106" s="90"/>
    </row>
    <row r="107" ht="12.0" customHeight="1">
      <c r="A107" s="89">
        <v>1.06190315E8</v>
      </c>
      <c r="B107" s="89" t="s">
        <v>1054</v>
      </c>
      <c r="C107" s="89" t="s">
        <v>865</v>
      </c>
      <c r="D107" s="89" t="s">
        <v>1055</v>
      </c>
      <c r="E107" s="89" t="s">
        <v>1056</v>
      </c>
      <c r="F107" s="89" t="s">
        <v>1057</v>
      </c>
      <c r="G107" s="89" t="s">
        <v>1058</v>
      </c>
      <c r="H107" s="89" t="s">
        <v>696</v>
      </c>
      <c r="I107" s="89" t="s">
        <v>456</v>
      </c>
      <c r="J107" s="89" t="s">
        <v>469</v>
      </c>
      <c r="K107" s="89" t="s">
        <v>870</v>
      </c>
      <c r="L107" s="89" t="s">
        <v>871</v>
      </c>
      <c r="M107" s="89" t="s">
        <v>1059</v>
      </c>
      <c r="N107" s="89" t="s">
        <v>441</v>
      </c>
      <c r="O107" s="87">
        <v>8776.0</v>
      </c>
      <c r="P107" s="87"/>
      <c r="Q107" s="87"/>
      <c r="R107" s="87"/>
      <c r="S107" s="87">
        <v>311.0</v>
      </c>
      <c r="T107" s="87"/>
      <c r="U107" s="87">
        <v>4078.0</v>
      </c>
      <c r="V107" s="87">
        <v>5009.0</v>
      </c>
      <c r="W107" s="87"/>
      <c r="X107" s="87">
        <v>1250.0</v>
      </c>
      <c r="Y107" s="87">
        <v>73.0</v>
      </c>
      <c r="Z107" s="87">
        <v>607.0</v>
      </c>
      <c r="AA107" s="87">
        <v>993.0</v>
      </c>
      <c r="AB107" s="87">
        <v>554.0</v>
      </c>
      <c r="AC107" s="87">
        <v>1003.0</v>
      </c>
      <c r="AD107" s="87">
        <v>1471.0</v>
      </c>
      <c r="AE107" s="87">
        <v>1383.0</v>
      </c>
      <c r="AF107" s="87">
        <v>1753.0</v>
      </c>
      <c r="AG107" s="87"/>
      <c r="AH107" s="87">
        <v>2669.0</v>
      </c>
      <c r="AI107" s="87">
        <v>6364.0</v>
      </c>
      <c r="AJ107" s="87">
        <v>54.0</v>
      </c>
      <c r="AK107" s="87"/>
      <c r="AL107" s="87">
        <v>5469.0</v>
      </c>
      <c r="AM107" s="87"/>
      <c r="AN107" s="87">
        <v>126.0</v>
      </c>
      <c r="AO107" s="87">
        <v>3042.0</v>
      </c>
      <c r="AP107" s="87">
        <v>227.0</v>
      </c>
      <c r="AQ107" s="87">
        <v>223.0</v>
      </c>
      <c r="AR107" s="87"/>
      <c r="AS107" s="87">
        <v>6466.0</v>
      </c>
      <c r="AT107" s="87">
        <v>319.0</v>
      </c>
      <c r="AU107" s="87">
        <v>879.0</v>
      </c>
      <c r="AV107" s="87">
        <v>157.0</v>
      </c>
      <c r="AW107" s="87">
        <v>25.0</v>
      </c>
      <c r="AX107" s="87"/>
      <c r="AY107" s="87">
        <v>9.0</v>
      </c>
      <c r="AZ107" s="87">
        <v>2.0</v>
      </c>
      <c r="BA107" s="87"/>
      <c r="BB107" s="87"/>
      <c r="BC107" s="87">
        <v>1230.0</v>
      </c>
      <c r="BD107" s="87"/>
      <c r="BE107" s="87">
        <v>4813.0</v>
      </c>
      <c r="BF107" s="87">
        <v>152.0</v>
      </c>
      <c r="BG107" s="87">
        <v>4122.0</v>
      </c>
      <c r="BH107" s="87"/>
      <c r="BI107" s="87">
        <v>48186.0</v>
      </c>
      <c r="BJ107" s="87">
        <v>164.0</v>
      </c>
      <c r="BK107" s="87">
        <v>6188.0</v>
      </c>
      <c r="BL107" s="87">
        <v>1505.0</v>
      </c>
      <c r="BM107" s="87">
        <v>1230.0</v>
      </c>
      <c r="BN107" s="87"/>
      <c r="BO107" s="87"/>
      <c r="BP107" s="87">
        <v>5514.0</v>
      </c>
      <c r="BQ107" s="87">
        <v>211.0</v>
      </c>
      <c r="BR107" s="87">
        <v>212.0</v>
      </c>
      <c r="BS107" s="87">
        <v>760.0</v>
      </c>
      <c r="BT107" s="87">
        <v>1.0</v>
      </c>
      <c r="BU107" s="87">
        <v>1.0</v>
      </c>
      <c r="BV107" s="87">
        <v>224.0</v>
      </c>
      <c r="BW107" s="87">
        <v>359.0</v>
      </c>
      <c r="BX107" s="87">
        <v>1672.0</v>
      </c>
      <c r="BY107" s="87"/>
      <c r="BZ107" s="87">
        <v>9.0</v>
      </c>
      <c r="CA107" s="87">
        <v>114.0</v>
      </c>
      <c r="CB107" s="87">
        <v>10.0</v>
      </c>
      <c r="CC107" s="87"/>
      <c r="CD107" s="87"/>
      <c r="CE107" s="87"/>
      <c r="CF107" s="87"/>
      <c r="CG107" s="87">
        <v>179.0</v>
      </c>
      <c r="CH107" s="87">
        <v>8898.0</v>
      </c>
      <c r="CI107" s="87">
        <v>10.0</v>
      </c>
      <c r="CJ107" s="87">
        <v>3609.0</v>
      </c>
      <c r="CK107" s="87">
        <v>3423.0</v>
      </c>
      <c r="CL107" s="87">
        <v>1706.0</v>
      </c>
      <c r="CM107" s="87">
        <v>18.0</v>
      </c>
      <c r="CN107" s="87"/>
      <c r="CO107" s="87">
        <v>1.0</v>
      </c>
      <c r="CP107" s="87"/>
      <c r="CQ107" s="87">
        <v>306.0</v>
      </c>
      <c r="CR107" s="87">
        <v>18.0</v>
      </c>
      <c r="CS107" s="87">
        <v>6.0</v>
      </c>
      <c r="CT107" s="87">
        <v>873.0</v>
      </c>
      <c r="CU107" s="87">
        <v>635.0</v>
      </c>
      <c r="CV107" s="87">
        <v>74.0</v>
      </c>
      <c r="CW107" s="87">
        <v>289.0</v>
      </c>
      <c r="CX107" s="87">
        <v>33.0</v>
      </c>
      <c r="CY107" s="87">
        <v>232.0</v>
      </c>
      <c r="CZ107" s="87">
        <v>12.0</v>
      </c>
      <c r="DA107" s="87">
        <v>14.0</v>
      </c>
      <c r="DB107" s="87">
        <v>1639.0</v>
      </c>
      <c r="DC107" s="87">
        <v>359.0</v>
      </c>
      <c r="DD107" s="87">
        <v>712.0</v>
      </c>
      <c r="DE107" s="87">
        <v>77.0</v>
      </c>
      <c r="DF107" s="87">
        <v>287.0</v>
      </c>
      <c r="DG107" s="87">
        <v>524.0</v>
      </c>
      <c r="DH107" s="87">
        <v>1315.0</v>
      </c>
      <c r="DI107" s="87">
        <v>1248.0</v>
      </c>
      <c r="DJ107" s="87">
        <v>6.0</v>
      </c>
      <c r="DK107" s="87">
        <v>150.0</v>
      </c>
      <c r="DL107" s="87">
        <v>531.0</v>
      </c>
      <c r="DM107" s="87">
        <v>76.0</v>
      </c>
      <c r="DN107" s="87">
        <v>1.0</v>
      </c>
      <c r="DO107" s="87">
        <v>1040.0</v>
      </c>
      <c r="DP107" s="87">
        <v>1233.0</v>
      </c>
      <c r="DQ107" s="87">
        <v>1031.0</v>
      </c>
      <c r="DR107" s="87">
        <v>818.0</v>
      </c>
      <c r="DS107" s="87">
        <v>4.0</v>
      </c>
      <c r="DT107" s="87">
        <v>9.0</v>
      </c>
      <c r="DU107" s="87"/>
      <c r="DV107" s="87">
        <v>326.0</v>
      </c>
      <c r="DW107" s="87">
        <v>24.0</v>
      </c>
      <c r="DX107" s="87">
        <v>129.0</v>
      </c>
      <c r="DY107" s="87">
        <v>335.0</v>
      </c>
      <c r="DZ107" s="87">
        <v>91.0</v>
      </c>
      <c r="EA107" s="87">
        <v>10.0</v>
      </c>
      <c r="EB107" s="87">
        <v>215.0</v>
      </c>
      <c r="EC107" s="87">
        <v>190.0</v>
      </c>
      <c r="ED107" s="87">
        <v>3490.0</v>
      </c>
      <c r="EE107" s="87">
        <v>142.0</v>
      </c>
      <c r="EF107" s="87">
        <v>9.0</v>
      </c>
      <c r="EG107" s="87">
        <v>42.0</v>
      </c>
      <c r="EH107" s="87"/>
      <c r="EI107" s="87">
        <v>17.0</v>
      </c>
      <c r="EJ107" s="87">
        <v>9019.0</v>
      </c>
      <c r="EK107" s="88"/>
      <c r="EL107" s="88"/>
      <c r="EM107" s="88"/>
      <c r="EN107" s="88"/>
      <c r="EO107" s="88"/>
      <c r="EP107" s="88"/>
      <c r="EQ107" s="90"/>
    </row>
    <row r="108" ht="12.0" customHeight="1">
      <c r="A108" s="89">
        <v>1.06190317E8</v>
      </c>
      <c r="B108" s="89" t="s">
        <v>1060</v>
      </c>
      <c r="C108" s="89" t="s">
        <v>865</v>
      </c>
      <c r="D108" s="89" t="s">
        <v>1061</v>
      </c>
      <c r="E108" s="89" t="s">
        <v>1062</v>
      </c>
      <c r="F108" s="89" t="s">
        <v>865</v>
      </c>
      <c r="G108" s="89" t="s">
        <v>904</v>
      </c>
      <c r="H108" s="89" t="s">
        <v>447</v>
      </c>
      <c r="I108" s="89" t="s">
        <v>456</v>
      </c>
      <c r="J108" s="89" t="s">
        <v>463</v>
      </c>
      <c r="K108" s="89" t="s">
        <v>905</v>
      </c>
      <c r="L108" s="89" t="s">
        <v>906</v>
      </c>
      <c r="M108" s="89" t="s">
        <v>1063</v>
      </c>
      <c r="N108" s="89" t="s">
        <v>441</v>
      </c>
      <c r="O108" s="87"/>
      <c r="P108" s="87"/>
      <c r="Q108" s="87">
        <v>336.0</v>
      </c>
      <c r="R108" s="87"/>
      <c r="S108" s="87"/>
      <c r="T108" s="87"/>
      <c r="U108" s="87">
        <v>112.0</v>
      </c>
      <c r="V108" s="87">
        <v>224.0</v>
      </c>
      <c r="W108" s="87"/>
      <c r="X108" s="87"/>
      <c r="Y108" s="87">
        <v>203.0</v>
      </c>
      <c r="Z108" s="87">
        <v>46.0</v>
      </c>
      <c r="AA108" s="87">
        <v>43.0</v>
      </c>
      <c r="AB108" s="87">
        <v>24.0</v>
      </c>
      <c r="AC108" s="87">
        <v>17.0</v>
      </c>
      <c r="AD108" s="87"/>
      <c r="AE108" s="87"/>
      <c r="AF108" s="87"/>
      <c r="AG108" s="87">
        <v>3.0</v>
      </c>
      <c r="AH108" s="87">
        <v>198.0</v>
      </c>
      <c r="AI108" s="87">
        <v>137.0</v>
      </c>
      <c r="AJ108" s="87">
        <v>1.0</v>
      </c>
      <c r="AK108" s="87"/>
      <c r="AL108" s="87">
        <v>17.0</v>
      </c>
      <c r="AM108" s="87"/>
      <c r="AN108" s="87">
        <v>54.0</v>
      </c>
      <c r="AO108" s="87">
        <v>76.0</v>
      </c>
      <c r="AP108" s="87">
        <v>28.0</v>
      </c>
      <c r="AQ108" s="87">
        <v>161.0</v>
      </c>
      <c r="AR108" s="87"/>
      <c r="AS108" s="87">
        <v>51.0</v>
      </c>
      <c r="AT108" s="87">
        <v>83.0</v>
      </c>
      <c r="AU108" s="87">
        <v>192.0</v>
      </c>
      <c r="AV108" s="87"/>
      <c r="AW108" s="87">
        <v>1.0</v>
      </c>
      <c r="AX108" s="87"/>
      <c r="AY108" s="87"/>
      <c r="AZ108" s="87"/>
      <c r="BA108" s="87">
        <v>9.0</v>
      </c>
      <c r="BB108" s="87"/>
      <c r="BC108" s="87"/>
      <c r="BD108" s="87"/>
      <c r="BE108" s="87"/>
      <c r="BF108" s="87">
        <v>191.0</v>
      </c>
      <c r="BG108" s="87">
        <v>145.0</v>
      </c>
      <c r="BH108" s="87"/>
      <c r="BI108" s="87">
        <v>12190.0</v>
      </c>
      <c r="BJ108" s="87">
        <v>162.0</v>
      </c>
      <c r="BK108" s="87">
        <v>174.0</v>
      </c>
      <c r="BL108" s="87"/>
      <c r="BM108" s="87"/>
      <c r="BN108" s="87"/>
      <c r="BO108" s="87"/>
      <c r="BP108" s="87">
        <v>300.0</v>
      </c>
      <c r="BQ108" s="87">
        <v>1.0</v>
      </c>
      <c r="BR108" s="87">
        <v>1.0</v>
      </c>
      <c r="BS108" s="87">
        <v>10.0</v>
      </c>
      <c r="BT108" s="87">
        <v>3.0</v>
      </c>
      <c r="BU108" s="87">
        <v>1.0</v>
      </c>
      <c r="BV108" s="87">
        <v>6.0</v>
      </c>
      <c r="BW108" s="87"/>
      <c r="BX108" s="87"/>
      <c r="BY108" s="87"/>
      <c r="BZ108" s="87"/>
      <c r="CA108" s="87"/>
      <c r="CB108" s="87">
        <v>14.0</v>
      </c>
      <c r="CC108" s="87"/>
      <c r="CD108" s="87"/>
      <c r="CE108" s="87"/>
      <c r="CF108" s="87"/>
      <c r="CG108" s="87"/>
      <c r="CH108" s="87">
        <v>336.0</v>
      </c>
      <c r="CI108" s="87"/>
      <c r="CJ108" s="87"/>
      <c r="CK108" s="87">
        <v>179.0</v>
      </c>
      <c r="CL108" s="87"/>
      <c r="CM108" s="87"/>
      <c r="CN108" s="87">
        <v>156.0</v>
      </c>
      <c r="CO108" s="87"/>
      <c r="CP108" s="87"/>
      <c r="CQ108" s="87"/>
      <c r="CR108" s="87">
        <v>1.0</v>
      </c>
      <c r="CS108" s="87"/>
      <c r="CT108" s="87"/>
      <c r="CU108" s="87"/>
      <c r="CV108" s="87"/>
      <c r="CW108" s="87"/>
      <c r="CX108" s="87">
        <v>336.0</v>
      </c>
      <c r="CY108" s="87"/>
      <c r="CZ108" s="87"/>
      <c r="DA108" s="87"/>
      <c r="DB108" s="87"/>
      <c r="DC108" s="87"/>
      <c r="DD108" s="87"/>
      <c r="DE108" s="87"/>
      <c r="DF108" s="87"/>
      <c r="DG108" s="87"/>
      <c r="DH108" s="87"/>
      <c r="DI108" s="87"/>
      <c r="DJ108" s="87"/>
      <c r="DK108" s="87"/>
      <c r="DL108" s="87"/>
      <c r="DM108" s="87"/>
      <c r="DN108" s="87"/>
      <c r="DO108" s="87">
        <v>336.0</v>
      </c>
      <c r="DP108" s="87"/>
      <c r="DQ108" s="87"/>
      <c r="DR108" s="87"/>
      <c r="DS108" s="87"/>
      <c r="DT108" s="87"/>
      <c r="DU108" s="87"/>
      <c r="DV108" s="87"/>
      <c r="DW108" s="87"/>
      <c r="DX108" s="87"/>
      <c r="DY108" s="87"/>
      <c r="DZ108" s="87"/>
      <c r="EA108" s="87"/>
      <c r="EB108" s="87"/>
      <c r="EC108" s="87"/>
      <c r="ED108" s="87"/>
      <c r="EE108" s="87"/>
      <c r="EF108" s="87"/>
      <c r="EG108" s="87">
        <v>98.0</v>
      </c>
      <c r="EH108" s="87"/>
      <c r="EI108" s="87">
        <v>3.0</v>
      </c>
      <c r="EJ108" s="87">
        <v>235.0</v>
      </c>
      <c r="EK108" s="88"/>
      <c r="EL108" s="88"/>
      <c r="EM108" s="88"/>
      <c r="EN108" s="88"/>
      <c r="EO108" s="88"/>
      <c r="EP108" s="88"/>
      <c r="EQ108" s="90"/>
    </row>
    <row r="109" ht="12.0" customHeight="1">
      <c r="A109" s="89">
        <v>1.06190323E8</v>
      </c>
      <c r="B109" s="89" t="s">
        <v>1064</v>
      </c>
      <c r="C109" s="89" t="s">
        <v>865</v>
      </c>
      <c r="D109" s="89" t="s">
        <v>1065</v>
      </c>
      <c r="E109" s="89" t="s">
        <v>1066</v>
      </c>
      <c r="F109" s="89" t="s">
        <v>1067</v>
      </c>
      <c r="G109" s="89" t="s">
        <v>1068</v>
      </c>
      <c r="H109" s="89" t="s">
        <v>447</v>
      </c>
      <c r="I109" s="89" t="s">
        <v>456</v>
      </c>
      <c r="J109" s="89" t="s">
        <v>605</v>
      </c>
      <c r="K109" s="89" t="s">
        <v>504</v>
      </c>
      <c r="L109" s="89" t="s">
        <v>978</v>
      </c>
      <c r="M109" s="89" t="s">
        <v>1069</v>
      </c>
      <c r="N109" s="89" t="s">
        <v>441</v>
      </c>
      <c r="O109" s="87">
        <v>16721.0</v>
      </c>
      <c r="P109" s="87">
        <v>938.0</v>
      </c>
      <c r="Q109" s="87">
        <v>1079.0</v>
      </c>
      <c r="R109" s="87"/>
      <c r="S109" s="87">
        <v>519.0</v>
      </c>
      <c r="T109" s="87"/>
      <c r="U109" s="87">
        <v>8754.0</v>
      </c>
      <c r="V109" s="87">
        <v>10500.0</v>
      </c>
      <c r="W109" s="87">
        <v>3.0</v>
      </c>
      <c r="X109" s="87">
        <v>1526.0</v>
      </c>
      <c r="Y109" s="87">
        <v>76.0</v>
      </c>
      <c r="Z109" s="87">
        <v>1242.0</v>
      </c>
      <c r="AA109" s="87">
        <v>2066.0</v>
      </c>
      <c r="AB109" s="87">
        <v>1351.0</v>
      </c>
      <c r="AC109" s="87">
        <v>1848.0</v>
      </c>
      <c r="AD109" s="87">
        <v>3002.0</v>
      </c>
      <c r="AE109" s="87">
        <v>3470.0</v>
      </c>
      <c r="AF109" s="87">
        <v>4667.0</v>
      </c>
      <c r="AG109" s="87">
        <v>9.0</v>
      </c>
      <c r="AH109" s="87">
        <v>4266.0</v>
      </c>
      <c r="AI109" s="87">
        <v>14479.0</v>
      </c>
      <c r="AJ109" s="87">
        <v>512.0</v>
      </c>
      <c r="AK109" s="87">
        <v>33.0</v>
      </c>
      <c r="AL109" s="87">
        <v>1332.0</v>
      </c>
      <c r="AM109" s="87">
        <v>48.0</v>
      </c>
      <c r="AN109" s="87">
        <v>649.0</v>
      </c>
      <c r="AO109" s="87">
        <v>13887.0</v>
      </c>
      <c r="AP109" s="87">
        <v>795.0</v>
      </c>
      <c r="AQ109" s="87">
        <v>2513.0</v>
      </c>
      <c r="AR109" s="87"/>
      <c r="AS109" s="87">
        <v>14229.0</v>
      </c>
      <c r="AT109" s="87">
        <v>224.0</v>
      </c>
      <c r="AU109" s="87">
        <v>670.0</v>
      </c>
      <c r="AV109" s="87">
        <v>785.0</v>
      </c>
      <c r="AW109" s="87">
        <v>88.0</v>
      </c>
      <c r="AX109" s="87">
        <v>1722.0</v>
      </c>
      <c r="AY109" s="87">
        <v>7.0</v>
      </c>
      <c r="AZ109" s="87">
        <v>3.0</v>
      </c>
      <c r="BA109" s="87">
        <v>24.0</v>
      </c>
      <c r="BB109" s="87">
        <v>2.0</v>
      </c>
      <c r="BC109" s="87">
        <v>1503.0</v>
      </c>
      <c r="BD109" s="87"/>
      <c r="BE109" s="87">
        <v>12030.0</v>
      </c>
      <c r="BF109" s="87">
        <v>113.0</v>
      </c>
      <c r="BG109" s="87">
        <v>7006.0</v>
      </c>
      <c r="BH109" s="87">
        <v>108.0</v>
      </c>
      <c r="BI109" s="87">
        <v>108119.0</v>
      </c>
      <c r="BJ109" s="87">
        <v>7222.0</v>
      </c>
      <c r="BK109" s="87">
        <v>7013.0</v>
      </c>
      <c r="BL109" s="87">
        <v>3501.0</v>
      </c>
      <c r="BM109" s="87">
        <v>1503.0</v>
      </c>
      <c r="BN109" s="87">
        <v>16.0</v>
      </c>
      <c r="BO109" s="87">
        <v>2.0</v>
      </c>
      <c r="BP109" s="87">
        <v>10644.0</v>
      </c>
      <c r="BQ109" s="87">
        <v>567.0</v>
      </c>
      <c r="BR109" s="87">
        <v>501.0</v>
      </c>
      <c r="BS109" s="87">
        <v>2701.0</v>
      </c>
      <c r="BT109" s="87">
        <v>99.0</v>
      </c>
      <c r="BU109" s="87">
        <v>5.0</v>
      </c>
      <c r="BV109" s="87">
        <v>473.0</v>
      </c>
      <c r="BW109" s="87">
        <v>543.0</v>
      </c>
      <c r="BX109" s="87">
        <v>3282.0</v>
      </c>
      <c r="BY109" s="87"/>
      <c r="BZ109" s="87">
        <v>6.0</v>
      </c>
      <c r="CA109" s="87">
        <v>262.0</v>
      </c>
      <c r="CB109" s="87">
        <v>109.0</v>
      </c>
      <c r="CC109" s="87"/>
      <c r="CD109" s="87">
        <v>50.0</v>
      </c>
      <c r="CE109" s="87">
        <v>13.0</v>
      </c>
      <c r="CF109" s="87">
        <v>2.0</v>
      </c>
      <c r="CG109" s="87">
        <v>1466.0</v>
      </c>
      <c r="CH109" s="87">
        <v>17791.0</v>
      </c>
      <c r="CI109" s="87"/>
      <c r="CJ109" s="87">
        <v>9721.0</v>
      </c>
      <c r="CK109" s="87">
        <v>4867.0</v>
      </c>
      <c r="CL109" s="87">
        <v>4077.0</v>
      </c>
      <c r="CM109" s="87">
        <v>21.0</v>
      </c>
      <c r="CN109" s="87">
        <v>2.0</v>
      </c>
      <c r="CO109" s="87">
        <v>205.0</v>
      </c>
      <c r="CP109" s="87"/>
      <c r="CQ109" s="87">
        <v>235.0</v>
      </c>
      <c r="CR109" s="87">
        <v>95.0</v>
      </c>
      <c r="CS109" s="87">
        <v>34.0</v>
      </c>
      <c r="CT109" s="87">
        <v>2656.0</v>
      </c>
      <c r="CU109" s="87">
        <v>801.0</v>
      </c>
      <c r="CV109" s="87">
        <v>145.0</v>
      </c>
      <c r="CW109" s="87">
        <v>800.0</v>
      </c>
      <c r="CX109" s="87">
        <v>1441.0</v>
      </c>
      <c r="CY109" s="87">
        <v>561.0</v>
      </c>
      <c r="CZ109" s="87">
        <v>15.0</v>
      </c>
      <c r="DA109" s="87">
        <v>32.0</v>
      </c>
      <c r="DB109" s="87">
        <v>3249.0</v>
      </c>
      <c r="DC109" s="87">
        <v>954.0</v>
      </c>
      <c r="DD109" s="87">
        <v>1384.0</v>
      </c>
      <c r="DE109" s="87">
        <v>201.0</v>
      </c>
      <c r="DF109" s="87">
        <v>784.0</v>
      </c>
      <c r="DG109" s="87">
        <v>914.0</v>
      </c>
      <c r="DH109" s="87">
        <v>1628.0</v>
      </c>
      <c r="DI109" s="87">
        <v>1523.0</v>
      </c>
      <c r="DJ109" s="87">
        <v>23.0</v>
      </c>
      <c r="DK109" s="87">
        <v>320.0</v>
      </c>
      <c r="DL109" s="87">
        <v>1368.0</v>
      </c>
      <c r="DM109" s="87">
        <v>455.0</v>
      </c>
      <c r="DN109" s="87">
        <v>3.0</v>
      </c>
      <c r="DO109" s="87">
        <v>3618.0</v>
      </c>
      <c r="DP109" s="87">
        <v>1485.0</v>
      </c>
      <c r="DQ109" s="87">
        <v>2469.0</v>
      </c>
      <c r="DR109" s="87">
        <v>1567.0</v>
      </c>
      <c r="DS109" s="87">
        <v>3.0</v>
      </c>
      <c r="DT109" s="87">
        <v>32.0</v>
      </c>
      <c r="DU109" s="87"/>
      <c r="DV109" s="87">
        <v>228.0</v>
      </c>
      <c r="DW109" s="87">
        <v>41.0</v>
      </c>
      <c r="DX109" s="87">
        <v>335.0</v>
      </c>
      <c r="DY109" s="87">
        <v>1037.0</v>
      </c>
      <c r="DZ109" s="87">
        <v>301.0</v>
      </c>
      <c r="EA109" s="87">
        <v>30.0</v>
      </c>
      <c r="EB109" s="87">
        <v>429.0</v>
      </c>
      <c r="EC109" s="87">
        <v>256.0</v>
      </c>
      <c r="ED109" s="87">
        <v>6974.0</v>
      </c>
      <c r="EE109" s="87">
        <v>452.0</v>
      </c>
      <c r="EF109" s="87">
        <v>93.0</v>
      </c>
      <c r="EG109" s="87">
        <v>451.0</v>
      </c>
      <c r="EH109" s="87"/>
      <c r="EI109" s="87">
        <v>116.0</v>
      </c>
      <c r="EJ109" s="87">
        <v>18597.0</v>
      </c>
      <c r="EK109" s="88"/>
      <c r="EL109" s="88"/>
      <c r="EM109" s="88"/>
      <c r="EN109" s="88"/>
      <c r="EO109" s="88"/>
      <c r="EP109" s="88"/>
      <c r="EQ109" s="90"/>
    </row>
    <row r="110" ht="12.0" customHeight="1">
      <c r="A110" s="89">
        <v>1.06190328E8</v>
      </c>
      <c r="B110" s="89" t="s">
        <v>1070</v>
      </c>
      <c r="C110" s="89" t="s">
        <v>865</v>
      </c>
      <c r="D110" s="89" t="s">
        <v>1071</v>
      </c>
      <c r="E110" s="89" t="s">
        <v>1072</v>
      </c>
      <c r="F110" s="89" t="s">
        <v>1047</v>
      </c>
      <c r="G110" s="89" t="s">
        <v>1073</v>
      </c>
      <c r="H110" s="89" t="s">
        <v>475</v>
      </c>
      <c r="I110" s="89" t="s">
        <v>456</v>
      </c>
      <c r="J110" s="89" t="s">
        <v>463</v>
      </c>
      <c r="K110" s="89" t="s">
        <v>504</v>
      </c>
      <c r="L110" s="89" t="s">
        <v>899</v>
      </c>
      <c r="M110" s="89" t="s">
        <v>973</v>
      </c>
      <c r="N110" s="89" t="s">
        <v>441</v>
      </c>
      <c r="O110" s="87"/>
      <c r="P110" s="87"/>
      <c r="Q110" s="87">
        <v>1168.0</v>
      </c>
      <c r="R110" s="87"/>
      <c r="S110" s="87"/>
      <c r="T110" s="87"/>
      <c r="U110" s="87">
        <v>631.0</v>
      </c>
      <c r="V110" s="87">
        <v>537.0</v>
      </c>
      <c r="W110" s="87"/>
      <c r="X110" s="87"/>
      <c r="Y110" s="87">
        <v>18.0</v>
      </c>
      <c r="Z110" s="87">
        <v>157.0</v>
      </c>
      <c r="AA110" s="87">
        <v>194.0</v>
      </c>
      <c r="AB110" s="87">
        <v>147.0</v>
      </c>
      <c r="AC110" s="87">
        <v>164.0</v>
      </c>
      <c r="AD110" s="87">
        <v>242.0</v>
      </c>
      <c r="AE110" s="87">
        <v>177.0</v>
      </c>
      <c r="AF110" s="87">
        <v>69.0</v>
      </c>
      <c r="AG110" s="87"/>
      <c r="AH110" s="87">
        <v>241.0</v>
      </c>
      <c r="AI110" s="87">
        <v>925.0</v>
      </c>
      <c r="AJ110" s="87">
        <v>2.0</v>
      </c>
      <c r="AK110" s="87"/>
      <c r="AL110" s="87">
        <v>85.0</v>
      </c>
      <c r="AM110" s="87"/>
      <c r="AN110" s="87">
        <v>212.0</v>
      </c>
      <c r="AO110" s="87">
        <v>723.0</v>
      </c>
      <c r="AP110" s="87">
        <v>23.0</v>
      </c>
      <c r="AQ110" s="87">
        <v>125.0</v>
      </c>
      <c r="AR110" s="87"/>
      <c r="AS110" s="87">
        <v>2.0</v>
      </c>
      <c r="AT110" s="87">
        <v>140.0</v>
      </c>
      <c r="AU110" s="87">
        <v>1025.0</v>
      </c>
      <c r="AV110" s="87">
        <v>1.0</v>
      </c>
      <c r="AW110" s="87"/>
      <c r="AX110" s="87"/>
      <c r="AY110" s="87"/>
      <c r="AZ110" s="87"/>
      <c r="BA110" s="87"/>
      <c r="BB110" s="87"/>
      <c r="BC110" s="87"/>
      <c r="BD110" s="87"/>
      <c r="BE110" s="87"/>
      <c r="BF110" s="87">
        <v>1000.0</v>
      </c>
      <c r="BG110" s="87">
        <v>168.0</v>
      </c>
      <c r="BH110" s="87"/>
      <c r="BI110" s="87">
        <v>16096.0</v>
      </c>
      <c r="BJ110" s="87">
        <v>2.0</v>
      </c>
      <c r="BK110" s="87">
        <v>1166.0</v>
      </c>
      <c r="BL110" s="87"/>
      <c r="BM110" s="87"/>
      <c r="BN110" s="87"/>
      <c r="BO110" s="87"/>
      <c r="BP110" s="87">
        <v>749.0</v>
      </c>
      <c r="BQ110" s="87">
        <v>46.0</v>
      </c>
      <c r="BR110" s="87">
        <v>30.0</v>
      </c>
      <c r="BS110" s="87">
        <v>193.0</v>
      </c>
      <c r="BT110" s="87">
        <v>115.0</v>
      </c>
      <c r="BU110" s="87">
        <v>5.0</v>
      </c>
      <c r="BV110" s="87">
        <v>14.0</v>
      </c>
      <c r="BW110" s="87"/>
      <c r="BX110" s="87">
        <v>3.0</v>
      </c>
      <c r="BY110" s="87"/>
      <c r="BZ110" s="87"/>
      <c r="CA110" s="87"/>
      <c r="CB110" s="87">
        <v>4.0</v>
      </c>
      <c r="CC110" s="87"/>
      <c r="CD110" s="87">
        <v>8.0</v>
      </c>
      <c r="CE110" s="87">
        <v>1.0</v>
      </c>
      <c r="CF110" s="87"/>
      <c r="CG110" s="87"/>
      <c r="CH110" s="87">
        <v>1168.0</v>
      </c>
      <c r="CI110" s="87"/>
      <c r="CJ110" s="87">
        <v>884.0</v>
      </c>
      <c r="CK110" s="87"/>
      <c r="CL110" s="87">
        <v>266.0</v>
      </c>
      <c r="CM110" s="87"/>
      <c r="CN110" s="87"/>
      <c r="CO110" s="87">
        <v>17.0</v>
      </c>
      <c r="CP110" s="87"/>
      <c r="CQ110" s="87">
        <v>1.0</v>
      </c>
      <c r="CR110" s="87"/>
      <c r="CS110" s="87"/>
      <c r="CT110" s="87"/>
      <c r="CU110" s="87"/>
      <c r="CV110" s="87"/>
      <c r="CW110" s="87"/>
      <c r="CX110" s="87">
        <v>1135.0</v>
      </c>
      <c r="CY110" s="87">
        <v>30.0</v>
      </c>
      <c r="CZ110" s="87"/>
      <c r="DA110" s="87"/>
      <c r="DB110" s="87"/>
      <c r="DC110" s="87"/>
      <c r="DD110" s="87"/>
      <c r="DE110" s="87"/>
      <c r="DF110" s="87"/>
      <c r="DG110" s="87"/>
      <c r="DH110" s="87"/>
      <c r="DI110" s="87"/>
      <c r="DJ110" s="87"/>
      <c r="DK110" s="87">
        <v>1.0</v>
      </c>
      <c r="DL110" s="87"/>
      <c r="DM110" s="87">
        <v>2.0</v>
      </c>
      <c r="DN110" s="87"/>
      <c r="DO110" s="87">
        <v>1.0</v>
      </c>
      <c r="DP110" s="87"/>
      <c r="DQ110" s="87"/>
      <c r="DR110" s="87"/>
      <c r="DS110" s="87"/>
      <c r="DT110" s="87"/>
      <c r="DU110" s="87"/>
      <c r="DV110" s="87"/>
      <c r="DW110" s="87"/>
      <c r="DX110" s="87"/>
      <c r="DY110" s="87"/>
      <c r="DZ110" s="87"/>
      <c r="EA110" s="87"/>
      <c r="EB110" s="87"/>
      <c r="EC110" s="87"/>
      <c r="ED110" s="87">
        <v>1167.0</v>
      </c>
      <c r="EE110" s="87"/>
      <c r="EF110" s="87">
        <v>4.0</v>
      </c>
      <c r="EG110" s="87">
        <v>277.0</v>
      </c>
      <c r="EH110" s="87">
        <v>6.0</v>
      </c>
      <c r="EI110" s="87">
        <v>19.0</v>
      </c>
      <c r="EJ110" s="87">
        <v>862.0</v>
      </c>
      <c r="EK110" s="88"/>
      <c r="EL110" s="88"/>
      <c r="EM110" s="88"/>
      <c r="EN110" s="88"/>
      <c r="EO110" s="88"/>
      <c r="EP110" s="88"/>
      <c r="EQ110" s="90"/>
    </row>
    <row r="111" ht="12.0" customHeight="1">
      <c r="A111" s="89">
        <v>1.06190352E8</v>
      </c>
      <c r="B111" s="89" t="s">
        <v>1074</v>
      </c>
      <c r="C111" s="89" t="s">
        <v>865</v>
      </c>
      <c r="D111" s="89" t="s">
        <v>1075</v>
      </c>
      <c r="E111" s="89" t="s">
        <v>1076</v>
      </c>
      <c r="F111" s="89" t="s">
        <v>1077</v>
      </c>
      <c r="G111" s="89" t="s">
        <v>1078</v>
      </c>
      <c r="H111" s="89" t="s">
        <v>503</v>
      </c>
      <c r="I111" s="89" t="s">
        <v>456</v>
      </c>
      <c r="J111" s="89" t="s">
        <v>437</v>
      </c>
      <c r="K111" s="89" t="s">
        <v>870</v>
      </c>
      <c r="L111" s="89" t="s">
        <v>1079</v>
      </c>
      <c r="M111" s="89" t="s">
        <v>900</v>
      </c>
      <c r="N111" s="89" t="s">
        <v>441</v>
      </c>
      <c r="O111" s="87">
        <v>2079.0</v>
      </c>
      <c r="P111" s="87">
        <v>9.0</v>
      </c>
      <c r="Q111" s="87"/>
      <c r="R111" s="87"/>
      <c r="S111" s="87"/>
      <c r="T111" s="87"/>
      <c r="U111" s="87">
        <v>1161.0</v>
      </c>
      <c r="V111" s="87">
        <v>927.0</v>
      </c>
      <c r="W111" s="87"/>
      <c r="X111" s="87">
        <v>24.0</v>
      </c>
      <c r="Y111" s="87">
        <v>29.0</v>
      </c>
      <c r="Z111" s="87">
        <v>91.0</v>
      </c>
      <c r="AA111" s="87">
        <v>135.0</v>
      </c>
      <c r="AB111" s="87">
        <v>230.0</v>
      </c>
      <c r="AC111" s="87">
        <v>376.0</v>
      </c>
      <c r="AD111" s="87">
        <v>446.0</v>
      </c>
      <c r="AE111" s="87">
        <v>355.0</v>
      </c>
      <c r="AF111" s="87">
        <v>402.0</v>
      </c>
      <c r="AG111" s="87"/>
      <c r="AH111" s="87">
        <v>1332.0</v>
      </c>
      <c r="AI111" s="87">
        <v>756.0</v>
      </c>
      <c r="AJ111" s="87"/>
      <c r="AK111" s="87">
        <v>11.0</v>
      </c>
      <c r="AL111" s="87">
        <v>421.0</v>
      </c>
      <c r="AM111" s="87"/>
      <c r="AN111" s="87">
        <v>82.0</v>
      </c>
      <c r="AO111" s="87">
        <v>1568.0</v>
      </c>
      <c r="AP111" s="87">
        <v>6.0</v>
      </c>
      <c r="AQ111" s="87"/>
      <c r="AR111" s="87"/>
      <c r="AS111" s="87">
        <v>2036.0</v>
      </c>
      <c r="AT111" s="87">
        <v>37.0</v>
      </c>
      <c r="AU111" s="87"/>
      <c r="AV111" s="87">
        <v>13.0</v>
      </c>
      <c r="AW111" s="87">
        <v>2.0</v>
      </c>
      <c r="AX111" s="87"/>
      <c r="AY111" s="87"/>
      <c r="AZ111" s="87"/>
      <c r="BA111" s="87"/>
      <c r="BB111" s="87"/>
      <c r="BC111" s="87"/>
      <c r="BD111" s="87"/>
      <c r="BE111" s="87">
        <v>1982.0</v>
      </c>
      <c r="BF111" s="87"/>
      <c r="BG111" s="87">
        <v>106.0</v>
      </c>
      <c r="BH111" s="87"/>
      <c r="BI111" s="87">
        <v>12745.0</v>
      </c>
      <c r="BJ111" s="87">
        <v>2033.0</v>
      </c>
      <c r="BK111" s="87">
        <v>19.0</v>
      </c>
      <c r="BL111" s="87">
        <v>36.0</v>
      </c>
      <c r="BM111" s="87"/>
      <c r="BN111" s="87"/>
      <c r="BO111" s="87"/>
      <c r="BP111" s="87">
        <v>1107.0</v>
      </c>
      <c r="BQ111" s="87">
        <v>259.0</v>
      </c>
      <c r="BR111" s="87">
        <v>2.0</v>
      </c>
      <c r="BS111" s="87">
        <v>303.0</v>
      </c>
      <c r="BT111" s="87"/>
      <c r="BU111" s="87">
        <v>1.0</v>
      </c>
      <c r="BV111" s="87">
        <v>165.0</v>
      </c>
      <c r="BW111" s="87">
        <v>155.0</v>
      </c>
      <c r="BX111" s="87">
        <v>83.0</v>
      </c>
      <c r="BY111" s="87"/>
      <c r="BZ111" s="87">
        <v>9.0</v>
      </c>
      <c r="CA111" s="87">
        <v>2.0</v>
      </c>
      <c r="CB111" s="87">
        <v>2.0</v>
      </c>
      <c r="CC111" s="87"/>
      <c r="CD111" s="87"/>
      <c r="CE111" s="87"/>
      <c r="CF111" s="87"/>
      <c r="CG111" s="87">
        <v>153.0</v>
      </c>
      <c r="CH111" s="87">
        <v>1935.0</v>
      </c>
      <c r="CI111" s="87"/>
      <c r="CJ111" s="87">
        <v>1012.0</v>
      </c>
      <c r="CK111" s="87">
        <v>964.0</v>
      </c>
      <c r="CL111" s="87">
        <v>100.0</v>
      </c>
      <c r="CM111" s="87">
        <v>2.0</v>
      </c>
      <c r="CN111" s="87"/>
      <c r="CO111" s="87">
        <v>3.0</v>
      </c>
      <c r="CP111" s="87">
        <v>1.0</v>
      </c>
      <c r="CQ111" s="87">
        <v>6.0</v>
      </c>
      <c r="CR111" s="87"/>
      <c r="CS111" s="87"/>
      <c r="CT111" s="87">
        <v>455.0</v>
      </c>
      <c r="CU111" s="87">
        <v>31.0</v>
      </c>
      <c r="CV111" s="87">
        <v>38.0</v>
      </c>
      <c r="CW111" s="87">
        <v>190.0</v>
      </c>
      <c r="CX111" s="87">
        <v>42.0</v>
      </c>
      <c r="CY111" s="87">
        <v>65.0</v>
      </c>
      <c r="CZ111" s="87">
        <v>1.0</v>
      </c>
      <c r="DA111" s="87">
        <v>3.0</v>
      </c>
      <c r="DB111" s="87">
        <v>393.0</v>
      </c>
      <c r="DC111" s="87">
        <v>186.0</v>
      </c>
      <c r="DD111" s="87">
        <v>358.0</v>
      </c>
      <c r="DE111" s="87">
        <v>30.0</v>
      </c>
      <c r="DF111" s="87">
        <v>22.0</v>
      </c>
      <c r="DG111" s="87">
        <v>106.0</v>
      </c>
      <c r="DH111" s="87"/>
      <c r="DI111" s="87"/>
      <c r="DJ111" s="87"/>
      <c r="DK111" s="87">
        <v>80.0</v>
      </c>
      <c r="DL111" s="87">
        <v>66.0</v>
      </c>
      <c r="DM111" s="87">
        <v>14.0</v>
      </c>
      <c r="DN111" s="87">
        <v>8.0</v>
      </c>
      <c r="DO111" s="87">
        <v>462.0</v>
      </c>
      <c r="DP111" s="87">
        <v>2.0</v>
      </c>
      <c r="DQ111" s="87">
        <v>202.0</v>
      </c>
      <c r="DR111" s="87">
        <v>255.0</v>
      </c>
      <c r="DS111" s="87"/>
      <c r="DT111" s="87"/>
      <c r="DU111" s="87"/>
      <c r="DV111" s="87">
        <v>15.0</v>
      </c>
      <c r="DW111" s="87">
        <v>1.0</v>
      </c>
      <c r="DX111" s="87">
        <v>38.0</v>
      </c>
      <c r="DY111" s="87">
        <v>8.0</v>
      </c>
      <c r="DZ111" s="87">
        <v>3.0</v>
      </c>
      <c r="EA111" s="87"/>
      <c r="EB111" s="87">
        <v>18.0</v>
      </c>
      <c r="EC111" s="87"/>
      <c r="ED111" s="87">
        <v>1030.0</v>
      </c>
      <c r="EE111" s="87">
        <v>54.0</v>
      </c>
      <c r="EF111" s="87"/>
      <c r="EG111" s="87">
        <v>50.0</v>
      </c>
      <c r="EH111" s="87"/>
      <c r="EI111" s="87">
        <v>7.0</v>
      </c>
      <c r="EJ111" s="87">
        <v>2031.0</v>
      </c>
      <c r="EK111" s="88"/>
      <c r="EL111" s="88"/>
      <c r="EM111" s="88"/>
      <c r="EN111" s="88"/>
      <c r="EO111" s="88"/>
      <c r="EP111" s="88"/>
      <c r="EQ111" s="90"/>
    </row>
    <row r="112" ht="12.0" customHeight="1">
      <c r="A112" s="89">
        <v>1.0619038E8</v>
      </c>
      <c r="B112" s="89" t="s">
        <v>1080</v>
      </c>
      <c r="C112" s="89" t="s">
        <v>865</v>
      </c>
      <c r="D112" s="89" t="s">
        <v>1081</v>
      </c>
      <c r="E112" s="89" t="s">
        <v>1082</v>
      </c>
      <c r="F112" s="89" t="s">
        <v>1083</v>
      </c>
      <c r="G112" s="89" t="s">
        <v>1084</v>
      </c>
      <c r="H112" s="89" t="s">
        <v>503</v>
      </c>
      <c r="I112" s="89" t="s">
        <v>456</v>
      </c>
      <c r="J112" s="89" t="s">
        <v>437</v>
      </c>
      <c r="K112" s="89" t="s">
        <v>763</v>
      </c>
      <c r="L112" s="89" t="s">
        <v>1085</v>
      </c>
      <c r="M112" s="89" t="s">
        <v>979</v>
      </c>
      <c r="N112" s="89" t="s">
        <v>441</v>
      </c>
      <c r="O112" s="87">
        <v>3879.0</v>
      </c>
      <c r="P112" s="87"/>
      <c r="Q112" s="87">
        <v>2964.0</v>
      </c>
      <c r="R112" s="87"/>
      <c r="S112" s="87"/>
      <c r="T112" s="87"/>
      <c r="U112" s="87">
        <v>4574.0</v>
      </c>
      <c r="V112" s="87">
        <v>2269.0</v>
      </c>
      <c r="W112" s="87"/>
      <c r="X112" s="87"/>
      <c r="Y112" s="87">
        <v>38.0</v>
      </c>
      <c r="Z112" s="87">
        <v>499.0</v>
      </c>
      <c r="AA112" s="87">
        <v>896.0</v>
      </c>
      <c r="AB112" s="87">
        <v>941.0</v>
      </c>
      <c r="AC112" s="87">
        <v>1391.0</v>
      </c>
      <c r="AD112" s="87">
        <v>1545.0</v>
      </c>
      <c r="AE112" s="87">
        <v>871.0</v>
      </c>
      <c r="AF112" s="87">
        <v>662.0</v>
      </c>
      <c r="AG112" s="87"/>
      <c r="AH112" s="87">
        <v>1615.0</v>
      </c>
      <c r="AI112" s="87">
        <v>4985.0</v>
      </c>
      <c r="AJ112" s="87">
        <v>243.0</v>
      </c>
      <c r="AK112" s="87">
        <v>13.0</v>
      </c>
      <c r="AL112" s="87">
        <v>382.0</v>
      </c>
      <c r="AM112" s="87">
        <v>11.0</v>
      </c>
      <c r="AN112" s="87">
        <v>1819.0</v>
      </c>
      <c r="AO112" s="87">
        <v>3094.0</v>
      </c>
      <c r="AP112" s="87">
        <v>273.0</v>
      </c>
      <c r="AQ112" s="87">
        <v>1216.0</v>
      </c>
      <c r="AR112" s="87">
        <v>35.0</v>
      </c>
      <c r="AS112" s="87">
        <v>35.0</v>
      </c>
      <c r="AT112" s="87">
        <v>1812.0</v>
      </c>
      <c r="AU112" s="87">
        <v>3308.0</v>
      </c>
      <c r="AV112" s="87">
        <v>1687.0</v>
      </c>
      <c r="AW112" s="87">
        <v>1.0</v>
      </c>
      <c r="AX112" s="87"/>
      <c r="AY112" s="87"/>
      <c r="AZ112" s="87"/>
      <c r="BA112" s="87"/>
      <c r="BB112" s="87"/>
      <c r="BC112" s="87"/>
      <c r="BD112" s="87"/>
      <c r="BE112" s="87"/>
      <c r="BF112" s="87">
        <v>2368.0</v>
      </c>
      <c r="BG112" s="87">
        <v>4475.0</v>
      </c>
      <c r="BH112" s="87"/>
      <c r="BI112" s="87">
        <v>38299.0</v>
      </c>
      <c r="BJ112" s="87">
        <v>4111.0</v>
      </c>
      <c r="BK112" s="87">
        <v>1956.0</v>
      </c>
      <c r="BL112" s="87">
        <v>776.0</v>
      </c>
      <c r="BM112" s="87"/>
      <c r="BN112" s="87"/>
      <c r="BO112" s="87"/>
      <c r="BP112" s="87">
        <v>2928.0</v>
      </c>
      <c r="BQ112" s="87">
        <v>304.0</v>
      </c>
      <c r="BR112" s="87">
        <v>51.0</v>
      </c>
      <c r="BS112" s="87">
        <v>1853.0</v>
      </c>
      <c r="BT112" s="87">
        <v>852.0</v>
      </c>
      <c r="BU112" s="87">
        <v>8.0</v>
      </c>
      <c r="BV112" s="87">
        <v>249.0</v>
      </c>
      <c r="BW112" s="87">
        <v>60.0</v>
      </c>
      <c r="BX112" s="87">
        <v>14.0</v>
      </c>
      <c r="BY112" s="87"/>
      <c r="BZ112" s="87"/>
      <c r="CA112" s="87">
        <v>8.0</v>
      </c>
      <c r="CB112" s="87">
        <v>96.0</v>
      </c>
      <c r="CC112" s="87">
        <v>1.0</v>
      </c>
      <c r="CD112" s="87">
        <v>416.0</v>
      </c>
      <c r="CE112" s="87">
        <v>3.0</v>
      </c>
      <c r="CF112" s="87"/>
      <c r="CG112" s="87">
        <v>11.0</v>
      </c>
      <c r="CH112" s="87">
        <v>6832.0</v>
      </c>
      <c r="CI112" s="87"/>
      <c r="CJ112" s="87">
        <v>3172.0</v>
      </c>
      <c r="CK112" s="87">
        <v>3538.0</v>
      </c>
      <c r="CL112" s="87">
        <v>115.0</v>
      </c>
      <c r="CM112" s="87">
        <v>1.0</v>
      </c>
      <c r="CN112" s="87"/>
      <c r="CO112" s="87">
        <v>6.0</v>
      </c>
      <c r="CP112" s="87"/>
      <c r="CQ112" s="87">
        <v>11.0</v>
      </c>
      <c r="CR112" s="87"/>
      <c r="CS112" s="87"/>
      <c r="CT112" s="87">
        <v>1263.0</v>
      </c>
      <c r="CU112" s="87">
        <v>31.0</v>
      </c>
      <c r="CV112" s="87">
        <v>40.0</v>
      </c>
      <c r="CW112" s="87">
        <v>461.0</v>
      </c>
      <c r="CX112" s="87">
        <v>2952.0</v>
      </c>
      <c r="CY112" s="87">
        <v>313.0</v>
      </c>
      <c r="CZ112" s="87">
        <v>2.0</v>
      </c>
      <c r="DA112" s="87">
        <v>6.0</v>
      </c>
      <c r="DB112" s="87">
        <v>200.0</v>
      </c>
      <c r="DC112" s="87">
        <v>133.0</v>
      </c>
      <c r="DD112" s="87">
        <v>378.0</v>
      </c>
      <c r="DE112" s="87">
        <v>190.0</v>
      </c>
      <c r="DF112" s="87">
        <v>123.0</v>
      </c>
      <c r="DG112" s="87">
        <v>263.0</v>
      </c>
      <c r="DH112" s="87"/>
      <c r="DI112" s="87"/>
      <c r="DJ112" s="87"/>
      <c r="DK112" s="87">
        <v>90.0</v>
      </c>
      <c r="DL112" s="87">
        <v>363.0</v>
      </c>
      <c r="DM112" s="87">
        <v>33.0</v>
      </c>
      <c r="DN112" s="87">
        <v>2.0</v>
      </c>
      <c r="DO112" s="87">
        <v>3166.0</v>
      </c>
      <c r="DP112" s="87"/>
      <c r="DQ112" s="87">
        <v>433.0</v>
      </c>
      <c r="DR112" s="87">
        <v>403.0</v>
      </c>
      <c r="DS112" s="87">
        <v>1.0</v>
      </c>
      <c r="DT112" s="87"/>
      <c r="DU112" s="87"/>
      <c r="DV112" s="87">
        <v>8.0</v>
      </c>
      <c r="DW112" s="87">
        <v>1.0</v>
      </c>
      <c r="DX112" s="87">
        <v>67.0</v>
      </c>
      <c r="DY112" s="87">
        <v>123.0</v>
      </c>
      <c r="DZ112" s="87">
        <v>3.0</v>
      </c>
      <c r="EA112" s="87">
        <v>7.0</v>
      </c>
      <c r="EB112" s="87">
        <v>32.0</v>
      </c>
      <c r="EC112" s="87">
        <v>71.0</v>
      </c>
      <c r="ED112" s="87">
        <v>2514.0</v>
      </c>
      <c r="EE112" s="87">
        <v>14.0</v>
      </c>
      <c r="EF112" s="87">
        <v>27.0</v>
      </c>
      <c r="EG112" s="87">
        <v>658.0</v>
      </c>
      <c r="EH112" s="87">
        <v>1.0</v>
      </c>
      <c r="EI112" s="87">
        <v>27.0</v>
      </c>
      <c r="EJ112" s="87">
        <v>6130.0</v>
      </c>
      <c r="EK112" s="88"/>
      <c r="EL112" s="88"/>
      <c r="EM112" s="88"/>
      <c r="EN112" s="88"/>
      <c r="EO112" s="88"/>
      <c r="EP112" s="88"/>
      <c r="EQ112" s="90"/>
    </row>
    <row r="113" ht="12.0" customHeight="1">
      <c r="A113" s="89">
        <v>1.06190382E8</v>
      </c>
      <c r="B113" s="89" t="s">
        <v>1086</v>
      </c>
      <c r="C113" s="89" t="s">
        <v>865</v>
      </c>
      <c r="D113" s="89" t="s">
        <v>1087</v>
      </c>
      <c r="E113" s="89" t="s">
        <v>1088</v>
      </c>
      <c r="F113" s="89" t="s">
        <v>865</v>
      </c>
      <c r="G113" s="89" t="s">
        <v>977</v>
      </c>
      <c r="H113" s="89" t="s">
        <v>696</v>
      </c>
      <c r="I113" s="89" t="s">
        <v>456</v>
      </c>
      <c r="J113" s="89" t="s">
        <v>448</v>
      </c>
      <c r="K113" s="89" t="s">
        <v>905</v>
      </c>
      <c r="L113" s="89" t="s">
        <v>978</v>
      </c>
      <c r="M113" s="89" t="s">
        <v>979</v>
      </c>
      <c r="N113" s="89" t="s">
        <v>441</v>
      </c>
      <c r="O113" s="87">
        <v>16832.0</v>
      </c>
      <c r="P113" s="87">
        <v>233.0</v>
      </c>
      <c r="Q113" s="87"/>
      <c r="R113" s="87"/>
      <c r="S113" s="87">
        <v>380.0</v>
      </c>
      <c r="T113" s="87">
        <v>1.0</v>
      </c>
      <c r="U113" s="87">
        <v>6906.0</v>
      </c>
      <c r="V113" s="87">
        <v>10538.0</v>
      </c>
      <c r="W113" s="87">
        <v>2.0</v>
      </c>
      <c r="X113" s="87">
        <v>3750.0</v>
      </c>
      <c r="Y113" s="87">
        <v>214.0</v>
      </c>
      <c r="Z113" s="87">
        <v>2114.0</v>
      </c>
      <c r="AA113" s="87">
        <v>2543.0</v>
      </c>
      <c r="AB113" s="87">
        <v>1209.0</v>
      </c>
      <c r="AC113" s="87">
        <v>1350.0</v>
      </c>
      <c r="AD113" s="87">
        <v>2162.0</v>
      </c>
      <c r="AE113" s="87">
        <v>2003.0</v>
      </c>
      <c r="AF113" s="87">
        <v>2101.0</v>
      </c>
      <c r="AG113" s="87"/>
      <c r="AH113" s="87">
        <v>8613.0</v>
      </c>
      <c r="AI113" s="87">
        <v>8738.0</v>
      </c>
      <c r="AJ113" s="87">
        <v>95.0</v>
      </c>
      <c r="AK113" s="87">
        <v>14.0</v>
      </c>
      <c r="AL113" s="87">
        <v>3008.0</v>
      </c>
      <c r="AM113" s="87">
        <v>41.0</v>
      </c>
      <c r="AN113" s="87">
        <v>1746.0</v>
      </c>
      <c r="AO113" s="87">
        <v>2109.0</v>
      </c>
      <c r="AP113" s="87">
        <v>37.0</v>
      </c>
      <c r="AQ113" s="87">
        <v>10451.0</v>
      </c>
      <c r="AR113" s="87">
        <v>40.0</v>
      </c>
      <c r="AS113" s="87">
        <v>11188.0</v>
      </c>
      <c r="AT113" s="87"/>
      <c r="AU113" s="87">
        <v>1366.0</v>
      </c>
      <c r="AV113" s="87">
        <v>829.0</v>
      </c>
      <c r="AW113" s="87">
        <v>119.0</v>
      </c>
      <c r="AX113" s="87">
        <v>211.0</v>
      </c>
      <c r="AY113" s="87"/>
      <c r="AZ113" s="87">
        <v>1.0</v>
      </c>
      <c r="BA113" s="87">
        <v>1.0</v>
      </c>
      <c r="BB113" s="87"/>
      <c r="BC113" s="87">
        <v>3731.0</v>
      </c>
      <c r="BD113" s="87"/>
      <c r="BE113" s="87">
        <v>7010.0</v>
      </c>
      <c r="BF113" s="87"/>
      <c r="BG113" s="87">
        <v>10436.0</v>
      </c>
      <c r="BH113" s="87"/>
      <c r="BI113" s="87">
        <v>102971.0</v>
      </c>
      <c r="BJ113" s="87">
        <v>7010.0</v>
      </c>
      <c r="BK113" s="87">
        <v>1264.0</v>
      </c>
      <c r="BL113" s="87">
        <v>5439.0</v>
      </c>
      <c r="BM113" s="87">
        <v>3731.0</v>
      </c>
      <c r="BN113" s="87"/>
      <c r="BO113" s="87">
        <v>2.0</v>
      </c>
      <c r="BP113" s="87">
        <v>12851.0</v>
      </c>
      <c r="BQ113" s="87">
        <v>321.0</v>
      </c>
      <c r="BR113" s="87">
        <v>264.0</v>
      </c>
      <c r="BS113" s="87">
        <v>1605.0</v>
      </c>
      <c r="BT113" s="87"/>
      <c r="BU113" s="87">
        <v>2.0</v>
      </c>
      <c r="BV113" s="87">
        <v>591.0</v>
      </c>
      <c r="BW113" s="87">
        <v>446.0</v>
      </c>
      <c r="BX113" s="87">
        <v>1067.0</v>
      </c>
      <c r="BY113" s="87"/>
      <c r="BZ113" s="87"/>
      <c r="CA113" s="87">
        <v>112.0</v>
      </c>
      <c r="CB113" s="87">
        <v>11.0</v>
      </c>
      <c r="CC113" s="87"/>
      <c r="CD113" s="87">
        <v>165.0</v>
      </c>
      <c r="CE113" s="87"/>
      <c r="CF113" s="87">
        <v>11.0</v>
      </c>
      <c r="CG113" s="87">
        <v>58.0</v>
      </c>
      <c r="CH113" s="87">
        <v>17388.0</v>
      </c>
      <c r="CI113" s="87"/>
      <c r="CJ113" s="87">
        <v>4347.0</v>
      </c>
      <c r="CK113" s="87">
        <v>10661.0</v>
      </c>
      <c r="CL113" s="87">
        <v>1925.0</v>
      </c>
      <c r="CM113" s="87"/>
      <c r="CN113" s="87"/>
      <c r="CO113" s="87"/>
      <c r="CP113" s="87"/>
      <c r="CQ113" s="87">
        <v>393.0</v>
      </c>
      <c r="CR113" s="87">
        <v>117.0</v>
      </c>
      <c r="CS113" s="87">
        <v>3.0</v>
      </c>
      <c r="CT113" s="87">
        <v>1780.0</v>
      </c>
      <c r="CU113" s="87">
        <v>639.0</v>
      </c>
      <c r="CV113" s="87">
        <v>111.0</v>
      </c>
      <c r="CW113" s="87">
        <v>492.0</v>
      </c>
      <c r="CX113" s="87">
        <v>96.0</v>
      </c>
      <c r="CY113" s="87">
        <v>347.0</v>
      </c>
      <c r="CZ113" s="87">
        <v>20.0</v>
      </c>
      <c r="DA113" s="87">
        <v>18.0</v>
      </c>
      <c r="DB113" s="87">
        <v>1594.0</v>
      </c>
      <c r="DC113" s="87">
        <v>688.0</v>
      </c>
      <c r="DD113" s="87">
        <v>1160.0</v>
      </c>
      <c r="DE113" s="87">
        <v>185.0</v>
      </c>
      <c r="DF113" s="87">
        <v>646.0</v>
      </c>
      <c r="DG113" s="87">
        <v>589.0</v>
      </c>
      <c r="DH113" s="87">
        <v>3990.0</v>
      </c>
      <c r="DI113" s="87">
        <v>3745.0</v>
      </c>
      <c r="DJ113" s="87">
        <v>5.0</v>
      </c>
      <c r="DK113" s="87">
        <v>294.0</v>
      </c>
      <c r="DL113" s="87">
        <v>870.0</v>
      </c>
      <c r="DM113" s="87">
        <v>174.0</v>
      </c>
      <c r="DN113" s="87">
        <v>3.0</v>
      </c>
      <c r="DO113" s="87">
        <v>1874.0</v>
      </c>
      <c r="DP113" s="87">
        <v>3732.0</v>
      </c>
      <c r="DQ113" s="87">
        <v>1040.0</v>
      </c>
      <c r="DR113" s="87">
        <v>1042.0</v>
      </c>
      <c r="DS113" s="87"/>
      <c r="DT113" s="87">
        <v>7.0</v>
      </c>
      <c r="DU113" s="87">
        <v>7.0</v>
      </c>
      <c r="DV113" s="87">
        <v>439.0</v>
      </c>
      <c r="DW113" s="87">
        <v>41.0</v>
      </c>
      <c r="DX113" s="87">
        <v>146.0</v>
      </c>
      <c r="DY113" s="87">
        <v>743.0</v>
      </c>
      <c r="DZ113" s="87">
        <v>178.0</v>
      </c>
      <c r="EA113" s="87">
        <v>5.0</v>
      </c>
      <c r="EB113" s="87">
        <v>253.0</v>
      </c>
      <c r="EC113" s="87">
        <v>179.0</v>
      </c>
      <c r="ED113" s="87">
        <v>7718.0</v>
      </c>
      <c r="EE113" s="87">
        <v>42.0</v>
      </c>
      <c r="EF113" s="87">
        <v>36.0</v>
      </c>
      <c r="EG113" s="87">
        <v>323.0</v>
      </c>
      <c r="EH113" s="87"/>
      <c r="EI113" s="87">
        <v>60.0</v>
      </c>
      <c r="EJ113" s="87">
        <v>17027.0</v>
      </c>
      <c r="EK113" s="88"/>
      <c r="EL113" s="88"/>
      <c r="EM113" s="88"/>
      <c r="EN113" s="88"/>
      <c r="EO113" s="88"/>
      <c r="EP113" s="88"/>
      <c r="EQ113" s="90"/>
    </row>
    <row r="114" ht="12.0" customHeight="1">
      <c r="A114" s="89">
        <v>1.06190385E8</v>
      </c>
      <c r="B114" s="89" t="s">
        <v>1089</v>
      </c>
      <c r="C114" s="89" t="s">
        <v>865</v>
      </c>
      <c r="D114" s="89" t="s">
        <v>1090</v>
      </c>
      <c r="E114" s="89" t="s">
        <v>1091</v>
      </c>
      <c r="F114" s="89" t="s">
        <v>1092</v>
      </c>
      <c r="G114" s="89" t="s">
        <v>1093</v>
      </c>
      <c r="H114" s="89" t="s">
        <v>447</v>
      </c>
      <c r="I114" s="89" t="s">
        <v>456</v>
      </c>
      <c r="J114" s="89" t="s">
        <v>448</v>
      </c>
      <c r="K114" s="89" t="s">
        <v>439</v>
      </c>
      <c r="L114" s="89" t="s">
        <v>1094</v>
      </c>
      <c r="M114" s="89" t="s">
        <v>1095</v>
      </c>
      <c r="N114" s="89" t="s">
        <v>441</v>
      </c>
      <c r="O114" s="87">
        <v>18874.0</v>
      </c>
      <c r="P114" s="87">
        <v>52.0</v>
      </c>
      <c r="Q114" s="87">
        <v>1.0</v>
      </c>
      <c r="R114" s="87"/>
      <c r="S114" s="87">
        <v>240.0</v>
      </c>
      <c r="T114" s="87"/>
      <c r="U114" s="87">
        <v>8182.0</v>
      </c>
      <c r="V114" s="87">
        <v>10977.0</v>
      </c>
      <c r="W114" s="87">
        <v>8.0</v>
      </c>
      <c r="X114" s="87">
        <v>2847.0</v>
      </c>
      <c r="Y114" s="87">
        <v>204.0</v>
      </c>
      <c r="Z114" s="87">
        <v>1979.0</v>
      </c>
      <c r="AA114" s="87">
        <v>2444.0</v>
      </c>
      <c r="AB114" s="87">
        <v>1573.0</v>
      </c>
      <c r="AC114" s="87">
        <v>1973.0</v>
      </c>
      <c r="AD114" s="87">
        <v>2802.0</v>
      </c>
      <c r="AE114" s="87">
        <v>2752.0</v>
      </c>
      <c r="AF114" s="87">
        <v>2588.0</v>
      </c>
      <c r="AG114" s="87">
        <v>5.0</v>
      </c>
      <c r="AH114" s="87">
        <v>11654.0</v>
      </c>
      <c r="AI114" s="87">
        <v>7198.0</v>
      </c>
      <c r="AJ114" s="87">
        <v>315.0</v>
      </c>
      <c r="AK114" s="87">
        <v>25.0</v>
      </c>
      <c r="AL114" s="87">
        <v>852.0</v>
      </c>
      <c r="AM114" s="87">
        <v>95.0</v>
      </c>
      <c r="AN114" s="87">
        <v>706.0</v>
      </c>
      <c r="AO114" s="87">
        <v>7096.0</v>
      </c>
      <c r="AP114" s="87">
        <v>323.0</v>
      </c>
      <c r="AQ114" s="87">
        <v>9339.0</v>
      </c>
      <c r="AR114" s="87">
        <v>731.0</v>
      </c>
      <c r="AS114" s="87">
        <v>15813.0</v>
      </c>
      <c r="AT114" s="87">
        <v>78.0</v>
      </c>
      <c r="AU114" s="87">
        <v>170.0</v>
      </c>
      <c r="AV114" s="87">
        <v>136.0</v>
      </c>
      <c r="AW114" s="87">
        <v>16.0</v>
      </c>
      <c r="AX114" s="87">
        <v>95.0</v>
      </c>
      <c r="AY114" s="87"/>
      <c r="AZ114" s="87">
        <v>1.0</v>
      </c>
      <c r="BA114" s="87"/>
      <c r="BB114" s="87">
        <v>12.0</v>
      </c>
      <c r="BC114" s="87">
        <v>2846.0</v>
      </c>
      <c r="BD114" s="87"/>
      <c r="BE114" s="87">
        <v>11178.0</v>
      </c>
      <c r="BF114" s="87">
        <v>16.0</v>
      </c>
      <c r="BG114" s="87">
        <v>7973.0</v>
      </c>
      <c r="BH114" s="87"/>
      <c r="BI114" s="87">
        <v>113401.0</v>
      </c>
      <c r="BJ114" s="87">
        <v>10301.0</v>
      </c>
      <c r="BK114" s="87">
        <v>494.0</v>
      </c>
      <c r="BL114" s="87">
        <v>4711.0</v>
      </c>
      <c r="BM114" s="87">
        <v>2846.0</v>
      </c>
      <c r="BN114" s="87">
        <v>792.0</v>
      </c>
      <c r="BO114" s="87">
        <v>23.0</v>
      </c>
      <c r="BP114" s="87">
        <v>12100.0</v>
      </c>
      <c r="BQ114" s="87">
        <v>438.0</v>
      </c>
      <c r="BR114" s="87">
        <v>116.0</v>
      </c>
      <c r="BS114" s="87">
        <v>1710.0</v>
      </c>
      <c r="BT114" s="87">
        <v>36.0</v>
      </c>
      <c r="BU114" s="87">
        <v>14.0</v>
      </c>
      <c r="BV114" s="87">
        <v>268.0</v>
      </c>
      <c r="BW114" s="87">
        <v>465.0</v>
      </c>
      <c r="BX114" s="87">
        <v>3722.0</v>
      </c>
      <c r="BY114" s="87"/>
      <c r="BZ114" s="87">
        <v>7.0</v>
      </c>
      <c r="CA114" s="87">
        <v>265.0</v>
      </c>
      <c r="CB114" s="87">
        <v>19.0</v>
      </c>
      <c r="CC114" s="87">
        <v>1.0</v>
      </c>
      <c r="CD114" s="87">
        <v>5.0</v>
      </c>
      <c r="CE114" s="87"/>
      <c r="CF114" s="87">
        <v>1.0</v>
      </c>
      <c r="CG114" s="87">
        <v>381.0</v>
      </c>
      <c r="CH114" s="87">
        <v>18786.0</v>
      </c>
      <c r="CI114" s="87"/>
      <c r="CJ114" s="87">
        <v>5460.0</v>
      </c>
      <c r="CK114" s="87">
        <v>6967.0</v>
      </c>
      <c r="CL114" s="87">
        <v>6244.0</v>
      </c>
      <c r="CM114" s="87">
        <v>36.0</v>
      </c>
      <c r="CN114" s="87">
        <v>12.0</v>
      </c>
      <c r="CO114" s="87">
        <v>174.0</v>
      </c>
      <c r="CP114" s="87"/>
      <c r="CQ114" s="87">
        <v>271.0</v>
      </c>
      <c r="CR114" s="87">
        <v>3.0</v>
      </c>
      <c r="CS114" s="87"/>
      <c r="CT114" s="87">
        <v>2261.0</v>
      </c>
      <c r="CU114" s="87">
        <v>917.0</v>
      </c>
      <c r="CV114" s="87">
        <v>137.0</v>
      </c>
      <c r="CW114" s="87">
        <v>644.0</v>
      </c>
      <c r="CX114" s="87">
        <v>131.0</v>
      </c>
      <c r="CY114" s="87">
        <v>368.0</v>
      </c>
      <c r="CZ114" s="87">
        <v>12.0</v>
      </c>
      <c r="DA114" s="87">
        <v>11.0</v>
      </c>
      <c r="DB114" s="87">
        <v>2519.0</v>
      </c>
      <c r="DC114" s="87">
        <v>570.0</v>
      </c>
      <c r="DD114" s="87">
        <v>1572.0</v>
      </c>
      <c r="DE114" s="87">
        <v>145.0</v>
      </c>
      <c r="DF114" s="87">
        <v>657.0</v>
      </c>
      <c r="DG114" s="87">
        <v>1102.0</v>
      </c>
      <c r="DH114" s="87">
        <v>3105.0</v>
      </c>
      <c r="DI114" s="87">
        <v>2847.0</v>
      </c>
      <c r="DJ114" s="87">
        <v>8.0</v>
      </c>
      <c r="DK114" s="87">
        <v>180.0</v>
      </c>
      <c r="DL114" s="87">
        <v>1845.0</v>
      </c>
      <c r="DM114" s="87">
        <v>133.0</v>
      </c>
      <c r="DN114" s="87">
        <v>3.0</v>
      </c>
      <c r="DO114" s="87">
        <v>1818.0</v>
      </c>
      <c r="DP114" s="87">
        <v>2843.0</v>
      </c>
      <c r="DQ114" s="87">
        <v>1803.0</v>
      </c>
      <c r="DR114" s="87">
        <v>1824.0</v>
      </c>
      <c r="DS114" s="87">
        <v>4.0</v>
      </c>
      <c r="DT114" s="87">
        <v>29.0</v>
      </c>
      <c r="DU114" s="87">
        <v>5.0</v>
      </c>
      <c r="DV114" s="87">
        <v>931.0</v>
      </c>
      <c r="DW114" s="87">
        <v>78.0</v>
      </c>
      <c r="DX114" s="87">
        <v>442.0</v>
      </c>
      <c r="DY114" s="87">
        <v>1419.0</v>
      </c>
      <c r="DZ114" s="87">
        <v>283.0</v>
      </c>
      <c r="EA114" s="87">
        <v>33.0</v>
      </c>
      <c r="EB114" s="87">
        <v>335.0</v>
      </c>
      <c r="EC114" s="87">
        <v>255.0</v>
      </c>
      <c r="ED114" s="87">
        <v>6788.0</v>
      </c>
      <c r="EE114" s="87">
        <v>277.0</v>
      </c>
      <c r="EF114" s="87">
        <v>18.0</v>
      </c>
      <c r="EG114" s="87">
        <v>198.0</v>
      </c>
      <c r="EH114" s="87">
        <v>14.0</v>
      </c>
      <c r="EI114" s="87">
        <v>56.0</v>
      </c>
      <c r="EJ114" s="87">
        <v>18881.0</v>
      </c>
      <c r="EK114" s="88"/>
      <c r="EL114" s="88"/>
      <c r="EM114" s="88"/>
      <c r="EN114" s="88"/>
      <c r="EO114" s="88"/>
      <c r="EP114" s="88"/>
      <c r="EQ114" s="90"/>
    </row>
    <row r="115" ht="12.0" customHeight="1">
      <c r="A115" s="89">
        <v>1.06190392E8</v>
      </c>
      <c r="B115" s="89" t="s">
        <v>1096</v>
      </c>
      <c r="C115" s="89" t="s">
        <v>865</v>
      </c>
      <c r="D115" s="89" t="s">
        <v>1097</v>
      </c>
      <c r="E115" s="89" t="s">
        <v>1098</v>
      </c>
      <c r="F115" s="89" t="s">
        <v>865</v>
      </c>
      <c r="G115" s="89" t="s">
        <v>1099</v>
      </c>
      <c r="H115" s="89" t="s">
        <v>447</v>
      </c>
      <c r="I115" s="89" t="s">
        <v>456</v>
      </c>
      <c r="J115" s="89" t="s">
        <v>448</v>
      </c>
      <c r="K115" s="89" t="s">
        <v>905</v>
      </c>
      <c r="L115" s="89" t="s">
        <v>940</v>
      </c>
      <c r="M115" s="89" t="s">
        <v>941</v>
      </c>
      <c r="N115" s="89" t="s">
        <v>441</v>
      </c>
      <c r="O115" s="87">
        <v>13518.0</v>
      </c>
      <c r="P115" s="87">
        <v>64.0</v>
      </c>
      <c r="Q115" s="87"/>
      <c r="R115" s="87"/>
      <c r="S115" s="87">
        <v>570.0</v>
      </c>
      <c r="T115" s="87"/>
      <c r="U115" s="87">
        <v>6463.0</v>
      </c>
      <c r="V115" s="87">
        <v>7687.0</v>
      </c>
      <c r="W115" s="87">
        <v>2.0</v>
      </c>
      <c r="X115" s="87">
        <v>1563.0</v>
      </c>
      <c r="Y115" s="87">
        <v>102.0</v>
      </c>
      <c r="Z115" s="87">
        <v>1039.0</v>
      </c>
      <c r="AA115" s="87">
        <v>1687.0</v>
      </c>
      <c r="AB115" s="87">
        <v>1120.0</v>
      </c>
      <c r="AC115" s="87">
        <v>1573.0</v>
      </c>
      <c r="AD115" s="87">
        <v>2378.0</v>
      </c>
      <c r="AE115" s="87">
        <v>2254.0</v>
      </c>
      <c r="AF115" s="87">
        <v>2435.0</v>
      </c>
      <c r="AG115" s="87">
        <v>1.0</v>
      </c>
      <c r="AH115" s="87">
        <v>6649.0</v>
      </c>
      <c r="AI115" s="87">
        <v>7107.0</v>
      </c>
      <c r="AJ115" s="87">
        <v>396.0</v>
      </c>
      <c r="AK115" s="87">
        <v>38.0</v>
      </c>
      <c r="AL115" s="87">
        <v>2908.0</v>
      </c>
      <c r="AM115" s="87">
        <v>90.0</v>
      </c>
      <c r="AN115" s="87">
        <v>1971.0</v>
      </c>
      <c r="AO115" s="87">
        <v>6520.0</v>
      </c>
      <c r="AP115" s="87">
        <v>373.0</v>
      </c>
      <c r="AQ115" s="87">
        <v>2180.0</v>
      </c>
      <c r="AR115" s="87">
        <v>72.0</v>
      </c>
      <c r="AS115" s="87">
        <v>10965.0</v>
      </c>
      <c r="AT115" s="87">
        <v>153.0</v>
      </c>
      <c r="AU115" s="87">
        <v>528.0</v>
      </c>
      <c r="AV115" s="87">
        <v>639.0</v>
      </c>
      <c r="AW115" s="87">
        <v>36.0</v>
      </c>
      <c r="AX115" s="87">
        <v>276.0</v>
      </c>
      <c r="AY115" s="87">
        <v>4.0</v>
      </c>
      <c r="AZ115" s="87">
        <v>2.0</v>
      </c>
      <c r="BA115" s="87">
        <v>7.0</v>
      </c>
      <c r="BB115" s="87">
        <v>5.0</v>
      </c>
      <c r="BC115" s="87">
        <v>1537.0</v>
      </c>
      <c r="BD115" s="87"/>
      <c r="BE115" s="87">
        <v>8837.0</v>
      </c>
      <c r="BF115" s="87">
        <v>41.0</v>
      </c>
      <c r="BG115" s="87">
        <v>5274.0</v>
      </c>
      <c r="BH115" s="87"/>
      <c r="BI115" s="87">
        <v>68372.0</v>
      </c>
      <c r="BJ115" s="87">
        <v>3404.0</v>
      </c>
      <c r="BK115" s="87">
        <v>6180.0</v>
      </c>
      <c r="BL115" s="87">
        <v>2985.0</v>
      </c>
      <c r="BM115" s="87">
        <v>1537.0</v>
      </c>
      <c r="BN115" s="87"/>
      <c r="BO115" s="87">
        <v>46.0</v>
      </c>
      <c r="BP115" s="87">
        <v>8654.0</v>
      </c>
      <c r="BQ115" s="87">
        <v>237.0</v>
      </c>
      <c r="BR115" s="87">
        <v>467.0</v>
      </c>
      <c r="BS115" s="87">
        <v>1714.0</v>
      </c>
      <c r="BT115" s="87">
        <v>39.0</v>
      </c>
      <c r="BU115" s="87">
        <v>7.0</v>
      </c>
      <c r="BV115" s="87">
        <v>492.0</v>
      </c>
      <c r="BW115" s="87">
        <v>547.0</v>
      </c>
      <c r="BX115" s="87">
        <v>1780.0</v>
      </c>
      <c r="BY115" s="87"/>
      <c r="BZ115" s="87">
        <v>10.0</v>
      </c>
      <c r="CA115" s="87">
        <v>93.0</v>
      </c>
      <c r="CB115" s="87">
        <v>11.0</v>
      </c>
      <c r="CC115" s="87"/>
      <c r="CD115" s="87">
        <v>97.0</v>
      </c>
      <c r="CE115" s="87">
        <v>4.0</v>
      </c>
      <c r="CF115" s="87"/>
      <c r="CG115" s="87">
        <v>525.0</v>
      </c>
      <c r="CH115" s="87">
        <v>13627.0</v>
      </c>
      <c r="CI115" s="87"/>
      <c r="CJ115" s="87">
        <v>5176.0</v>
      </c>
      <c r="CK115" s="87">
        <v>5586.0</v>
      </c>
      <c r="CL115" s="87">
        <v>3011.0</v>
      </c>
      <c r="CM115" s="87">
        <v>24.0</v>
      </c>
      <c r="CN115" s="87"/>
      <c r="CO115" s="87">
        <v>49.0</v>
      </c>
      <c r="CP115" s="87">
        <v>17.0</v>
      </c>
      <c r="CQ115" s="87">
        <v>263.0</v>
      </c>
      <c r="CR115" s="87">
        <v>13.0</v>
      </c>
      <c r="CS115" s="87">
        <v>13.0</v>
      </c>
      <c r="CT115" s="87">
        <v>1592.0</v>
      </c>
      <c r="CU115" s="87">
        <v>512.0</v>
      </c>
      <c r="CV115" s="87">
        <v>135.0</v>
      </c>
      <c r="CW115" s="87">
        <v>596.0</v>
      </c>
      <c r="CX115" s="87">
        <v>156.0</v>
      </c>
      <c r="CY115" s="87">
        <v>551.0</v>
      </c>
      <c r="CZ115" s="87">
        <v>26.0</v>
      </c>
      <c r="DA115" s="87">
        <v>49.0</v>
      </c>
      <c r="DB115" s="87">
        <v>2784.0</v>
      </c>
      <c r="DC115" s="87">
        <v>523.0</v>
      </c>
      <c r="DD115" s="87">
        <v>1202.0</v>
      </c>
      <c r="DE115" s="87">
        <v>174.0</v>
      </c>
      <c r="DF115" s="87">
        <v>558.0</v>
      </c>
      <c r="DG115" s="87">
        <v>569.0</v>
      </c>
      <c r="DH115" s="87">
        <v>1618.0</v>
      </c>
      <c r="DI115" s="87">
        <v>1556.0</v>
      </c>
      <c r="DJ115" s="87">
        <v>22.0</v>
      </c>
      <c r="DK115" s="87">
        <v>286.0</v>
      </c>
      <c r="DL115" s="87">
        <v>1099.0</v>
      </c>
      <c r="DM115" s="87">
        <v>142.0</v>
      </c>
      <c r="DN115" s="87">
        <v>2.0</v>
      </c>
      <c r="DO115" s="87">
        <v>1515.0</v>
      </c>
      <c r="DP115" s="87">
        <v>1519.0</v>
      </c>
      <c r="DQ115" s="87">
        <v>2071.0</v>
      </c>
      <c r="DR115" s="87">
        <v>1165.0</v>
      </c>
      <c r="DS115" s="87">
        <v>14.0</v>
      </c>
      <c r="DT115" s="87">
        <v>14.0</v>
      </c>
      <c r="DU115" s="87">
        <v>11.0</v>
      </c>
      <c r="DV115" s="87">
        <v>227.0</v>
      </c>
      <c r="DW115" s="87">
        <v>48.0</v>
      </c>
      <c r="DX115" s="87">
        <v>231.0</v>
      </c>
      <c r="DY115" s="87">
        <v>749.0</v>
      </c>
      <c r="DZ115" s="87">
        <v>307.0</v>
      </c>
      <c r="EA115" s="87">
        <v>8.0</v>
      </c>
      <c r="EB115" s="87">
        <v>191.0</v>
      </c>
      <c r="EC115" s="87">
        <v>153.0</v>
      </c>
      <c r="ED115" s="87">
        <v>5844.0</v>
      </c>
      <c r="EE115" s="87">
        <v>85.0</v>
      </c>
      <c r="EF115" s="87">
        <v>68.0</v>
      </c>
      <c r="EG115" s="87">
        <v>690.0</v>
      </c>
      <c r="EH115" s="87">
        <v>6.0</v>
      </c>
      <c r="EI115" s="87">
        <v>200.0</v>
      </c>
      <c r="EJ115" s="87">
        <v>13188.0</v>
      </c>
      <c r="EK115" s="88"/>
      <c r="EL115" s="88"/>
      <c r="EM115" s="88"/>
      <c r="EN115" s="88"/>
      <c r="EO115" s="88"/>
      <c r="EP115" s="88"/>
      <c r="EQ115" s="90"/>
    </row>
    <row r="116" ht="12.0" customHeight="1">
      <c r="A116" s="89">
        <v>1.061904E8</v>
      </c>
      <c r="B116" s="89" t="s">
        <v>1100</v>
      </c>
      <c r="C116" s="89" t="s">
        <v>865</v>
      </c>
      <c r="D116" s="89" t="s">
        <v>1101</v>
      </c>
      <c r="E116" s="89" t="s">
        <v>1102</v>
      </c>
      <c r="F116" s="89" t="s">
        <v>1103</v>
      </c>
      <c r="G116" s="89" t="s">
        <v>1104</v>
      </c>
      <c r="H116" s="89" t="s">
        <v>447</v>
      </c>
      <c r="I116" s="89" t="s">
        <v>456</v>
      </c>
      <c r="J116" s="89" t="s">
        <v>605</v>
      </c>
      <c r="K116" s="89" t="s">
        <v>504</v>
      </c>
      <c r="L116" s="89" t="s">
        <v>1105</v>
      </c>
      <c r="M116" s="89" t="s">
        <v>1106</v>
      </c>
      <c r="N116" s="89" t="s">
        <v>441</v>
      </c>
      <c r="O116" s="87">
        <v>25537.0</v>
      </c>
      <c r="P116" s="87"/>
      <c r="Q116" s="87">
        <v>927.0</v>
      </c>
      <c r="R116" s="87">
        <v>2.0</v>
      </c>
      <c r="S116" s="87">
        <v>360.0</v>
      </c>
      <c r="T116" s="87"/>
      <c r="U116" s="87">
        <v>11756.0</v>
      </c>
      <c r="V116" s="87">
        <v>15064.0</v>
      </c>
      <c r="W116" s="87">
        <v>6.0</v>
      </c>
      <c r="X116" s="87">
        <v>3574.0</v>
      </c>
      <c r="Y116" s="87">
        <v>368.0</v>
      </c>
      <c r="Z116" s="87">
        <v>1716.0</v>
      </c>
      <c r="AA116" s="87">
        <v>3731.0</v>
      </c>
      <c r="AB116" s="87">
        <v>2132.0</v>
      </c>
      <c r="AC116" s="87">
        <v>2768.0</v>
      </c>
      <c r="AD116" s="87">
        <v>3755.0</v>
      </c>
      <c r="AE116" s="87">
        <v>4214.0</v>
      </c>
      <c r="AF116" s="87">
        <v>4568.0</v>
      </c>
      <c r="AG116" s="87"/>
      <c r="AH116" s="87">
        <v>8230.0</v>
      </c>
      <c r="AI116" s="87">
        <v>17606.0</v>
      </c>
      <c r="AJ116" s="87">
        <v>990.0</v>
      </c>
      <c r="AK116" s="87">
        <v>39.0</v>
      </c>
      <c r="AL116" s="87">
        <v>3828.0</v>
      </c>
      <c r="AM116" s="87">
        <v>52.0</v>
      </c>
      <c r="AN116" s="87">
        <v>2490.0</v>
      </c>
      <c r="AO116" s="87">
        <v>11798.0</v>
      </c>
      <c r="AP116" s="87">
        <v>438.0</v>
      </c>
      <c r="AQ116" s="87">
        <v>6827.0</v>
      </c>
      <c r="AR116" s="87">
        <v>1354.0</v>
      </c>
      <c r="AS116" s="87">
        <v>20846.0</v>
      </c>
      <c r="AT116" s="87">
        <v>466.0</v>
      </c>
      <c r="AU116" s="87">
        <v>467.0</v>
      </c>
      <c r="AV116" s="87">
        <v>688.0</v>
      </c>
      <c r="AW116" s="87">
        <v>136.0</v>
      </c>
      <c r="AX116" s="87">
        <v>1178.0</v>
      </c>
      <c r="AY116" s="87">
        <v>3.0</v>
      </c>
      <c r="AZ116" s="87">
        <v>1.0</v>
      </c>
      <c r="BA116" s="87">
        <v>11.0</v>
      </c>
      <c r="BB116" s="87">
        <v>12.0</v>
      </c>
      <c r="BC116" s="87">
        <v>3018.0</v>
      </c>
      <c r="BD116" s="87"/>
      <c r="BE116" s="87">
        <v>16139.0</v>
      </c>
      <c r="BF116" s="87">
        <v>76.0</v>
      </c>
      <c r="BG116" s="87">
        <v>10610.0</v>
      </c>
      <c r="BH116" s="87">
        <v>1.0</v>
      </c>
      <c r="BI116" s="87">
        <v>130621.0</v>
      </c>
      <c r="BJ116" s="87">
        <v>4783.0</v>
      </c>
      <c r="BK116" s="87">
        <v>13274.0</v>
      </c>
      <c r="BL116" s="87">
        <v>5179.0</v>
      </c>
      <c r="BM116" s="87">
        <v>3018.0</v>
      </c>
      <c r="BN116" s="87">
        <v>572.0</v>
      </c>
      <c r="BO116" s="87"/>
      <c r="BP116" s="87">
        <v>19746.0</v>
      </c>
      <c r="BQ116" s="87">
        <v>427.0</v>
      </c>
      <c r="BR116" s="87">
        <v>375.0</v>
      </c>
      <c r="BS116" s="87">
        <v>2402.0</v>
      </c>
      <c r="BT116" s="87">
        <v>24.0</v>
      </c>
      <c r="BU116" s="87">
        <v>9.0</v>
      </c>
      <c r="BV116" s="87">
        <v>440.0</v>
      </c>
      <c r="BW116" s="87">
        <v>648.0</v>
      </c>
      <c r="BX116" s="87">
        <v>2236.0</v>
      </c>
      <c r="BY116" s="87"/>
      <c r="BZ116" s="87">
        <v>7.0</v>
      </c>
      <c r="CA116" s="87">
        <v>262.0</v>
      </c>
      <c r="CB116" s="87">
        <v>98.0</v>
      </c>
      <c r="CC116" s="87"/>
      <c r="CD116" s="87">
        <v>149.0</v>
      </c>
      <c r="CE116" s="87">
        <v>3.0</v>
      </c>
      <c r="CF116" s="87"/>
      <c r="CG116" s="87">
        <v>177.0</v>
      </c>
      <c r="CH116" s="87">
        <v>26649.0</v>
      </c>
      <c r="CI116" s="87"/>
      <c r="CJ116" s="87">
        <v>8901.0</v>
      </c>
      <c r="CK116" s="87">
        <v>4769.0</v>
      </c>
      <c r="CL116" s="87">
        <v>12182.0</v>
      </c>
      <c r="CM116" s="87">
        <v>170.0</v>
      </c>
      <c r="CN116" s="87">
        <v>14.0</v>
      </c>
      <c r="CO116" s="87">
        <v>223.0</v>
      </c>
      <c r="CP116" s="87">
        <v>4.0</v>
      </c>
      <c r="CQ116" s="87">
        <v>519.0</v>
      </c>
      <c r="CR116" s="87">
        <v>15.0</v>
      </c>
      <c r="CS116" s="87">
        <v>29.0</v>
      </c>
      <c r="CT116" s="87">
        <v>2817.0</v>
      </c>
      <c r="CU116" s="87">
        <v>1231.0</v>
      </c>
      <c r="CV116" s="87">
        <v>265.0</v>
      </c>
      <c r="CW116" s="87">
        <v>838.0</v>
      </c>
      <c r="CX116" s="87">
        <v>1269.0</v>
      </c>
      <c r="CY116" s="87">
        <v>631.0</v>
      </c>
      <c r="CZ116" s="87">
        <v>39.0</v>
      </c>
      <c r="DA116" s="87">
        <v>47.0</v>
      </c>
      <c r="DB116" s="87">
        <v>3314.0</v>
      </c>
      <c r="DC116" s="87">
        <v>1015.0</v>
      </c>
      <c r="DD116" s="87">
        <v>2615.0</v>
      </c>
      <c r="DE116" s="87">
        <v>421.0</v>
      </c>
      <c r="DF116" s="87">
        <v>1580.0</v>
      </c>
      <c r="DG116" s="87">
        <v>1112.0</v>
      </c>
      <c r="DH116" s="87">
        <v>3317.0</v>
      </c>
      <c r="DI116" s="87">
        <v>3138.0</v>
      </c>
      <c r="DJ116" s="87">
        <v>55.0</v>
      </c>
      <c r="DK116" s="87">
        <v>488.0</v>
      </c>
      <c r="DL116" s="87">
        <v>2409.0</v>
      </c>
      <c r="DM116" s="87">
        <v>208.0</v>
      </c>
      <c r="DN116" s="87">
        <v>17.0</v>
      </c>
      <c r="DO116" s="87">
        <v>6679.0</v>
      </c>
      <c r="DP116" s="87">
        <v>3066.0</v>
      </c>
      <c r="DQ116" s="87">
        <v>1957.0</v>
      </c>
      <c r="DR116" s="87">
        <v>2491.0</v>
      </c>
      <c r="DS116" s="87">
        <v>19.0</v>
      </c>
      <c r="DT116" s="87">
        <v>24.0</v>
      </c>
      <c r="DU116" s="87">
        <v>16.0</v>
      </c>
      <c r="DV116" s="87">
        <v>906.0</v>
      </c>
      <c r="DW116" s="87">
        <v>93.0</v>
      </c>
      <c r="DX116" s="87">
        <v>597.0</v>
      </c>
      <c r="DY116" s="87">
        <v>2131.0</v>
      </c>
      <c r="DZ116" s="87">
        <v>489.0</v>
      </c>
      <c r="EA116" s="87">
        <v>83.0</v>
      </c>
      <c r="EB116" s="87">
        <v>654.0</v>
      </c>
      <c r="EC116" s="87">
        <v>324.0</v>
      </c>
      <c r="ED116" s="87">
        <v>6976.0</v>
      </c>
      <c r="EE116" s="87">
        <v>321.0</v>
      </c>
      <c r="EF116" s="87"/>
      <c r="EG116" s="87">
        <v>1011.0</v>
      </c>
      <c r="EH116" s="87">
        <v>69.0</v>
      </c>
      <c r="EI116" s="87">
        <v>248.0</v>
      </c>
      <c r="EJ116" s="87">
        <v>25498.0</v>
      </c>
      <c r="EK116" s="88"/>
      <c r="EL116" s="88"/>
      <c r="EM116" s="88"/>
      <c r="EN116" s="88"/>
      <c r="EO116" s="88"/>
      <c r="EP116" s="88"/>
      <c r="EQ116" s="90"/>
    </row>
    <row r="117" ht="12.0" customHeight="1">
      <c r="A117" s="89">
        <v>1.06190413E8</v>
      </c>
      <c r="B117" s="89" t="s">
        <v>1107</v>
      </c>
      <c r="C117" s="89" t="s">
        <v>865</v>
      </c>
      <c r="D117" s="89" t="s">
        <v>1108</v>
      </c>
      <c r="E117" s="89" t="s">
        <v>1109</v>
      </c>
      <c r="F117" s="89" t="s">
        <v>971</v>
      </c>
      <c r="G117" s="89" t="s">
        <v>1110</v>
      </c>
      <c r="H117" s="89" t="s">
        <v>503</v>
      </c>
      <c r="I117" s="89" t="s">
        <v>456</v>
      </c>
      <c r="J117" s="89" t="s">
        <v>457</v>
      </c>
      <c r="K117" s="89" t="s">
        <v>870</v>
      </c>
      <c r="L117" s="89" t="s">
        <v>899</v>
      </c>
      <c r="M117" s="89" t="s">
        <v>973</v>
      </c>
      <c r="N117" s="89" t="s">
        <v>441</v>
      </c>
      <c r="O117" s="87">
        <v>5805.0</v>
      </c>
      <c r="P117" s="87">
        <v>259.0</v>
      </c>
      <c r="Q117" s="87">
        <v>1435.0</v>
      </c>
      <c r="R117" s="87"/>
      <c r="S117" s="87"/>
      <c r="T117" s="87"/>
      <c r="U117" s="87">
        <v>4057.0</v>
      </c>
      <c r="V117" s="87">
        <v>3442.0</v>
      </c>
      <c r="W117" s="87"/>
      <c r="X117" s="87"/>
      <c r="Y117" s="87">
        <v>66.0</v>
      </c>
      <c r="Z117" s="87">
        <v>592.0</v>
      </c>
      <c r="AA117" s="87">
        <v>744.0</v>
      </c>
      <c r="AB117" s="87">
        <v>764.0</v>
      </c>
      <c r="AC117" s="87">
        <v>1076.0</v>
      </c>
      <c r="AD117" s="87">
        <v>1450.0</v>
      </c>
      <c r="AE117" s="87">
        <v>1342.0</v>
      </c>
      <c r="AF117" s="87">
        <v>1465.0</v>
      </c>
      <c r="AG117" s="87"/>
      <c r="AH117" s="87">
        <v>3762.0</v>
      </c>
      <c r="AI117" s="87">
        <v>3654.0</v>
      </c>
      <c r="AJ117" s="87">
        <v>83.0</v>
      </c>
      <c r="AK117" s="87">
        <v>11.0</v>
      </c>
      <c r="AL117" s="87">
        <v>661.0</v>
      </c>
      <c r="AM117" s="87">
        <v>21.0</v>
      </c>
      <c r="AN117" s="87">
        <v>432.0</v>
      </c>
      <c r="AO117" s="87">
        <v>6111.0</v>
      </c>
      <c r="AP117" s="87">
        <v>123.0</v>
      </c>
      <c r="AQ117" s="87">
        <v>140.0</v>
      </c>
      <c r="AR117" s="87"/>
      <c r="AS117" s="87">
        <v>5576.0</v>
      </c>
      <c r="AT117" s="87">
        <v>70.0</v>
      </c>
      <c r="AU117" s="87">
        <v>954.0</v>
      </c>
      <c r="AV117" s="87">
        <v>431.0</v>
      </c>
      <c r="AW117" s="87">
        <v>65.0</v>
      </c>
      <c r="AX117" s="87">
        <v>225.0</v>
      </c>
      <c r="AY117" s="87">
        <v>1.0</v>
      </c>
      <c r="AZ117" s="87">
        <v>3.0</v>
      </c>
      <c r="BA117" s="87">
        <v>173.0</v>
      </c>
      <c r="BB117" s="87">
        <v>1.0</v>
      </c>
      <c r="BC117" s="87"/>
      <c r="BD117" s="87"/>
      <c r="BE117" s="87">
        <v>5904.0</v>
      </c>
      <c r="BF117" s="87">
        <v>372.0</v>
      </c>
      <c r="BG117" s="87">
        <v>1223.0</v>
      </c>
      <c r="BH117" s="87"/>
      <c r="BI117" s="87">
        <v>38589.0</v>
      </c>
      <c r="BJ117" s="87">
        <v>1786.0</v>
      </c>
      <c r="BK117" s="87">
        <v>4175.0</v>
      </c>
      <c r="BL117" s="87">
        <v>1538.0</v>
      </c>
      <c r="BM117" s="87"/>
      <c r="BN117" s="87"/>
      <c r="BO117" s="87"/>
      <c r="BP117" s="87">
        <v>4108.0</v>
      </c>
      <c r="BQ117" s="87">
        <v>318.0</v>
      </c>
      <c r="BR117" s="87">
        <v>41.0</v>
      </c>
      <c r="BS117" s="87">
        <v>907.0</v>
      </c>
      <c r="BT117" s="87">
        <v>33.0</v>
      </c>
      <c r="BU117" s="87">
        <v>18.0</v>
      </c>
      <c r="BV117" s="87">
        <v>216.0</v>
      </c>
      <c r="BW117" s="87">
        <v>272.0</v>
      </c>
      <c r="BX117" s="87">
        <v>1384.0</v>
      </c>
      <c r="BY117" s="87"/>
      <c r="BZ117" s="87"/>
      <c r="CA117" s="87">
        <v>175.0</v>
      </c>
      <c r="CB117" s="87">
        <v>23.0</v>
      </c>
      <c r="CC117" s="87"/>
      <c r="CD117" s="87">
        <v>4.0</v>
      </c>
      <c r="CE117" s="87"/>
      <c r="CF117" s="87"/>
      <c r="CG117" s="87">
        <v>221.0</v>
      </c>
      <c r="CH117" s="87">
        <v>7278.0</v>
      </c>
      <c r="CI117" s="87"/>
      <c r="CJ117" s="87">
        <v>3840.0</v>
      </c>
      <c r="CK117" s="87">
        <v>2538.0</v>
      </c>
      <c r="CL117" s="87">
        <v>905.0</v>
      </c>
      <c r="CM117" s="87">
        <v>9.0</v>
      </c>
      <c r="CN117" s="87"/>
      <c r="CO117" s="87">
        <v>21.0</v>
      </c>
      <c r="CP117" s="87"/>
      <c r="CQ117" s="87">
        <v>186.0</v>
      </c>
      <c r="CR117" s="87"/>
      <c r="CS117" s="87"/>
      <c r="CT117" s="87">
        <v>791.0</v>
      </c>
      <c r="CU117" s="87">
        <v>123.0</v>
      </c>
      <c r="CV117" s="87">
        <v>89.0</v>
      </c>
      <c r="CW117" s="87">
        <v>503.0</v>
      </c>
      <c r="CX117" s="87">
        <v>1478.0</v>
      </c>
      <c r="CY117" s="87">
        <v>149.0</v>
      </c>
      <c r="CZ117" s="87">
        <v>3.0</v>
      </c>
      <c r="DA117" s="87">
        <v>7.0</v>
      </c>
      <c r="DB117" s="87">
        <v>1771.0</v>
      </c>
      <c r="DC117" s="87">
        <v>390.0</v>
      </c>
      <c r="DD117" s="87">
        <v>820.0</v>
      </c>
      <c r="DE117" s="87">
        <v>125.0</v>
      </c>
      <c r="DF117" s="87">
        <v>205.0</v>
      </c>
      <c r="DG117" s="87">
        <v>400.0</v>
      </c>
      <c r="DH117" s="87">
        <v>15.0</v>
      </c>
      <c r="DI117" s="87"/>
      <c r="DJ117" s="87">
        <v>2.0</v>
      </c>
      <c r="DK117" s="87">
        <v>153.0</v>
      </c>
      <c r="DL117" s="87">
        <v>407.0</v>
      </c>
      <c r="DM117" s="87">
        <v>68.0</v>
      </c>
      <c r="DN117" s="87"/>
      <c r="DO117" s="87">
        <v>811.0</v>
      </c>
      <c r="DP117" s="87">
        <v>1.0</v>
      </c>
      <c r="DQ117" s="87">
        <v>1468.0</v>
      </c>
      <c r="DR117" s="87">
        <v>618.0</v>
      </c>
      <c r="DS117" s="87">
        <v>1.0</v>
      </c>
      <c r="DT117" s="87">
        <v>4.0</v>
      </c>
      <c r="DU117" s="87">
        <v>1.0</v>
      </c>
      <c r="DV117" s="87">
        <v>6.0</v>
      </c>
      <c r="DW117" s="87">
        <v>14.0</v>
      </c>
      <c r="DX117" s="87">
        <v>155.0</v>
      </c>
      <c r="DY117" s="87">
        <v>362.0</v>
      </c>
      <c r="DZ117" s="87">
        <v>24.0</v>
      </c>
      <c r="EA117" s="87">
        <v>8.0</v>
      </c>
      <c r="EB117" s="87">
        <v>92.0</v>
      </c>
      <c r="EC117" s="87">
        <v>55.0</v>
      </c>
      <c r="ED117" s="87">
        <v>3737.0</v>
      </c>
      <c r="EE117" s="87">
        <v>142.0</v>
      </c>
      <c r="EF117" s="87">
        <v>43.0</v>
      </c>
      <c r="EG117" s="87">
        <v>587.0</v>
      </c>
      <c r="EH117" s="87"/>
      <c r="EI117" s="87">
        <v>28.0</v>
      </c>
      <c r="EJ117" s="87">
        <v>6841.0</v>
      </c>
      <c r="EK117" s="88"/>
      <c r="EL117" s="88"/>
      <c r="EM117" s="88"/>
      <c r="EN117" s="88"/>
      <c r="EO117" s="88"/>
      <c r="EP117" s="88"/>
      <c r="EQ117" s="90"/>
    </row>
    <row r="118" ht="12.0" customHeight="1">
      <c r="A118" s="89">
        <v>1.06190422E8</v>
      </c>
      <c r="B118" s="89" t="s">
        <v>1111</v>
      </c>
      <c r="C118" s="89" t="s">
        <v>865</v>
      </c>
      <c r="D118" s="89" t="s">
        <v>1112</v>
      </c>
      <c r="E118" s="89" t="s">
        <v>1113</v>
      </c>
      <c r="F118" s="89" t="s">
        <v>1018</v>
      </c>
      <c r="G118" s="89" t="s">
        <v>1019</v>
      </c>
      <c r="H118" s="89" t="s">
        <v>447</v>
      </c>
      <c r="I118" s="89" t="s">
        <v>456</v>
      </c>
      <c r="J118" s="89" t="s">
        <v>605</v>
      </c>
      <c r="K118" s="89" t="s">
        <v>763</v>
      </c>
      <c r="L118" s="89" t="s">
        <v>997</v>
      </c>
      <c r="M118" s="89" t="s">
        <v>1020</v>
      </c>
      <c r="N118" s="89" t="s">
        <v>441</v>
      </c>
      <c r="O118" s="87">
        <v>27016.0</v>
      </c>
      <c r="P118" s="87">
        <v>379.0</v>
      </c>
      <c r="Q118" s="87"/>
      <c r="R118" s="87"/>
      <c r="S118" s="87"/>
      <c r="T118" s="87"/>
      <c r="U118" s="87">
        <v>11580.0</v>
      </c>
      <c r="V118" s="87">
        <v>15815.0</v>
      </c>
      <c r="W118" s="87"/>
      <c r="X118" s="87">
        <v>2835.0</v>
      </c>
      <c r="Y118" s="87">
        <v>294.0</v>
      </c>
      <c r="Z118" s="87">
        <v>1297.0</v>
      </c>
      <c r="AA118" s="87">
        <v>2642.0</v>
      </c>
      <c r="AB118" s="87">
        <v>1848.0</v>
      </c>
      <c r="AC118" s="87">
        <v>2739.0</v>
      </c>
      <c r="AD118" s="87">
        <v>4048.0</v>
      </c>
      <c r="AE118" s="87">
        <v>5377.0</v>
      </c>
      <c r="AF118" s="87">
        <v>6315.0</v>
      </c>
      <c r="AG118" s="87"/>
      <c r="AH118" s="87">
        <v>7077.0</v>
      </c>
      <c r="AI118" s="87">
        <v>19110.0</v>
      </c>
      <c r="AJ118" s="87">
        <v>1208.0</v>
      </c>
      <c r="AK118" s="87">
        <v>58.0</v>
      </c>
      <c r="AL118" s="87">
        <v>3906.0</v>
      </c>
      <c r="AM118" s="87">
        <v>225.0</v>
      </c>
      <c r="AN118" s="87">
        <v>2727.0</v>
      </c>
      <c r="AO118" s="87">
        <v>12495.0</v>
      </c>
      <c r="AP118" s="87">
        <v>590.0</v>
      </c>
      <c r="AQ118" s="87">
        <v>7028.0</v>
      </c>
      <c r="AR118" s="87">
        <v>366.0</v>
      </c>
      <c r="AS118" s="87">
        <v>23571.0</v>
      </c>
      <c r="AT118" s="87">
        <v>3.0</v>
      </c>
      <c r="AU118" s="87">
        <v>603.0</v>
      </c>
      <c r="AV118" s="87">
        <v>460.0</v>
      </c>
      <c r="AW118" s="87">
        <v>234.0</v>
      </c>
      <c r="AX118" s="87"/>
      <c r="AY118" s="87">
        <v>7.0</v>
      </c>
      <c r="AZ118" s="87"/>
      <c r="BA118" s="87">
        <v>11.0</v>
      </c>
      <c r="BB118" s="87">
        <v>309.0</v>
      </c>
      <c r="BC118" s="87">
        <v>2197.0</v>
      </c>
      <c r="BD118" s="87"/>
      <c r="BE118" s="87">
        <v>18196.0</v>
      </c>
      <c r="BF118" s="87">
        <v>152.0</v>
      </c>
      <c r="BG118" s="87">
        <v>9047.0</v>
      </c>
      <c r="BH118" s="87"/>
      <c r="BI118" s="87">
        <v>127794.0</v>
      </c>
      <c r="BJ118" s="87">
        <v>18527.0</v>
      </c>
      <c r="BK118" s="87">
        <v>1866.0</v>
      </c>
      <c r="BL118" s="87">
        <v>4745.0</v>
      </c>
      <c r="BM118" s="87">
        <v>2197.0</v>
      </c>
      <c r="BN118" s="87"/>
      <c r="BO118" s="87">
        <v>60.0</v>
      </c>
      <c r="BP118" s="87">
        <v>18044.0</v>
      </c>
      <c r="BQ118" s="87">
        <v>353.0</v>
      </c>
      <c r="BR118" s="87">
        <v>116.0</v>
      </c>
      <c r="BS118" s="87">
        <v>2443.0</v>
      </c>
      <c r="BT118" s="87">
        <v>166.0</v>
      </c>
      <c r="BU118" s="87">
        <v>1.0</v>
      </c>
      <c r="BV118" s="87">
        <v>287.0</v>
      </c>
      <c r="BW118" s="87">
        <v>691.0</v>
      </c>
      <c r="BX118" s="87">
        <v>4748.0</v>
      </c>
      <c r="BY118" s="87"/>
      <c r="BZ118" s="87">
        <v>11.0</v>
      </c>
      <c r="CA118" s="87">
        <v>474.0</v>
      </c>
      <c r="CB118" s="87">
        <v>45.0</v>
      </c>
      <c r="CC118" s="87"/>
      <c r="CD118" s="87"/>
      <c r="CE118" s="87">
        <v>16.0</v>
      </c>
      <c r="CF118" s="87"/>
      <c r="CG118" s="87">
        <v>1249.0</v>
      </c>
      <c r="CH118" s="87">
        <v>26100.0</v>
      </c>
      <c r="CI118" s="87">
        <v>46.0</v>
      </c>
      <c r="CJ118" s="87">
        <v>13546.0</v>
      </c>
      <c r="CK118" s="87">
        <v>3004.0</v>
      </c>
      <c r="CL118" s="87">
        <v>10173.0</v>
      </c>
      <c r="CM118" s="87">
        <v>62.0</v>
      </c>
      <c r="CN118" s="87"/>
      <c r="CO118" s="87">
        <v>170.0</v>
      </c>
      <c r="CP118" s="87"/>
      <c r="CQ118" s="87">
        <v>439.0</v>
      </c>
      <c r="CR118" s="87">
        <v>1.0</v>
      </c>
      <c r="CS118" s="87"/>
      <c r="CT118" s="87">
        <v>2841.0</v>
      </c>
      <c r="CU118" s="87">
        <v>1277.0</v>
      </c>
      <c r="CV118" s="87">
        <v>233.0</v>
      </c>
      <c r="CW118" s="87">
        <v>1108.0</v>
      </c>
      <c r="CX118" s="87">
        <v>292.0</v>
      </c>
      <c r="CY118" s="87">
        <v>650.0</v>
      </c>
      <c r="CZ118" s="87">
        <v>30.0</v>
      </c>
      <c r="DA118" s="87">
        <v>40.0</v>
      </c>
      <c r="DB118" s="87">
        <v>4504.0</v>
      </c>
      <c r="DC118" s="87">
        <v>1333.0</v>
      </c>
      <c r="DD118" s="87">
        <v>3322.0</v>
      </c>
      <c r="DE118" s="87">
        <v>501.0</v>
      </c>
      <c r="DF118" s="87">
        <v>1876.0</v>
      </c>
      <c r="DG118" s="87">
        <v>1533.0</v>
      </c>
      <c r="DH118" s="87">
        <v>2459.0</v>
      </c>
      <c r="DI118" s="87">
        <v>2330.0</v>
      </c>
      <c r="DJ118" s="87">
        <v>20.0</v>
      </c>
      <c r="DK118" s="87">
        <v>861.0</v>
      </c>
      <c r="DL118" s="87">
        <v>1972.0</v>
      </c>
      <c r="DM118" s="87">
        <v>205.0</v>
      </c>
      <c r="DN118" s="87">
        <v>8.0</v>
      </c>
      <c r="DO118" s="87">
        <v>3396.0</v>
      </c>
      <c r="DP118" s="87">
        <v>2118.0</v>
      </c>
      <c r="DQ118" s="87">
        <v>2393.0</v>
      </c>
      <c r="DR118" s="87">
        <v>2956.0</v>
      </c>
      <c r="DS118" s="87">
        <v>14.0</v>
      </c>
      <c r="DT118" s="87">
        <v>36.0</v>
      </c>
      <c r="DU118" s="87">
        <v>3.0</v>
      </c>
      <c r="DV118" s="87">
        <v>719.0</v>
      </c>
      <c r="DW118" s="87">
        <v>116.0</v>
      </c>
      <c r="DX118" s="87">
        <v>649.0</v>
      </c>
      <c r="DY118" s="87">
        <v>2183.0</v>
      </c>
      <c r="DZ118" s="87">
        <v>511.0</v>
      </c>
      <c r="EA118" s="87">
        <v>36.0</v>
      </c>
      <c r="EB118" s="87">
        <v>594.0</v>
      </c>
      <c r="EC118" s="87">
        <v>323.0</v>
      </c>
      <c r="ED118" s="87">
        <v>10823.0</v>
      </c>
      <c r="EE118" s="87">
        <v>525.0</v>
      </c>
      <c r="EF118" s="87">
        <v>8.0</v>
      </c>
      <c r="EG118" s="87">
        <v>74.0</v>
      </c>
      <c r="EH118" s="87">
        <v>3.0</v>
      </c>
      <c r="EI118" s="87">
        <v>207.0</v>
      </c>
      <c r="EJ118" s="87">
        <v>27103.0</v>
      </c>
      <c r="EK118" s="88"/>
      <c r="EL118" s="88"/>
      <c r="EM118" s="88"/>
      <c r="EN118" s="88"/>
      <c r="EO118" s="88"/>
      <c r="EP118" s="88"/>
      <c r="EQ118" s="90"/>
    </row>
    <row r="119" ht="12.0" customHeight="1">
      <c r="A119" s="89">
        <v>1.06190429E8</v>
      </c>
      <c r="B119" s="89" t="s">
        <v>1114</v>
      </c>
      <c r="C119" s="89" t="s">
        <v>865</v>
      </c>
      <c r="D119" s="89" t="s">
        <v>1115</v>
      </c>
      <c r="E119" s="89" t="s">
        <v>1116</v>
      </c>
      <c r="F119" s="89" t="s">
        <v>865</v>
      </c>
      <c r="G119" s="89" t="s">
        <v>977</v>
      </c>
      <c r="H119" s="89" t="s">
        <v>447</v>
      </c>
      <c r="I119" s="89" t="s">
        <v>456</v>
      </c>
      <c r="J119" s="89" t="s">
        <v>448</v>
      </c>
      <c r="K119" s="89" t="s">
        <v>905</v>
      </c>
      <c r="L119" s="89" t="s">
        <v>978</v>
      </c>
      <c r="M119" s="89" t="s">
        <v>979</v>
      </c>
      <c r="N119" s="89" t="s">
        <v>441</v>
      </c>
      <c r="O119" s="87">
        <v>23846.0</v>
      </c>
      <c r="P119" s="87"/>
      <c r="Q119" s="87">
        <v>3750.0</v>
      </c>
      <c r="R119" s="87"/>
      <c r="S119" s="87"/>
      <c r="T119" s="87"/>
      <c r="U119" s="87">
        <v>13153.0</v>
      </c>
      <c r="V119" s="87">
        <v>14438.0</v>
      </c>
      <c r="W119" s="87">
        <v>5.0</v>
      </c>
      <c r="X119" s="87">
        <v>4199.0</v>
      </c>
      <c r="Y119" s="87">
        <v>1166.0</v>
      </c>
      <c r="Z119" s="87">
        <v>2568.0</v>
      </c>
      <c r="AA119" s="87">
        <v>3498.0</v>
      </c>
      <c r="AB119" s="87">
        <v>2044.0</v>
      </c>
      <c r="AC119" s="87">
        <v>2580.0</v>
      </c>
      <c r="AD119" s="87">
        <v>3948.0</v>
      </c>
      <c r="AE119" s="87">
        <v>4377.0</v>
      </c>
      <c r="AF119" s="87">
        <v>3211.0</v>
      </c>
      <c r="AG119" s="87">
        <v>5.0</v>
      </c>
      <c r="AH119" s="87">
        <v>11203.0</v>
      </c>
      <c r="AI119" s="87">
        <v>15887.0</v>
      </c>
      <c r="AJ119" s="87">
        <v>506.0</v>
      </c>
      <c r="AK119" s="87">
        <v>70.0</v>
      </c>
      <c r="AL119" s="87">
        <v>3930.0</v>
      </c>
      <c r="AM119" s="87">
        <v>159.0</v>
      </c>
      <c r="AN119" s="87">
        <v>3039.0</v>
      </c>
      <c r="AO119" s="87">
        <v>8636.0</v>
      </c>
      <c r="AP119" s="87">
        <v>668.0</v>
      </c>
      <c r="AQ119" s="87">
        <v>10911.0</v>
      </c>
      <c r="AR119" s="87">
        <v>183.0</v>
      </c>
      <c r="AS119" s="87">
        <v>14084.0</v>
      </c>
      <c r="AT119" s="87">
        <v>995.0</v>
      </c>
      <c r="AU119" s="87">
        <v>9420.0</v>
      </c>
      <c r="AV119" s="87">
        <v>259.0</v>
      </c>
      <c r="AW119" s="87">
        <v>50.0</v>
      </c>
      <c r="AX119" s="87">
        <v>10.0</v>
      </c>
      <c r="AY119" s="87">
        <v>14.0</v>
      </c>
      <c r="AZ119" s="87"/>
      <c r="BA119" s="87">
        <v>3.0</v>
      </c>
      <c r="BB119" s="87">
        <v>110.0</v>
      </c>
      <c r="BC119" s="87">
        <v>2644.0</v>
      </c>
      <c r="BD119" s="87">
        <v>7.0</v>
      </c>
      <c r="BE119" s="87">
        <v>8186.0</v>
      </c>
      <c r="BF119" s="87">
        <v>5472.0</v>
      </c>
      <c r="BG119" s="87">
        <v>13938.0</v>
      </c>
      <c r="BH119" s="87"/>
      <c r="BI119" s="87">
        <v>141828.0</v>
      </c>
      <c r="BJ119" s="87">
        <v>6192.0</v>
      </c>
      <c r="BK119" s="87">
        <v>12739.0</v>
      </c>
      <c r="BL119" s="87">
        <v>6013.0</v>
      </c>
      <c r="BM119" s="87">
        <v>2644.0</v>
      </c>
      <c r="BN119" s="87">
        <v>1.0</v>
      </c>
      <c r="BO119" s="87">
        <v>7.0</v>
      </c>
      <c r="BP119" s="87">
        <v>18166.0</v>
      </c>
      <c r="BQ119" s="87">
        <v>464.0</v>
      </c>
      <c r="BR119" s="87">
        <v>64.0</v>
      </c>
      <c r="BS119" s="87">
        <v>1244.0</v>
      </c>
      <c r="BT119" s="87">
        <v>2.0</v>
      </c>
      <c r="BU119" s="87">
        <v>2.0</v>
      </c>
      <c r="BV119" s="87">
        <v>248.0</v>
      </c>
      <c r="BW119" s="87">
        <v>669.0</v>
      </c>
      <c r="BX119" s="87">
        <v>6182.0</v>
      </c>
      <c r="BY119" s="87"/>
      <c r="BZ119" s="87">
        <v>11.0</v>
      </c>
      <c r="CA119" s="87">
        <v>324.0</v>
      </c>
      <c r="CB119" s="87">
        <v>47.0</v>
      </c>
      <c r="CC119" s="87">
        <v>1.0</v>
      </c>
      <c r="CD119" s="87">
        <v>106.0</v>
      </c>
      <c r="CE119" s="87">
        <v>66.0</v>
      </c>
      <c r="CF119" s="87"/>
      <c r="CG119" s="87">
        <v>1600.0</v>
      </c>
      <c r="CH119" s="87">
        <v>25996.0</v>
      </c>
      <c r="CI119" s="87"/>
      <c r="CJ119" s="87">
        <v>10056.0</v>
      </c>
      <c r="CK119" s="87">
        <v>2449.0</v>
      </c>
      <c r="CL119" s="87">
        <v>14796.0</v>
      </c>
      <c r="CM119" s="87">
        <v>9.0</v>
      </c>
      <c r="CN119" s="87"/>
      <c r="CO119" s="87">
        <v>37.0</v>
      </c>
      <c r="CP119" s="87"/>
      <c r="CQ119" s="87">
        <v>247.0</v>
      </c>
      <c r="CR119" s="87">
        <v>2.0</v>
      </c>
      <c r="CS119" s="87"/>
      <c r="CT119" s="87">
        <v>1917.0</v>
      </c>
      <c r="CU119" s="87">
        <v>1650.0</v>
      </c>
      <c r="CV119" s="87">
        <v>208.0</v>
      </c>
      <c r="CW119" s="87">
        <v>694.0</v>
      </c>
      <c r="CX119" s="87">
        <v>3878.0</v>
      </c>
      <c r="CY119" s="87">
        <v>780.0</v>
      </c>
      <c r="CZ119" s="87">
        <v>41.0</v>
      </c>
      <c r="DA119" s="87">
        <v>16.0</v>
      </c>
      <c r="DB119" s="87">
        <v>5440.0</v>
      </c>
      <c r="DC119" s="87">
        <v>1007.0</v>
      </c>
      <c r="DD119" s="87">
        <v>1784.0</v>
      </c>
      <c r="DE119" s="87">
        <v>157.0</v>
      </c>
      <c r="DF119" s="87">
        <v>1150.0</v>
      </c>
      <c r="DG119" s="87">
        <v>686.0</v>
      </c>
      <c r="DH119" s="87">
        <v>2897.0</v>
      </c>
      <c r="DI119" s="87">
        <v>2762.0</v>
      </c>
      <c r="DJ119" s="87">
        <v>335.0</v>
      </c>
      <c r="DK119" s="87">
        <v>419.0</v>
      </c>
      <c r="DL119" s="87">
        <v>1457.0</v>
      </c>
      <c r="DM119" s="87">
        <v>318.0</v>
      </c>
      <c r="DN119" s="87"/>
      <c r="DO119" s="87">
        <v>3594.0</v>
      </c>
      <c r="DP119" s="87">
        <v>2610.0</v>
      </c>
      <c r="DQ119" s="87">
        <v>4149.0</v>
      </c>
      <c r="DR119" s="87">
        <v>1937.0</v>
      </c>
      <c r="DS119" s="87">
        <v>17.0</v>
      </c>
      <c r="DT119" s="87">
        <v>90.0</v>
      </c>
      <c r="DU119" s="87">
        <v>10.0</v>
      </c>
      <c r="DV119" s="87">
        <v>635.0</v>
      </c>
      <c r="DW119" s="87">
        <v>108.0</v>
      </c>
      <c r="DX119" s="87">
        <v>301.0</v>
      </c>
      <c r="DY119" s="87">
        <v>1294.0</v>
      </c>
      <c r="DZ119" s="87">
        <v>1026.0</v>
      </c>
      <c r="EA119" s="87">
        <v>87.0</v>
      </c>
      <c r="EB119" s="87">
        <v>449.0</v>
      </c>
      <c r="EC119" s="87">
        <v>500.0</v>
      </c>
      <c r="ED119" s="87">
        <v>10255.0</v>
      </c>
      <c r="EE119" s="87">
        <v>534.0</v>
      </c>
      <c r="EF119" s="87">
        <v>1.0</v>
      </c>
      <c r="EG119" s="87">
        <v>491.0</v>
      </c>
      <c r="EH119" s="87">
        <v>2.0</v>
      </c>
      <c r="EI119" s="87">
        <v>70.0</v>
      </c>
      <c r="EJ119" s="87">
        <v>27032.0</v>
      </c>
      <c r="EK119" s="88"/>
      <c r="EL119" s="88"/>
      <c r="EM119" s="88"/>
      <c r="EN119" s="88"/>
      <c r="EO119" s="88"/>
      <c r="EP119" s="88"/>
      <c r="EQ119" s="90"/>
    </row>
    <row r="120" ht="12.0" customHeight="1">
      <c r="A120" s="89">
        <v>1.06190431E8</v>
      </c>
      <c r="B120" s="89" t="s">
        <v>1117</v>
      </c>
      <c r="C120" s="89" t="s">
        <v>865</v>
      </c>
      <c r="D120" s="89" t="s">
        <v>1118</v>
      </c>
      <c r="E120" s="89" t="s">
        <v>1119</v>
      </c>
      <c r="F120" s="89" t="s">
        <v>1120</v>
      </c>
      <c r="G120" s="89" t="s">
        <v>1121</v>
      </c>
      <c r="H120" s="89" t="s">
        <v>447</v>
      </c>
      <c r="I120" s="89" t="s">
        <v>456</v>
      </c>
      <c r="J120" s="89" t="s">
        <v>469</v>
      </c>
      <c r="K120" s="89" t="s">
        <v>954</v>
      </c>
      <c r="L120" s="89" t="s">
        <v>997</v>
      </c>
      <c r="M120" s="89" t="s">
        <v>1020</v>
      </c>
      <c r="N120" s="89" t="s">
        <v>441</v>
      </c>
      <c r="O120" s="87">
        <v>14317.0</v>
      </c>
      <c r="P120" s="87"/>
      <c r="Q120" s="87"/>
      <c r="R120" s="87"/>
      <c r="S120" s="87"/>
      <c r="T120" s="87"/>
      <c r="U120" s="87">
        <v>5759.0</v>
      </c>
      <c r="V120" s="87">
        <v>8557.0</v>
      </c>
      <c r="W120" s="87">
        <v>1.0</v>
      </c>
      <c r="X120" s="87">
        <v>2382.0</v>
      </c>
      <c r="Y120" s="87">
        <v>81.0</v>
      </c>
      <c r="Z120" s="87">
        <v>1001.0</v>
      </c>
      <c r="AA120" s="87">
        <v>2033.0</v>
      </c>
      <c r="AB120" s="87">
        <v>927.0</v>
      </c>
      <c r="AC120" s="87">
        <v>1207.0</v>
      </c>
      <c r="AD120" s="87">
        <v>1949.0</v>
      </c>
      <c r="AE120" s="87">
        <v>2213.0</v>
      </c>
      <c r="AF120" s="87">
        <v>2523.0</v>
      </c>
      <c r="AG120" s="87">
        <v>1.0</v>
      </c>
      <c r="AH120" s="87">
        <v>4859.0</v>
      </c>
      <c r="AI120" s="87">
        <v>9310.0</v>
      </c>
      <c r="AJ120" s="87">
        <v>148.0</v>
      </c>
      <c r="AK120" s="87">
        <v>39.0</v>
      </c>
      <c r="AL120" s="87">
        <v>1654.0</v>
      </c>
      <c r="AM120" s="87">
        <v>337.0</v>
      </c>
      <c r="AN120" s="87">
        <v>4011.0</v>
      </c>
      <c r="AO120" s="87">
        <v>3230.0</v>
      </c>
      <c r="AP120" s="87">
        <v>239.0</v>
      </c>
      <c r="AQ120" s="87">
        <v>4722.0</v>
      </c>
      <c r="AR120" s="87">
        <v>85.0</v>
      </c>
      <c r="AS120" s="87">
        <v>10169.0</v>
      </c>
      <c r="AT120" s="87">
        <v>348.0</v>
      </c>
      <c r="AU120" s="87">
        <v>1346.0</v>
      </c>
      <c r="AV120" s="87">
        <v>73.0</v>
      </c>
      <c r="AW120" s="87">
        <v>7.0</v>
      </c>
      <c r="AX120" s="87">
        <v>2.0</v>
      </c>
      <c r="AY120" s="87">
        <v>4.0</v>
      </c>
      <c r="AZ120" s="87"/>
      <c r="BA120" s="87"/>
      <c r="BB120" s="87">
        <v>26.0</v>
      </c>
      <c r="BC120" s="87">
        <v>2340.0</v>
      </c>
      <c r="BD120" s="87">
        <v>2.0</v>
      </c>
      <c r="BE120" s="87">
        <v>7584.0</v>
      </c>
      <c r="BF120" s="87">
        <v>729.0</v>
      </c>
      <c r="BG120" s="87">
        <v>6002.0</v>
      </c>
      <c r="BH120" s="87">
        <v>2.0</v>
      </c>
      <c r="BI120" s="87">
        <v>53972.0</v>
      </c>
      <c r="BJ120" s="87">
        <v>6642.0</v>
      </c>
      <c r="BK120" s="87">
        <v>3796.0</v>
      </c>
      <c r="BL120" s="87">
        <v>1522.0</v>
      </c>
      <c r="BM120" s="87">
        <v>2340.0</v>
      </c>
      <c r="BN120" s="87"/>
      <c r="BO120" s="87">
        <v>17.0</v>
      </c>
      <c r="BP120" s="87">
        <v>8701.0</v>
      </c>
      <c r="BQ120" s="87">
        <v>378.0</v>
      </c>
      <c r="BR120" s="87">
        <v>20.0</v>
      </c>
      <c r="BS120" s="87">
        <v>831.0</v>
      </c>
      <c r="BT120" s="87">
        <v>1.0</v>
      </c>
      <c r="BU120" s="87">
        <v>1.0</v>
      </c>
      <c r="BV120" s="87">
        <v>127.0</v>
      </c>
      <c r="BW120" s="87">
        <v>397.0</v>
      </c>
      <c r="BX120" s="87">
        <v>3516.0</v>
      </c>
      <c r="BY120" s="87"/>
      <c r="BZ120" s="87"/>
      <c r="CA120" s="87">
        <v>317.0</v>
      </c>
      <c r="CB120" s="87">
        <v>11.0</v>
      </c>
      <c r="CC120" s="87"/>
      <c r="CD120" s="87">
        <v>4.0</v>
      </c>
      <c r="CE120" s="87">
        <v>13.0</v>
      </c>
      <c r="CF120" s="87"/>
      <c r="CG120" s="87">
        <v>984.0</v>
      </c>
      <c r="CH120" s="87">
        <v>13333.0</v>
      </c>
      <c r="CI120" s="87"/>
      <c r="CJ120" s="87">
        <v>5856.0</v>
      </c>
      <c r="CK120" s="87">
        <v>1448.0</v>
      </c>
      <c r="CL120" s="87">
        <v>6918.0</v>
      </c>
      <c r="CM120" s="87">
        <v>2.0</v>
      </c>
      <c r="CN120" s="87">
        <v>1.0</v>
      </c>
      <c r="CO120" s="87">
        <v>1.0</v>
      </c>
      <c r="CP120" s="87"/>
      <c r="CQ120" s="87">
        <v>90.0</v>
      </c>
      <c r="CR120" s="87">
        <v>1.0</v>
      </c>
      <c r="CS120" s="87"/>
      <c r="CT120" s="87">
        <v>2073.0</v>
      </c>
      <c r="CU120" s="87">
        <v>467.0</v>
      </c>
      <c r="CV120" s="87">
        <v>126.0</v>
      </c>
      <c r="CW120" s="87">
        <v>586.0</v>
      </c>
      <c r="CX120" s="87">
        <v>123.0</v>
      </c>
      <c r="CY120" s="87">
        <v>244.0</v>
      </c>
      <c r="CZ120" s="87">
        <v>14.0</v>
      </c>
      <c r="DA120" s="87">
        <v>14.0</v>
      </c>
      <c r="DB120" s="87">
        <v>1790.0</v>
      </c>
      <c r="DC120" s="87">
        <v>592.0</v>
      </c>
      <c r="DD120" s="87">
        <v>1532.0</v>
      </c>
      <c r="DE120" s="87">
        <v>130.0</v>
      </c>
      <c r="DF120" s="87">
        <v>286.0</v>
      </c>
      <c r="DG120" s="87">
        <v>534.0</v>
      </c>
      <c r="DH120" s="87">
        <v>2430.0</v>
      </c>
      <c r="DI120" s="87">
        <v>2379.0</v>
      </c>
      <c r="DJ120" s="87">
        <v>2.0</v>
      </c>
      <c r="DK120" s="87">
        <v>281.0</v>
      </c>
      <c r="DL120" s="87">
        <v>609.0</v>
      </c>
      <c r="DM120" s="87">
        <v>105.0</v>
      </c>
      <c r="DN120" s="87"/>
      <c r="DO120" s="87">
        <v>1332.0</v>
      </c>
      <c r="DP120" s="87">
        <v>2297.0</v>
      </c>
      <c r="DQ120" s="87">
        <v>829.0</v>
      </c>
      <c r="DR120" s="87">
        <v>1406.0</v>
      </c>
      <c r="DS120" s="87">
        <v>6.0</v>
      </c>
      <c r="DT120" s="87">
        <v>5.0</v>
      </c>
      <c r="DU120" s="87">
        <v>3.0</v>
      </c>
      <c r="DV120" s="87">
        <v>716.0</v>
      </c>
      <c r="DW120" s="87">
        <v>30.0</v>
      </c>
      <c r="DX120" s="87">
        <v>271.0</v>
      </c>
      <c r="DY120" s="87">
        <v>537.0</v>
      </c>
      <c r="DZ120" s="87">
        <v>67.0</v>
      </c>
      <c r="EA120" s="87">
        <v>20.0</v>
      </c>
      <c r="EB120" s="87">
        <v>170.0</v>
      </c>
      <c r="EC120" s="87">
        <v>309.0</v>
      </c>
      <c r="ED120" s="87">
        <v>6012.0</v>
      </c>
      <c r="EE120" s="87">
        <v>307.0</v>
      </c>
      <c r="EF120" s="87"/>
      <c r="EG120" s="87">
        <v>127.0</v>
      </c>
      <c r="EH120" s="87"/>
      <c r="EI120" s="87">
        <v>26.0</v>
      </c>
      <c r="EJ120" s="87">
        <v>14164.0</v>
      </c>
      <c r="EK120" s="88"/>
      <c r="EL120" s="88"/>
      <c r="EM120" s="88"/>
      <c r="EN120" s="88"/>
      <c r="EO120" s="88"/>
      <c r="EP120" s="88"/>
      <c r="EQ120" s="90"/>
    </row>
    <row r="121" ht="12.0" customHeight="1">
      <c r="A121" s="89">
        <v>1.06190432E8</v>
      </c>
      <c r="B121" s="89" t="s">
        <v>1122</v>
      </c>
      <c r="C121" s="89" t="s">
        <v>865</v>
      </c>
      <c r="D121" s="89" t="s">
        <v>1123</v>
      </c>
      <c r="E121" s="89" t="s">
        <v>1124</v>
      </c>
      <c r="F121" s="89" t="s">
        <v>1125</v>
      </c>
      <c r="G121" s="89" t="s">
        <v>1126</v>
      </c>
      <c r="H121" s="89" t="s">
        <v>447</v>
      </c>
      <c r="I121" s="89" t="s">
        <v>456</v>
      </c>
      <c r="J121" s="89" t="s">
        <v>469</v>
      </c>
      <c r="K121" s="89" t="s">
        <v>439</v>
      </c>
      <c r="L121" s="89" t="s">
        <v>1127</v>
      </c>
      <c r="M121" s="89" t="s">
        <v>1128</v>
      </c>
      <c r="N121" s="89" t="s">
        <v>441</v>
      </c>
      <c r="O121" s="87">
        <v>10764.0</v>
      </c>
      <c r="P121" s="87"/>
      <c r="Q121" s="87"/>
      <c r="R121" s="87"/>
      <c r="S121" s="87"/>
      <c r="T121" s="87"/>
      <c r="U121" s="87">
        <v>4116.0</v>
      </c>
      <c r="V121" s="87">
        <v>6648.0</v>
      </c>
      <c r="W121" s="87"/>
      <c r="X121" s="87">
        <v>2441.0</v>
      </c>
      <c r="Y121" s="87">
        <v>61.0</v>
      </c>
      <c r="Z121" s="87">
        <v>954.0</v>
      </c>
      <c r="AA121" s="87">
        <v>1882.0</v>
      </c>
      <c r="AB121" s="87">
        <v>670.0</v>
      </c>
      <c r="AC121" s="87">
        <v>729.0</v>
      </c>
      <c r="AD121" s="87">
        <v>1189.0</v>
      </c>
      <c r="AE121" s="87">
        <v>1436.0</v>
      </c>
      <c r="AF121" s="87">
        <v>1402.0</v>
      </c>
      <c r="AG121" s="87"/>
      <c r="AH121" s="87">
        <v>4931.0</v>
      </c>
      <c r="AI121" s="87">
        <v>5792.0</v>
      </c>
      <c r="AJ121" s="87">
        <v>41.0</v>
      </c>
      <c r="AK121" s="87">
        <v>20.0</v>
      </c>
      <c r="AL121" s="87">
        <v>1220.0</v>
      </c>
      <c r="AM121" s="87">
        <v>33.0</v>
      </c>
      <c r="AN121" s="87">
        <v>654.0</v>
      </c>
      <c r="AO121" s="87">
        <v>3918.0</v>
      </c>
      <c r="AP121" s="87">
        <v>76.0</v>
      </c>
      <c r="AQ121" s="87">
        <v>4809.0</v>
      </c>
      <c r="AR121" s="87">
        <v>34.0</v>
      </c>
      <c r="AS121" s="87">
        <v>6905.0</v>
      </c>
      <c r="AT121" s="87">
        <v>157.0</v>
      </c>
      <c r="AU121" s="87">
        <v>1088.0</v>
      </c>
      <c r="AV121" s="87">
        <v>71.0</v>
      </c>
      <c r="AW121" s="87">
        <v>3.0</v>
      </c>
      <c r="AX121" s="87">
        <v>1.0</v>
      </c>
      <c r="AY121" s="87">
        <v>1.0</v>
      </c>
      <c r="AZ121" s="87"/>
      <c r="BA121" s="87"/>
      <c r="BB121" s="87">
        <v>169.0</v>
      </c>
      <c r="BC121" s="87">
        <v>2369.0</v>
      </c>
      <c r="BD121" s="87"/>
      <c r="BE121" s="87">
        <v>4203.0</v>
      </c>
      <c r="BF121" s="87">
        <v>444.0</v>
      </c>
      <c r="BG121" s="87">
        <v>6117.0</v>
      </c>
      <c r="BH121" s="87"/>
      <c r="BI121" s="87">
        <v>38908.0</v>
      </c>
      <c r="BJ121" s="87">
        <v>4106.0</v>
      </c>
      <c r="BK121" s="87">
        <v>3106.0</v>
      </c>
      <c r="BL121" s="87">
        <v>1182.0</v>
      </c>
      <c r="BM121" s="87">
        <v>2369.0</v>
      </c>
      <c r="BN121" s="87"/>
      <c r="BO121" s="87">
        <v>1.0</v>
      </c>
      <c r="BP121" s="87">
        <v>7407.0</v>
      </c>
      <c r="BQ121" s="87">
        <v>142.0</v>
      </c>
      <c r="BR121" s="87">
        <v>5.0</v>
      </c>
      <c r="BS121" s="87">
        <v>731.0</v>
      </c>
      <c r="BT121" s="87"/>
      <c r="BU121" s="87"/>
      <c r="BV121" s="87">
        <v>44.0</v>
      </c>
      <c r="BW121" s="87">
        <v>323.0</v>
      </c>
      <c r="BX121" s="87">
        <v>1894.0</v>
      </c>
      <c r="BY121" s="87"/>
      <c r="BZ121" s="87"/>
      <c r="CA121" s="87">
        <v>204.0</v>
      </c>
      <c r="CB121" s="87">
        <v>7.0</v>
      </c>
      <c r="CC121" s="87"/>
      <c r="CD121" s="87">
        <v>1.0</v>
      </c>
      <c r="CE121" s="87">
        <v>6.0</v>
      </c>
      <c r="CF121" s="87"/>
      <c r="CG121" s="87">
        <v>952.0</v>
      </c>
      <c r="CH121" s="87">
        <v>9812.0</v>
      </c>
      <c r="CI121" s="87"/>
      <c r="CJ121" s="87">
        <v>3524.0</v>
      </c>
      <c r="CK121" s="87">
        <v>1186.0</v>
      </c>
      <c r="CL121" s="87">
        <v>5987.0</v>
      </c>
      <c r="CM121" s="87">
        <v>10.0</v>
      </c>
      <c r="CN121" s="87"/>
      <c r="CO121" s="87">
        <v>8.0</v>
      </c>
      <c r="CP121" s="87"/>
      <c r="CQ121" s="87">
        <v>49.0</v>
      </c>
      <c r="CR121" s="87"/>
      <c r="CS121" s="87"/>
      <c r="CT121" s="87">
        <v>1535.0</v>
      </c>
      <c r="CU121" s="87">
        <v>523.0</v>
      </c>
      <c r="CV121" s="87">
        <v>67.0</v>
      </c>
      <c r="CW121" s="87">
        <v>213.0</v>
      </c>
      <c r="CX121" s="87">
        <v>45.0</v>
      </c>
      <c r="CY121" s="87">
        <v>127.0</v>
      </c>
      <c r="CZ121" s="87">
        <v>1.0</v>
      </c>
      <c r="DA121" s="87"/>
      <c r="DB121" s="87">
        <v>754.0</v>
      </c>
      <c r="DC121" s="87">
        <v>419.0</v>
      </c>
      <c r="DD121" s="87">
        <v>882.0</v>
      </c>
      <c r="DE121" s="87">
        <v>68.0</v>
      </c>
      <c r="DF121" s="87">
        <v>163.0</v>
      </c>
      <c r="DG121" s="87">
        <v>283.0</v>
      </c>
      <c r="DH121" s="87">
        <v>2514.0</v>
      </c>
      <c r="DI121" s="87">
        <v>2431.0</v>
      </c>
      <c r="DJ121" s="87">
        <v>7.0</v>
      </c>
      <c r="DK121" s="87">
        <v>86.0</v>
      </c>
      <c r="DL121" s="87">
        <v>575.0</v>
      </c>
      <c r="DM121" s="87">
        <v>71.0</v>
      </c>
      <c r="DN121" s="87"/>
      <c r="DO121" s="87">
        <v>1077.0</v>
      </c>
      <c r="DP121" s="87">
        <v>2329.0</v>
      </c>
      <c r="DQ121" s="87">
        <v>529.0</v>
      </c>
      <c r="DR121" s="87">
        <v>1049.0</v>
      </c>
      <c r="DS121" s="87">
        <v>2.0</v>
      </c>
      <c r="DT121" s="87">
        <v>10.0</v>
      </c>
      <c r="DU121" s="87"/>
      <c r="DV121" s="87">
        <v>590.0</v>
      </c>
      <c r="DW121" s="87">
        <v>28.0</v>
      </c>
      <c r="DX121" s="87">
        <v>130.0</v>
      </c>
      <c r="DY121" s="87">
        <v>561.0</v>
      </c>
      <c r="DZ121" s="87">
        <v>50.0</v>
      </c>
      <c r="EA121" s="87">
        <v>12.0</v>
      </c>
      <c r="EB121" s="87">
        <v>251.0</v>
      </c>
      <c r="EC121" s="87">
        <v>257.0</v>
      </c>
      <c r="ED121" s="87">
        <v>3704.0</v>
      </c>
      <c r="EE121" s="87">
        <v>185.0</v>
      </c>
      <c r="EF121" s="87">
        <v>2.0</v>
      </c>
      <c r="EG121" s="87">
        <v>65.0</v>
      </c>
      <c r="EH121" s="87"/>
      <c r="EI121" s="87">
        <v>28.0</v>
      </c>
      <c r="EJ121" s="87">
        <v>10669.0</v>
      </c>
      <c r="EK121" s="88"/>
      <c r="EL121" s="88"/>
      <c r="EM121" s="88"/>
      <c r="EN121" s="88"/>
      <c r="EO121" s="88"/>
      <c r="EP121" s="88"/>
      <c r="EQ121" s="90"/>
    </row>
    <row r="122" ht="12.0" customHeight="1">
      <c r="A122" s="89">
        <v>1.06190434E8</v>
      </c>
      <c r="B122" s="89" t="s">
        <v>1129</v>
      </c>
      <c r="C122" s="89" t="s">
        <v>865</v>
      </c>
      <c r="D122" s="89" t="s">
        <v>1130</v>
      </c>
      <c r="E122" s="89" t="s">
        <v>1131</v>
      </c>
      <c r="F122" s="89" t="s">
        <v>865</v>
      </c>
      <c r="G122" s="89" t="s">
        <v>1132</v>
      </c>
      <c r="H122" s="89" t="s">
        <v>447</v>
      </c>
      <c r="I122" s="89" t="s">
        <v>456</v>
      </c>
      <c r="J122" s="89" t="s">
        <v>469</v>
      </c>
      <c r="K122" s="89" t="s">
        <v>933</v>
      </c>
      <c r="L122" s="89" t="s">
        <v>934</v>
      </c>
      <c r="M122" s="89" t="s">
        <v>1133</v>
      </c>
      <c r="N122" s="89" t="s">
        <v>441</v>
      </c>
      <c r="O122" s="87">
        <v>11218.0</v>
      </c>
      <c r="P122" s="87"/>
      <c r="Q122" s="87"/>
      <c r="R122" s="87"/>
      <c r="S122" s="87"/>
      <c r="T122" s="87"/>
      <c r="U122" s="87">
        <v>4211.0</v>
      </c>
      <c r="V122" s="87">
        <v>7006.0</v>
      </c>
      <c r="W122" s="87">
        <v>1.0</v>
      </c>
      <c r="X122" s="87">
        <v>1949.0</v>
      </c>
      <c r="Y122" s="87">
        <v>53.0</v>
      </c>
      <c r="Z122" s="87">
        <v>936.0</v>
      </c>
      <c r="AA122" s="87">
        <v>1773.0</v>
      </c>
      <c r="AB122" s="87">
        <v>851.0</v>
      </c>
      <c r="AC122" s="87">
        <v>935.0</v>
      </c>
      <c r="AD122" s="87">
        <v>1311.0</v>
      </c>
      <c r="AE122" s="87">
        <v>1620.0</v>
      </c>
      <c r="AF122" s="87">
        <v>1789.0</v>
      </c>
      <c r="AG122" s="87">
        <v>1.0</v>
      </c>
      <c r="AH122" s="87">
        <v>3589.0</v>
      </c>
      <c r="AI122" s="87">
        <v>7571.0</v>
      </c>
      <c r="AJ122" s="87">
        <v>58.0</v>
      </c>
      <c r="AK122" s="87"/>
      <c r="AL122" s="87">
        <v>683.0</v>
      </c>
      <c r="AM122" s="87">
        <v>32.0</v>
      </c>
      <c r="AN122" s="87">
        <v>4606.0</v>
      </c>
      <c r="AO122" s="87">
        <v>2268.0</v>
      </c>
      <c r="AP122" s="87">
        <v>90.0</v>
      </c>
      <c r="AQ122" s="87">
        <v>3386.0</v>
      </c>
      <c r="AR122" s="87">
        <v>153.0</v>
      </c>
      <c r="AS122" s="87">
        <v>7749.0</v>
      </c>
      <c r="AT122" s="87">
        <v>483.0</v>
      </c>
      <c r="AU122" s="87">
        <v>977.0</v>
      </c>
      <c r="AV122" s="87">
        <v>79.0</v>
      </c>
      <c r="AW122" s="87">
        <v>1.0</v>
      </c>
      <c r="AX122" s="87"/>
      <c r="AY122" s="87">
        <v>2.0</v>
      </c>
      <c r="AZ122" s="87"/>
      <c r="BA122" s="87">
        <v>1.0</v>
      </c>
      <c r="BB122" s="87">
        <v>4.0</v>
      </c>
      <c r="BC122" s="87">
        <v>1922.0</v>
      </c>
      <c r="BD122" s="87"/>
      <c r="BE122" s="87">
        <v>5131.0</v>
      </c>
      <c r="BF122" s="87">
        <v>714.0</v>
      </c>
      <c r="BG122" s="87">
        <v>5373.0</v>
      </c>
      <c r="BH122" s="87"/>
      <c r="BI122" s="87">
        <v>42717.0</v>
      </c>
      <c r="BJ122" s="87">
        <v>3721.0</v>
      </c>
      <c r="BK122" s="87">
        <v>3741.0</v>
      </c>
      <c r="BL122" s="87">
        <v>1832.0</v>
      </c>
      <c r="BM122" s="87">
        <v>1922.0</v>
      </c>
      <c r="BN122" s="87"/>
      <c r="BO122" s="87">
        <v>2.0</v>
      </c>
      <c r="BP122" s="87">
        <v>7056.0</v>
      </c>
      <c r="BQ122" s="87">
        <v>331.0</v>
      </c>
      <c r="BR122" s="87">
        <v>22.0</v>
      </c>
      <c r="BS122" s="87">
        <v>641.0</v>
      </c>
      <c r="BT122" s="87"/>
      <c r="BU122" s="87"/>
      <c r="BV122" s="87">
        <v>69.0</v>
      </c>
      <c r="BW122" s="87">
        <v>384.0</v>
      </c>
      <c r="BX122" s="87">
        <v>2496.0</v>
      </c>
      <c r="BY122" s="87"/>
      <c r="BZ122" s="87">
        <v>1.0</v>
      </c>
      <c r="CA122" s="87">
        <v>196.0</v>
      </c>
      <c r="CB122" s="87">
        <v>11.0</v>
      </c>
      <c r="CC122" s="87"/>
      <c r="CD122" s="87">
        <v>2.0</v>
      </c>
      <c r="CE122" s="87">
        <v>9.0</v>
      </c>
      <c r="CF122" s="87"/>
      <c r="CG122" s="87">
        <v>801.0</v>
      </c>
      <c r="CH122" s="87">
        <v>10417.0</v>
      </c>
      <c r="CI122" s="87"/>
      <c r="CJ122" s="87">
        <v>4121.0</v>
      </c>
      <c r="CK122" s="87">
        <v>1568.0</v>
      </c>
      <c r="CL122" s="87">
        <v>5268.0</v>
      </c>
      <c r="CM122" s="87">
        <v>2.0</v>
      </c>
      <c r="CN122" s="87">
        <v>2.0</v>
      </c>
      <c r="CO122" s="87">
        <v>7.0</v>
      </c>
      <c r="CP122" s="87"/>
      <c r="CQ122" s="87">
        <v>238.0</v>
      </c>
      <c r="CR122" s="87">
        <v>12.0</v>
      </c>
      <c r="CS122" s="87"/>
      <c r="CT122" s="87">
        <v>1605.0</v>
      </c>
      <c r="CU122" s="87">
        <v>428.0</v>
      </c>
      <c r="CV122" s="87">
        <v>147.0</v>
      </c>
      <c r="CW122" s="87">
        <v>743.0</v>
      </c>
      <c r="CX122" s="87">
        <v>139.0</v>
      </c>
      <c r="CY122" s="87">
        <v>191.0</v>
      </c>
      <c r="CZ122" s="87">
        <v>2.0</v>
      </c>
      <c r="DA122" s="87">
        <v>3.0</v>
      </c>
      <c r="DB122" s="87">
        <v>1196.0</v>
      </c>
      <c r="DC122" s="87">
        <v>464.0</v>
      </c>
      <c r="DD122" s="87">
        <v>1025.0</v>
      </c>
      <c r="DE122" s="87">
        <v>70.0</v>
      </c>
      <c r="DF122" s="87">
        <v>180.0</v>
      </c>
      <c r="DG122" s="87">
        <v>329.0</v>
      </c>
      <c r="DH122" s="87">
        <v>2077.0</v>
      </c>
      <c r="DI122" s="87">
        <v>1949.0</v>
      </c>
      <c r="DJ122" s="87">
        <v>15.0</v>
      </c>
      <c r="DK122" s="87">
        <v>126.0</v>
      </c>
      <c r="DL122" s="87">
        <v>458.0</v>
      </c>
      <c r="DM122" s="87">
        <v>71.0</v>
      </c>
      <c r="DN122" s="87"/>
      <c r="DO122" s="87">
        <v>1195.0</v>
      </c>
      <c r="DP122" s="87">
        <v>1908.0</v>
      </c>
      <c r="DQ122" s="87">
        <v>601.0</v>
      </c>
      <c r="DR122" s="87">
        <v>1514.0</v>
      </c>
      <c r="DS122" s="87">
        <v>3.0</v>
      </c>
      <c r="DT122" s="87">
        <v>6.0</v>
      </c>
      <c r="DU122" s="87">
        <v>3.0</v>
      </c>
      <c r="DV122" s="87">
        <v>576.0</v>
      </c>
      <c r="DW122" s="87">
        <v>24.0</v>
      </c>
      <c r="DX122" s="87">
        <v>217.0</v>
      </c>
      <c r="DY122" s="87">
        <v>441.0</v>
      </c>
      <c r="DZ122" s="87">
        <v>33.0</v>
      </c>
      <c r="EA122" s="87">
        <v>53.0</v>
      </c>
      <c r="EB122" s="87">
        <v>238.0</v>
      </c>
      <c r="EC122" s="87">
        <v>225.0</v>
      </c>
      <c r="ED122" s="87">
        <v>3833.0</v>
      </c>
      <c r="EE122" s="87">
        <v>348.0</v>
      </c>
      <c r="EF122" s="87"/>
      <c r="EG122" s="87">
        <v>82.0</v>
      </c>
      <c r="EH122" s="87"/>
      <c r="EI122" s="87">
        <v>22.0</v>
      </c>
      <c r="EJ122" s="87">
        <v>11114.0</v>
      </c>
      <c r="EK122" s="88"/>
      <c r="EL122" s="88"/>
      <c r="EM122" s="88"/>
      <c r="EN122" s="88"/>
      <c r="EO122" s="88"/>
      <c r="EP122" s="88"/>
      <c r="EQ122" s="90"/>
    </row>
    <row r="123" ht="12.0" customHeight="1">
      <c r="A123" s="89">
        <v>1.06190449E8</v>
      </c>
      <c r="B123" s="89" t="s">
        <v>1134</v>
      </c>
      <c r="C123" s="89" t="s">
        <v>865</v>
      </c>
      <c r="D123" s="89" t="s">
        <v>1135</v>
      </c>
      <c r="E123" s="89" t="s">
        <v>1136</v>
      </c>
      <c r="F123" s="89" t="s">
        <v>1137</v>
      </c>
      <c r="G123" s="89" t="s">
        <v>1138</v>
      </c>
      <c r="H123" s="89" t="s">
        <v>475</v>
      </c>
      <c r="I123" s="89" t="s">
        <v>456</v>
      </c>
      <c r="J123" s="89" t="s">
        <v>437</v>
      </c>
      <c r="K123" s="89" t="s">
        <v>777</v>
      </c>
      <c r="L123" s="89" t="s">
        <v>1079</v>
      </c>
      <c r="M123" s="89" t="s">
        <v>1139</v>
      </c>
      <c r="N123" s="89" t="s">
        <v>441</v>
      </c>
      <c r="O123" s="87">
        <v>1311.0</v>
      </c>
      <c r="P123" s="87"/>
      <c r="Q123" s="87"/>
      <c r="R123" s="87"/>
      <c r="S123" s="87"/>
      <c r="T123" s="87"/>
      <c r="U123" s="87">
        <v>722.0</v>
      </c>
      <c r="V123" s="87">
        <v>589.0</v>
      </c>
      <c r="W123" s="87"/>
      <c r="X123" s="87"/>
      <c r="Y123" s="87"/>
      <c r="Z123" s="87">
        <v>23.0</v>
      </c>
      <c r="AA123" s="87">
        <v>43.0</v>
      </c>
      <c r="AB123" s="87">
        <v>62.0</v>
      </c>
      <c r="AC123" s="87">
        <v>142.0</v>
      </c>
      <c r="AD123" s="87">
        <v>322.0</v>
      </c>
      <c r="AE123" s="87">
        <v>379.0</v>
      </c>
      <c r="AF123" s="87">
        <v>340.0</v>
      </c>
      <c r="AG123" s="87"/>
      <c r="AH123" s="87">
        <v>266.0</v>
      </c>
      <c r="AI123" s="87">
        <v>1029.0</v>
      </c>
      <c r="AJ123" s="87">
        <v>16.0</v>
      </c>
      <c r="AK123" s="87"/>
      <c r="AL123" s="87">
        <v>171.0</v>
      </c>
      <c r="AM123" s="87">
        <v>11.0</v>
      </c>
      <c r="AN123" s="87">
        <v>88.0</v>
      </c>
      <c r="AO123" s="87">
        <v>816.0</v>
      </c>
      <c r="AP123" s="87">
        <v>10.0</v>
      </c>
      <c r="AQ123" s="87">
        <v>215.0</v>
      </c>
      <c r="AR123" s="87"/>
      <c r="AS123" s="87">
        <v>2.0</v>
      </c>
      <c r="AT123" s="87">
        <v>2.0</v>
      </c>
      <c r="AU123" s="87">
        <v>1255.0</v>
      </c>
      <c r="AV123" s="87"/>
      <c r="AW123" s="87">
        <v>52.0</v>
      </c>
      <c r="AX123" s="87"/>
      <c r="AY123" s="87"/>
      <c r="AZ123" s="87"/>
      <c r="BA123" s="87"/>
      <c r="BB123" s="87"/>
      <c r="BC123" s="87"/>
      <c r="BD123" s="87"/>
      <c r="BE123" s="87"/>
      <c r="BF123" s="87"/>
      <c r="BG123" s="87">
        <v>1311.0</v>
      </c>
      <c r="BH123" s="87"/>
      <c r="BI123" s="87">
        <v>49070.0</v>
      </c>
      <c r="BJ123" s="87"/>
      <c r="BK123" s="87"/>
      <c r="BL123" s="87">
        <v>1311.0</v>
      </c>
      <c r="BM123" s="87"/>
      <c r="BN123" s="87"/>
      <c r="BO123" s="87"/>
      <c r="BP123" s="87">
        <v>48.0</v>
      </c>
      <c r="BQ123" s="87">
        <v>151.0</v>
      </c>
      <c r="BR123" s="87">
        <v>17.0</v>
      </c>
      <c r="BS123" s="87">
        <v>529.0</v>
      </c>
      <c r="BT123" s="87"/>
      <c r="BU123" s="87">
        <v>1.0</v>
      </c>
      <c r="BV123" s="87">
        <v>21.0</v>
      </c>
      <c r="BW123" s="87">
        <v>337.0</v>
      </c>
      <c r="BX123" s="87">
        <v>170.0</v>
      </c>
      <c r="BY123" s="87"/>
      <c r="BZ123" s="87"/>
      <c r="CA123" s="87">
        <v>36.0</v>
      </c>
      <c r="CB123" s="87"/>
      <c r="CC123" s="87"/>
      <c r="CD123" s="87"/>
      <c r="CE123" s="87">
        <v>1.0</v>
      </c>
      <c r="CF123" s="87"/>
      <c r="CG123" s="87">
        <v>20.0</v>
      </c>
      <c r="CH123" s="87">
        <v>1291.0</v>
      </c>
      <c r="CI123" s="87"/>
      <c r="CJ123" s="87">
        <v>786.0</v>
      </c>
      <c r="CK123" s="87">
        <v>157.0</v>
      </c>
      <c r="CL123" s="87">
        <v>319.0</v>
      </c>
      <c r="CM123" s="87">
        <v>1.0</v>
      </c>
      <c r="CN123" s="87"/>
      <c r="CO123" s="87">
        <v>46.0</v>
      </c>
      <c r="CP123" s="87"/>
      <c r="CQ123" s="87">
        <v>2.0</v>
      </c>
      <c r="CR123" s="87"/>
      <c r="CS123" s="87"/>
      <c r="CT123" s="87">
        <v>140.0</v>
      </c>
      <c r="CU123" s="87">
        <v>13.0</v>
      </c>
      <c r="CV123" s="87">
        <v>5.0</v>
      </c>
      <c r="CW123" s="87">
        <v>37.0</v>
      </c>
      <c r="CX123" s="87">
        <v>2.0</v>
      </c>
      <c r="CY123" s="87">
        <v>16.0</v>
      </c>
      <c r="CZ123" s="87"/>
      <c r="DA123" s="87"/>
      <c r="DB123" s="87">
        <v>61.0</v>
      </c>
      <c r="DC123" s="87">
        <v>677.0</v>
      </c>
      <c r="DD123" s="87">
        <v>65.0</v>
      </c>
      <c r="DE123" s="87">
        <v>45.0</v>
      </c>
      <c r="DF123" s="87">
        <v>30.0</v>
      </c>
      <c r="DG123" s="87">
        <v>93.0</v>
      </c>
      <c r="DH123" s="87"/>
      <c r="DI123" s="87"/>
      <c r="DJ123" s="87"/>
      <c r="DK123" s="87">
        <v>4.0</v>
      </c>
      <c r="DL123" s="87">
        <v>89.0</v>
      </c>
      <c r="DM123" s="87">
        <v>34.0</v>
      </c>
      <c r="DN123" s="87"/>
      <c r="DO123" s="87">
        <v>453.0</v>
      </c>
      <c r="DP123" s="87"/>
      <c r="DQ123" s="87">
        <v>200.0</v>
      </c>
      <c r="DR123" s="87">
        <v>89.0</v>
      </c>
      <c r="DS123" s="87"/>
      <c r="DT123" s="87"/>
      <c r="DU123" s="87"/>
      <c r="DV123" s="87">
        <v>2.0</v>
      </c>
      <c r="DW123" s="87"/>
      <c r="DX123" s="87">
        <v>43.0</v>
      </c>
      <c r="DY123" s="87">
        <v>29.0</v>
      </c>
      <c r="DZ123" s="87"/>
      <c r="EA123" s="87">
        <v>1.0</v>
      </c>
      <c r="EB123" s="87">
        <v>27.0</v>
      </c>
      <c r="EC123" s="87">
        <v>1.0</v>
      </c>
      <c r="ED123" s="87">
        <v>429.0</v>
      </c>
      <c r="EE123" s="87">
        <v>37.0</v>
      </c>
      <c r="EF123" s="87"/>
      <c r="EG123" s="87">
        <v>22.0</v>
      </c>
      <c r="EH123" s="87"/>
      <c r="EI123" s="87">
        <v>5.0</v>
      </c>
      <c r="EJ123" s="87">
        <v>1284.0</v>
      </c>
      <c r="EK123" s="88"/>
      <c r="EL123" s="88"/>
      <c r="EM123" s="88"/>
      <c r="EN123" s="88"/>
      <c r="EO123" s="88"/>
      <c r="EP123" s="88"/>
      <c r="EQ123" s="90"/>
    </row>
    <row r="124" ht="12.0" customHeight="1">
      <c r="A124" s="89">
        <v>1.06190462E8</v>
      </c>
      <c r="B124" s="89" t="s">
        <v>1140</v>
      </c>
      <c r="C124" s="89" t="s">
        <v>865</v>
      </c>
      <c r="D124" s="89" t="s">
        <v>1141</v>
      </c>
      <c r="E124" s="89" t="s">
        <v>1142</v>
      </c>
      <c r="F124" s="89" t="s">
        <v>1103</v>
      </c>
      <c r="G124" s="89" t="s">
        <v>1143</v>
      </c>
      <c r="H124" s="89" t="s">
        <v>475</v>
      </c>
      <c r="I124" s="89" t="s">
        <v>456</v>
      </c>
      <c r="J124" s="89" t="s">
        <v>437</v>
      </c>
      <c r="K124" s="89" t="s">
        <v>504</v>
      </c>
      <c r="L124" s="89" t="s">
        <v>1105</v>
      </c>
      <c r="M124" s="89" t="s">
        <v>1106</v>
      </c>
      <c r="N124" s="89" t="s">
        <v>441</v>
      </c>
      <c r="O124" s="87"/>
      <c r="P124" s="87"/>
      <c r="Q124" s="87">
        <v>2781.0</v>
      </c>
      <c r="R124" s="87">
        <v>189.0</v>
      </c>
      <c r="S124" s="87"/>
      <c r="T124" s="87"/>
      <c r="U124" s="87">
        <v>1661.0</v>
      </c>
      <c r="V124" s="87">
        <v>1309.0</v>
      </c>
      <c r="W124" s="87"/>
      <c r="X124" s="87"/>
      <c r="Y124" s="87">
        <v>183.0</v>
      </c>
      <c r="Z124" s="87">
        <v>1057.0</v>
      </c>
      <c r="AA124" s="87">
        <v>702.0</v>
      </c>
      <c r="AB124" s="87">
        <v>509.0</v>
      </c>
      <c r="AC124" s="87">
        <v>346.0</v>
      </c>
      <c r="AD124" s="87">
        <v>158.0</v>
      </c>
      <c r="AE124" s="87">
        <v>13.0</v>
      </c>
      <c r="AF124" s="87"/>
      <c r="AG124" s="87">
        <v>2.0</v>
      </c>
      <c r="AH124" s="87">
        <v>661.0</v>
      </c>
      <c r="AI124" s="87">
        <v>2304.0</v>
      </c>
      <c r="AJ124" s="87">
        <v>5.0</v>
      </c>
      <c r="AK124" s="87">
        <v>11.0</v>
      </c>
      <c r="AL124" s="87">
        <v>239.0</v>
      </c>
      <c r="AM124" s="87">
        <v>12.0</v>
      </c>
      <c r="AN124" s="87">
        <v>435.0</v>
      </c>
      <c r="AO124" s="87">
        <v>1472.0</v>
      </c>
      <c r="AP124" s="87">
        <v>11.0</v>
      </c>
      <c r="AQ124" s="87">
        <v>777.0</v>
      </c>
      <c r="AR124" s="87">
        <v>13.0</v>
      </c>
      <c r="AS124" s="87">
        <v>868.0</v>
      </c>
      <c r="AT124" s="87">
        <v>19.0</v>
      </c>
      <c r="AU124" s="87">
        <v>1881.0</v>
      </c>
      <c r="AV124" s="87"/>
      <c r="AW124" s="87">
        <v>6.0</v>
      </c>
      <c r="AX124" s="87">
        <v>12.0</v>
      </c>
      <c r="AY124" s="87"/>
      <c r="AZ124" s="87"/>
      <c r="BA124" s="87">
        <v>180.0</v>
      </c>
      <c r="BB124" s="87">
        <v>4.0</v>
      </c>
      <c r="BC124" s="87"/>
      <c r="BD124" s="87"/>
      <c r="BE124" s="87">
        <v>4.0</v>
      </c>
      <c r="BF124" s="87">
        <v>1857.0</v>
      </c>
      <c r="BG124" s="87">
        <v>1109.0</v>
      </c>
      <c r="BH124" s="87"/>
      <c r="BI124" s="87">
        <v>32653.0</v>
      </c>
      <c r="BJ124" s="87">
        <v>708.0</v>
      </c>
      <c r="BK124" s="87">
        <v>2035.0</v>
      </c>
      <c r="BL124" s="87">
        <v>227.0</v>
      </c>
      <c r="BM124" s="87"/>
      <c r="BN124" s="87"/>
      <c r="BO124" s="87"/>
      <c r="BP124" s="87">
        <v>2271.0</v>
      </c>
      <c r="BQ124" s="87">
        <v>23.0</v>
      </c>
      <c r="BR124" s="87">
        <v>162.0</v>
      </c>
      <c r="BS124" s="87">
        <v>41.0</v>
      </c>
      <c r="BT124" s="87">
        <v>332.0</v>
      </c>
      <c r="BU124" s="87">
        <v>3.0</v>
      </c>
      <c r="BV124" s="87">
        <v>98.0</v>
      </c>
      <c r="BW124" s="87"/>
      <c r="BX124" s="87"/>
      <c r="BY124" s="87"/>
      <c r="BZ124" s="87"/>
      <c r="CA124" s="87"/>
      <c r="CB124" s="87">
        <v>5.0</v>
      </c>
      <c r="CC124" s="87"/>
      <c r="CD124" s="87">
        <v>35.0</v>
      </c>
      <c r="CE124" s="87"/>
      <c r="CF124" s="87"/>
      <c r="CG124" s="87"/>
      <c r="CH124" s="87">
        <v>2970.0</v>
      </c>
      <c r="CI124" s="87"/>
      <c r="CJ124" s="87">
        <v>506.0</v>
      </c>
      <c r="CK124" s="87">
        <v>50.0</v>
      </c>
      <c r="CL124" s="87">
        <v>1482.0</v>
      </c>
      <c r="CM124" s="87"/>
      <c r="CN124" s="87">
        <v>358.0</v>
      </c>
      <c r="CO124" s="87">
        <v>90.0</v>
      </c>
      <c r="CP124" s="87">
        <v>249.0</v>
      </c>
      <c r="CQ124" s="87">
        <v>40.0</v>
      </c>
      <c r="CR124" s="87">
        <v>195.0</v>
      </c>
      <c r="CS124" s="87"/>
      <c r="CT124" s="87"/>
      <c r="CU124" s="87"/>
      <c r="CV124" s="87"/>
      <c r="CW124" s="87"/>
      <c r="CX124" s="87">
        <v>2961.0</v>
      </c>
      <c r="CY124" s="87">
        <v>3.0</v>
      </c>
      <c r="CZ124" s="87"/>
      <c r="DA124" s="87"/>
      <c r="DB124" s="87"/>
      <c r="DC124" s="87"/>
      <c r="DD124" s="87"/>
      <c r="DE124" s="87"/>
      <c r="DF124" s="87"/>
      <c r="DG124" s="87"/>
      <c r="DH124" s="87"/>
      <c r="DI124" s="87"/>
      <c r="DJ124" s="87"/>
      <c r="DK124" s="87"/>
      <c r="DL124" s="87"/>
      <c r="DM124" s="87">
        <v>4.0</v>
      </c>
      <c r="DN124" s="87">
        <v>2.0</v>
      </c>
      <c r="DO124" s="87">
        <v>325.0</v>
      </c>
      <c r="DP124" s="87"/>
      <c r="DQ124" s="87"/>
      <c r="DR124" s="87"/>
      <c r="DS124" s="87"/>
      <c r="DT124" s="87"/>
      <c r="DU124" s="87"/>
      <c r="DV124" s="87"/>
      <c r="DW124" s="87"/>
      <c r="DX124" s="87"/>
      <c r="DY124" s="87"/>
      <c r="DZ124" s="87"/>
      <c r="EA124" s="87"/>
      <c r="EB124" s="87"/>
      <c r="EC124" s="87"/>
      <c r="ED124" s="87">
        <v>2645.0</v>
      </c>
      <c r="EE124" s="87"/>
      <c r="EF124" s="87">
        <v>5.0</v>
      </c>
      <c r="EG124" s="87">
        <v>177.0</v>
      </c>
      <c r="EH124" s="87"/>
      <c r="EI124" s="87">
        <v>142.0</v>
      </c>
      <c r="EJ124" s="87">
        <v>2646.0</v>
      </c>
      <c r="EK124" s="88"/>
      <c r="EL124" s="88"/>
      <c r="EM124" s="88"/>
      <c r="EN124" s="88"/>
      <c r="EO124" s="88"/>
      <c r="EP124" s="88"/>
      <c r="EQ124" s="90"/>
    </row>
    <row r="125" ht="12.0" customHeight="1">
      <c r="A125" s="89">
        <v>1.0619047E8</v>
      </c>
      <c r="B125" s="89" t="s">
        <v>1144</v>
      </c>
      <c r="C125" s="89" t="s">
        <v>865</v>
      </c>
      <c r="D125" s="89" t="s">
        <v>1145</v>
      </c>
      <c r="E125" s="89" t="s">
        <v>1146</v>
      </c>
      <c r="F125" s="89" t="s">
        <v>1018</v>
      </c>
      <c r="G125" s="89" t="s">
        <v>1147</v>
      </c>
      <c r="H125" s="89" t="s">
        <v>447</v>
      </c>
      <c r="I125" s="89" t="s">
        <v>456</v>
      </c>
      <c r="J125" s="89" t="s">
        <v>448</v>
      </c>
      <c r="K125" s="89" t="s">
        <v>763</v>
      </c>
      <c r="L125" s="89" t="s">
        <v>997</v>
      </c>
      <c r="M125" s="89" t="s">
        <v>1148</v>
      </c>
      <c r="N125" s="89" t="s">
        <v>441</v>
      </c>
      <c r="O125" s="87">
        <v>18376.0</v>
      </c>
      <c r="P125" s="87">
        <v>1143.0</v>
      </c>
      <c r="Q125" s="87"/>
      <c r="R125" s="87"/>
      <c r="S125" s="87"/>
      <c r="T125" s="87"/>
      <c r="U125" s="87">
        <v>7918.0</v>
      </c>
      <c r="V125" s="87">
        <v>11600.0</v>
      </c>
      <c r="W125" s="87">
        <v>1.0</v>
      </c>
      <c r="X125" s="87">
        <v>3067.0</v>
      </c>
      <c r="Y125" s="87">
        <v>161.0</v>
      </c>
      <c r="Z125" s="87">
        <v>1181.0</v>
      </c>
      <c r="AA125" s="87">
        <v>2659.0</v>
      </c>
      <c r="AB125" s="87">
        <v>1336.0</v>
      </c>
      <c r="AC125" s="87">
        <v>1893.0</v>
      </c>
      <c r="AD125" s="87">
        <v>2671.0</v>
      </c>
      <c r="AE125" s="87">
        <v>2875.0</v>
      </c>
      <c r="AF125" s="87">
        <v>3675.0</v>
      </c>
      <c r="AG125" s="87">
        <v>1.0</v>
      </c>
      <c r="AH125" s="87">
        <v>6088.0</v>
      </c>
      <c r="AI125" s="87">
        <v>12999.0</v>
      </c>
      <c r="AJ125" s="87">
        <v>432.0</v>
      </c>
      <c r="AK125" s="87">
        <v>54.0</v>
      </c>
      <c r="AL125" s="87">
        <v>2090.0</v>
      </c>
      <c r="AM125" s="87">
        <v>172.0</v>
      </c>
      <c r="AN125" s="87">
        <v>2970.0</v>
      </c>
      <c r="AO125" s="87">
        <v>8581.0</v>
      </c>
      <c r="AP125" s="87">
        <v>400.0</v>
      </c>
      <c r="AQ125" s="87">
        <v>4665.0</v>
      </c>
      <c r="AR125" s="87">
        <v>587.0</v>
      </c>
      <c r="AS125" s="87">
        <v>14845.0</v>
      </c>
      <c r="AT125" s="87">
        <v>43.0</v>
      </c>
      <c r="AU125" s="87">
        <v>487.0</v>
      </c>
      <c r="AV125" s="87">
        <v>157.0</v>
      </c>
      <c r="AW125" s="87">
        <v>30.0</v>
      </c>
      <c r="AX125" s="87">
        <v>1287.0</v>
      </c>
      <c r="AY125" s="87"/>
      <c r="AZ125" s="87"/>
      <c r="BA125" s="87">
        <v>2.0</v>
      </c>
      <c r="BB125" s="87">
        <v>2.0</v>
      </c>
      <c r="BC125" s="87">
        <v>2666.0</v>
      </c>
      <c r="BD125" s="87"/>
      <c r="BE125" s="87">
        <v>11368.0</v>
      </c>
      <c r="BF125" s="87">
        <v>112.0</v>
      </c>
      <c r="BG125" s="87">
        <v>8039.0</v>
      </c>
      <c r="BH125" s="87"/>
      <c r="BI125" s="87">
        <v>96062.0</v>
      </c>
      <c r="BJ125" s="87">
        <v>11435.0</v>
      </c>
      <c r="BK125" s="87">
        <v>1623.0</v>
      </c>
      <c r="BL125" s="87">
        <v>3786.0</v>
      </c>
      <c r="BM125" s="87">
        <v>2666.0</v>
      </c>
      <c r="BN125" s="87"/>
      <c r="BO125" s="87">
        <v>9.0</v>
      </c>
      <c r="BP125" s="87">
        <v>12782.0</v>
      </c>
      <c r="BQ125" s="87">
        <v>604.0</v>
      </c>
      <c r="BR125" s="87">
        <v>140.0</v>
      </c>
      <c r="BS125" s="87">
        <v>1817.0</v>
      </c>
      <c r="BT125" s="87">
        <v>29.0</v>
      </c>
      <c r="BU125" s="87">
        <v>5.0</v>
      </c>
      <c r="BV125" s="87">
        <v>291.0</v>
      </c>
      <c r="BW125" s="87">
        <v>573.0</v>
      </c>
      <c r="BX125" s="87">
        <v>2795.0</v>
      </c>
      <c r="BY125" s="87"/>
      <c r="BZ125" s="87">
        <v>7.0</v>
      </c>
      <c r="CA125" s="87">
        <v>452.0</v>
      </c>
      <c r="CB125" s="87">
        <v>16.0</v>
      </c>
      <c r="CC125" s="87">
        <v>5.0</v>
      </c>
      <c r="CD125" s="87">
        <v>2.0</v>
      </c>
      <c r="CE125" s="87"/>
      <c r="CF125" s="87">
        <v>1.0</v>
      </c>
      <c r="CG125" s="87">
        <v>778.0</v>
      </c>
      <c r="CH125" s="87">
        <v>18741.0</v>
      </c>
      <c r="CI125" s="87"/>
      <c r="CJ125" s="87">
        <v>7209.0</v>
      </c>
      <c r="CK125" s="87">
        <v>3468.0</v>
      </c>
      <c r="CL125" s="87">
        <v>8336.0</v>
      </c>
      <c r="CM125" s="87">
        <v>79.0</v>
      </c>
      <c r="CN125" s="87"/>
      <c r="CO125" s="87">
        <v>174.0</v>
      </c>
      <c r="CP125" s="87"/>
      <c r="CQ125" s="87">
        <v>240.0</v>
      </c>
      <c r="CR125" s="87">
        <v>13.0</v>
      </c>
      <c r="CS125" s="87"/>
      <c r="CT125" s="87">
        <v>1800.0</v>
      </c>
      <c r="CU125" s="87">
        <v>678.0</v>
      </c>
      <c r="CV125" s="87">
        <v>131.0</v>
      </c>
      <c r="CW125" s="87">
        <v>715.0</v>
      </c>
      <c r="CX125" s="87">
        <v>178.0</v>
      </c>
      <c r="CY125" s="87">
        <v>587.0</v>
      </c>
      <c r="CZ125" s="87">
        <v>11.0</v>
      </c>
      <c r="DA125" s="87">
        <v>32.0</v>
      </c>
      <c r="DB125" s="87">
        <v>3042.0</v>
      </c>
      <c r="DC125" s="87">
        <v>894.0</v>
      </c>
      <c r="DD125" s="87">
        <v>1719.0</v>
      </c>
      <c r="DE125" s="87">
        <v>294.0</v>
      </c>
      <c r="DF125" s="87">
        <v>658.0</v>
      </c>
      <c r="DG125" s="87">
        <v>1008.0</v>
      </c>
      <c r="DH125" s="87">
        <v>2905.0</v>
      </c>
      <c r="DI125" s="87">
        <v>2782.0</v>
      </c>
      <c r="DJ125" s="87">
        <v>26.0</v>
      </c>
      <c r="DK125" s="87">
        <v>353.0</v>
      </c>
      <c r="DL125" s="87">
        <v>1283.0</v>
      </c>
      <c r="DM125" s="87">
        <v>422.0</v>
      </c>
      <c r="DN125" s="87">
        <v>1.0</v>
      </c>
      <c r="DO125" s="87">
        <v>1523.0</v>
      </c>
      <c r="DP125" s="87">
        <v>2638.0</v>
      </c>
      <c r="DQ125" s="87">
        <v>1810.0</v>
      </c>
      <c r="DR125" s="87">
        <v>1658.0</v>
      </c>
      <c r="DS125" s="87">
        <v>7.0</v>
      </c>
      <c r="DT125" s="87">
        <v>25.0</v>
      </c>
      <c r="DU125" s="87">
        <v>1.0</v>
      </c>
      <c r="DV125" s="87">
        <v>817.0</v>
      </c>
      <c r="DW125" s="87">
        <v>74.0</v>
      </c>
      <c r="DX125" s="87">
        <v>353.0</v>
      </c>
      <c r="DY125" s="87">
        <v>862.0</v>
      </c>
      <c r="DZ125" s="87">
        <v>371.0</v>
      </c>
      <c r="EA125" s="87">
        <v>56.0</v>
      </c>
      <c r="EB125" s="87">
        <v>235.0</v>
      </c>
      <c r="EC125" s="87">
        <v>141.0</v>
      </c>
      <c r="ED125" s="87">
        <v>8562.0</v>
      </c>
      <c r="EE125" s="87">
        <v>386.0</v>
      </c>
      <c r="EF125" s="87">
        <v>9.0</v>
      </c>
      <c r="EG125" s="87">
        <v>254.0</v>
      </c>
      <c r="EH125" s="87">
        <v>23.0</v>
      </c>
      <c r="EI125" s="87">
        <v>149.0</v>
      </c>
      <c r="EJ125" s="87">
        <v>19084.0</v>
      </c>
      <c r="EK125" s="88"/>
      <c r="EL125" s="88"/>
      <c r="EM125" s="88"/>
      <c r="EN125" s="88"/>
      <c r="EO125" s="88"/>
      <c r="EP125" s="88"/>
      <c r="EQ125" s="90"/>
    </row>
    <row r="126" ht="12.0" customHeight="1">
      <c r="A126" s="89">
        <v>1.061905E8</v>
      </c>
      <c r="B126" s="89" t="s">
        <v>1149</v>
      </c>
      <c r="C126" s="89" t="s">
        <v>865</v>
      </c>
      <c r="D126" s="89" t="s">
        <v>1150</v>
      </c>
      <c r="E126" s="89" t="s">
        <v>1151</v>
      </c>
      <c r="F126" s="89" t="s">
        <v>1152</v>
      </c>
      <c r="G126" s="89" t="s">
        <v>1153</v>
      </c>
      <c r="H126" s="89" t="s">
        <v>447</v>
      </c>
      <c r="I126" s="89" t="s">
        <v>456</v>
      </c>
      <c r="J126" s="89" t="s">
        <v>437</v>
      </c>
      <c r="K126" s="89" t="s">
        <v>763</v>
      </c>
      <c r="L126" s="89" t="s">
        <v>955</v>
      </c>
      <c r="M126" s="89" t="s">
        <v>1053</v>
      </c>
      <c r="N126" s="89" t="s">
        <v>441</v>
      </c>
      <c r="O126" s="87">
        <v>4664.0</v>
      </c>
      <c r="P126" s="87"/>
      <c r="Q126" s="87">
        <v>116.0</v>
      </c>
      <c r="R126" s="87"/>
      <c r="S126" s="87"/>
      <c r="T126" s="87"/>
      <c r="U126" s="87">
        <v>2380.0</v>
      </c>
      <c r="V126" s="87">
        <v>2399.0</v>
      </c>
      <c r="W126" s="87">
        <v>1.0</v>
      </c>
      <c r="X126" s="87"/>
      <c r="Y126" s="87">
        <v>15.0</v>
      </c>
      <c r="Z126" s="87">
        <v>214.0</v>
      </c>
      <c r="AA126" s="87">
        <v>389.0</v>
      </c>
      <c r="AB126" s="87">
        <v>497.0</v>
      </c>
      <c r="AC126" s="87">
        <v>718.0</v>
      </c>
      <c r="AD126" s="87">
        <v>864.0</v>
      </c>
      <c r="AE126" s="87">
        <v>891.0</v>
      </c>
      <c r="AF126" s="87">
        <v>1191.0</v>
      </c>
      <c r="AG126" s="87">
        <v>1.0</v>
      </c>
      <c r="AH126" s="87">
        <v>769.0</v>
      </c>
      <c r="AI126" s="87">
        <v>3961.0</v>
      </c>
      <c r="AJ126" s="87">
        <v>50.0</v>
      </c>
      <c r="AK126" s="87">
        <v>15.0</v>
      </c>
      <c r="AL126" s="87">
        <v>185.0</v>
      </c>
      <c r="AM126" s="87">
        <v>12.0</v>
      </c>
      <c r="AN126" s="87">
        <v>1305.0</v>
      </c>
      <c r="AO126" s="87">
        <v>2816.0</v>
      </c>
      <c r="AP126" s="87">
        <v>51.0</v>
      </c>
      <c r="AQ126" s="87">
        <v>321.0</v>
      </c>
      <c r="AR126" s="87">
        <v>75.0</v>
      </c>
      <c r="AS126" s="87">
        <v>4383.0</v>
      </c>
      <c r="AT126" s="87">
        <v>63.0</v>
      </c>
      <c r="AU126" s="87">
        <v>31.0</v>
      </c>
      <c r="AV126" s="87">
        <v>293.0</v>
      </c>
      <c r="AW126" s="87">
        <v>8.0</v>
      </c>
      <c r="AX126" s="87"/>
      <c r="AY126" s="87">
        <v>1.0</v>
      </c>
      <c r="AZ126" s="87"/>
      <c r="BA126" s="87">
        <v>1.0</v>
      </c>
      <c r="BB126" s="87"/>
      <c r="BC126" s="87"/>
      <c r="BD126" s="87"/>
      <c r="BE126" s="87">
        <v>4016.0</v>
      </c>
      <c r="BF126" s="87">
        <v>1.0</v>
      </c>
      <c r="BG126" s="87">
        <v>762.0</v>
      </c>
      <c r="BH126" s="87">
        <v>1.0</v>
      </c>
      <c r="BI126" s="87">
        <v>21538.0</v>
      </c>
      <c r="BJ126" s="87">
        <v>4021.0</v>
      </c>
      <c r="BK126" s="87">
        <v>6.0</v>
      </c>
      <c r="BL126" s="87">
        <v>753.0</v>
      </c>
      <c r="BM126" s="87"/>
      <c r="BN126" s="87"/>
      <c r="BO126" s="87"/>
      <c r="BP126" s="87">
        <v>2384.0</v>
      </c>
      <c r="BQ126" s="87">
        <v>308.0</v>
      </c>
      <c r="BR126" s="87">
        <v>211.0</v>
      </c>
      <c r="BS126" s="87">
        <v>630.0</v>
      </c>
      <c r="BT126" s="87">
        <v>28.0</v>
      </c>
      <c r="BU126" s="87"/>
      <c r="BV126" s="87">
        <v>214.0</v>
      </c>
      <c r="BW126" s="87">
        <v>124.0</v>
      </c>
      <c r="BX126" s="87">
        <v>778.0</v>
      </c>
      <c r="BY126" s="87"/>
      <c r="BZ126" s="87"/>
      <c r="CA126" s="87">
        <v>81.0</v>
      </c>
      <c r="CB126" s="87">
        <v>22.0</v>
      </c>
      <c r="CC126" s="87"/>
      <c r="CD126" s="87"/>
      <c r="CE126" s="87"/>
      <c r="CF126" s="87"/>
      <c r="CG126" s="87">
        <v>286.0</v>
      </c>
      <c r="CH126" s="87">
        <v>4494.0</v>
      </c>
      <c r="CI126" s="87"/>
      <c r="CJ126" s="87">
        <v>2599.0</v>
      </c>
      <c r="CK126" s="87">
        <v>708.0</v>
      </c>
      <c r="CL126" s="87">
        <v>1238.0</v>
      </c>
      <c r="CM126" s="87">
        <v>151.0</v>
      </c>
      <c r="CN126" s="87"/>
      <c r="CO126" s="87">
        <v>14.0</v>
      </c>
      <c r="CP126" s="87"/>
      <c r="CQ126" s="87">
        <v>70.0</v>
      </c>
      <c r="CR126" s="87"/>
      <c r="CS126" s="87"/>
      <c r="CT126" s="87">
        <v>912.0</v>
      </c>
      <c r="CU126" s="87">
        <v>103.0</v>
      </c>
      <c r="CV126" s="87">
        <v>52.0</v>
      </c>
      <c r="CW126" s="87">
        <v>413.0</v>
      </c>
      <c r="CX126" s="87">
        <v>123.0</v>
      </c>
      <c r="CY126" s="87">
        <v>136.0</v>
      </c>
      <c r="CZ126" s="87">
        <v>4.0</v>
      </c>
      <c r="DA126" s="87">
        <v>4.0</v>
      </c>
      <c r="DB126" s="87">
        <v>560.0</v>
      </c>
      <c r="DC126" s="87">
        <v>293.0</v>
      </c>
      <c r="DD126" s="87">
        <v>647.0</v>
      </c>
      <c r="DE126" s="87">
        <v>100.0</v>
      </c>
      <c r="DF126" s="87">
        <v>604.0</v>
      </c>
      <c r="DG126" s="87">
        <v>288.0</v>
      </c>
      <c r="DH126" s="87">
        <v>14.0</v>
      </c>
      <c r="DI126" s="87"/>
      <c r="DJ126" s="87">
        <v>2.0</v>
      </c>
      <c r="DK126" s="87">
        <v>84.0</v>
      </c>
      <c r="DL126" s="87">
        <v>433.0</v>
      </c>
      <c r="DM126" s="87">
        <v>8.0</v>
      </c>
      <c r="DN126" s="87"/>
      <c r="DO126" s="87">
        <v>209.0</v>
      </c>
      <c r="DP126" s="87">
        <v>1.0</v>
      </c>
      <c r="DQ126" s="87">
        <v>326.0</v>
      </c>
      <c r="DR126" s="87">
        <v>738.0</v>
      </c>
      <c r="DS126" s="87">
        <v>3.0</v>
      </c>
      <c r="DT126" s="87">
        <v>1.0</v>
      </c>
      <c r="DU126" s="87"/>
      <c r="DV126" s="87">
        <v>15.0</v>
      </c>
      <c r="DW126" s="87">
        <v>15.0</v>
      </c>
      <c r="DX126" s="87">
        <v>96.0</v>
      </c>
      <c r="DY126" s="87">
        <v>718.0</v>
      </c>
      <c r="DZ126" s="87">
        <v>107.0</v>
      </c>
      <c r="EA126" s="87">
        <v>9.0</v>
      </c>
      <c r="EB126" s="87">
        <v>94.0</v>
      </c>
      <c r="EC126" s="87">
        <v>60.0</v>
      </c>
      <c r="ED126" s="87">
        <v>2293.0</v>
      </c>
      <c r="EE126" s="87">
        <v>95.0</v>
      </c>
      <c r="EF126" s="87">
        <v>2.0</v>
      </c>
      <c r="EG126" s="87">
        <v>275.0</v>
      </c>
      <c r="EH126" s="87">
        <v>25.0</v>
      </c>
      <c r="EI126" s="87">
        <v>164.0</v>
      </c>
      <c r="EJ126" s="87">
        <v>4314.0</v>
      </c>
      <c r="EK126" s="88"/>
      <c r="EL126" s="88"/>
      <c r="EM126" s="88"/>
      <c r="EN126" s="88"/>
      <c r="EO126" s="88"/>
      <c r="EP126" s="88"/>
      <c r="EQ126" s="90"/>
    </row>
    <row r="127" ht="12.0" customHeight="1">
      <c r="A127" s="89">
        <v>1.06190517E8</v>
      </c>
      <c r="B127" s="89" t="s">
        <v>1154</v>
      </c>
      <c r="C127" s="89" t="s">
        <v>865</v>
      </c>
      <c r="D127" s="89" t="s">
        <v>1155</v>
      </c>
      <c r="E127" s="89" t="s">
        <v>1156</v>
      </c>
      <c r="F127" s="89" t="s">
        <v>1157</v>
      </c>
      <c r="G127" s="89" t="s">
        <v>1158</v>
      </c>
      <c r="H127" s="89" t="s">
        <v>475</v>
      </c>
      <c r="I127" s="89" t="s">
        <v>456</v>
      </c>
      <c r="J127" s="89" t="s">
        <v>469</v>
      </c>
      <c r="K127" s="89" t="s">
        <v>1041</v>
      </c>
      <c r="L127" s="89" t="s">
        <v>1042</v>
      </c>
      <c r="M127" s="89" t="s">
        <v>1043</v>
      </c>
      <c r="N127" s="89" t="s">
        <v>441</v>
      </c>
      <c r="O127" s="87">
        <v>14302.0</v>
      </c>
      <c r="P127" s="87"/>
      <c r="Q127" s="87"/>
      <c r="R127" s="87"/>
      <c r="S127" s="87">
        <v>2.0</v>
      </c>
      <c r="T127" s="87">
        <v>1.0</v>
      </c>
      <c r="U127" s="87">
        <v>5973.0</v>
      </c>
      <c r="V127" s="87">
        <v>8331.0</v>
      </c>
      <c r="W127" s="87">
        <v>1.0</v>
      </c>
      <c r="X127" s="87">
        <v>3309.0</v>
      </c>
      <c r="Y127" s="87">
        <v>392.0</v>
      </c>
      <c r="Z127" s="87">
        <v>963.0</v>
      </c>
      <c r="AA127" s="87">
        <v>1939.0</v>
      </c>
      <c r="AB127" s="87">
        <v>813.0</v>
      </c>
      <c r="AC127" s="87">
        <v>948.0</v>
      </c>
      <c r="AD127" s="87">
        <v>1543.0</v>
      </c>
      <c r="AE127" s="87">
        <v>1785.0</v>
      </c>
      <c r="AF127" s="87">
        <v>2612.0</v>
      </c>
      <c r="AG127" s="87">
        <v>1.0</v>
      </c>
      <c r="AH127" s="87">
        <v>3335.0</v>
      </c>
      <c r="AI127" s="87">
        <v>10806.0</v>
      </c>
      <c r="AJ127" s="87">
        <v>164.0</v>
      </c>
      <c r="AK127" s="87">
        <v>17.0</v>
      </c>
      <c r="AL127" s="87">
        <v>663.0</v>
      </c>
      <c r="AM127" s="87">
        <v>33.0</v>
      </c>
      <c r="AN127" s="87">
        <v>488.0</v>
      </c>
      <c r="AO127" s="87">
        <v>9314.0</v>
      </c>
      <c r="AP127" s="87">
        <v>147.0</v>
      </c>
      <c r="AQ127" s="87">
        <v>3363.0</v>
      </c>
      <c r="AR127" s="87">
        <v>280.0</v>
      </c>
      <c r="AS127" s="87">
        <v>10715.0</v>
      </c>
      <c r="AT127" s="87">
        <v>29.0</v>
      </c>
      <c r="AU127" s="87">
        <v>657.0</v>
      </c>
      <c r="AV127" s="87">
        <v>455.0</v>
      </c>
      <c r="AW127" s="87">
        <v>11.0</v>
      </c>
      <c r="AX127" s="87">
        <v>26.0</v>
      </c>
      <c r="AY127" s="87">
        <v>1.0</v>
      </c>
      <c r="AZ127" s="87">
        <v>8.0</v>
      </c>
      <c r="BA127" s="87">
        <v>1.0</v>
      </c>
      <c r="BB127" s="87">
        <v>2.0</v>
      </c>
      <c r="BC127" s="87">
        <v>2400.0</v>
      </c>
      <c r="BD127" s="87"/>
      <c r="BE127" s="87">
        <v>7956.0</v>
      </c>
      <c r="BF127" s="87">
        <v>588.0</v>
      </c>
      <c r="BG127" s="87">
        <v>5760.0</v>
      </c>
      <c r="BH127" s="87">
        <v>1.0</v>
      </c>
      <c r="BI127" s="87">
        <v>50121.0</v>
      </c>
      <c r="BJ127" s="87">
        <v>7705.0</v>
      </c>
      <c r="BK127" s="87">
        <v>1424.0</v>
      </c>
      <c r="BL127" s="87">
        <v>2771.0</v>
      </c>
      <c r="BM127" s="87">
        <v>2400.0</v>
      </c>
      <c r="BN127" s="87"/>
      <c r="BO127" s="87">
        <v>5.0</v>
      </c>
      <c r="BP127" s="87">
        <v>9894.0</v>
      </c>
      <c r="BQ127" s="87">
        <v>233.0</v>
      </c>
      <c r="BR127" s="87">
        <v>74.0</v>
      </c>
      <c r="BS127" s="87">
        <v>1341.0</v>
      </c>
      <c r="BT127" s="87">
        <v>80.0</v>
      </c>
      <c r="BU127" s="87"/>
      <c r="BV127" s="87">
        <v>258.0</v>
      </c>
      <c r="BW127" s="87">
        <v>323.0</v>
      </c>
      <c r="BX127" s="87">
        <v>1879.0</v>
      </c>
      <c r="BY127" s="87"/>
      <c r="BZ127" s="87">
        <v>15.0</v>
      </c>
      <c r="CA127" s="87">
        <v>173.0</v>
      </c>
      <c r="CB127" s="87">
        <v>29.0</v>
      </c>
      <c r="CC127" s="87"/>
      <c r="CD127" s="87">
        <v>6.0</v>
      </c>
      <c r="CE127" s="87"/>
      <c r="CF127" s="87"/>
      <c r="CG127" s="87">
        <v>174.0</v>
      </c>
      <c r="CH127" s="87">
        <v>14131.0</v>
      </c>
      <c r="CI127" s="87"/>
      <c r="CJ127" s="87">
        <v>4932.0</v>
      </c>
      <c r="CK127" s="87">
        <v>3367.0</v>
      </c>
      <c r="CL127" s="87">
        <v>5825.0</v>
      </c>
      <c r="CM127" s="87">
        <v>13.0</v>
      </c>
      <c r="CN127" s="87"/>
      <c r="CO127" s="87">
        <v>56.0</v>
      </c>
      <c r="CP127" s="87"/>
      <c r="CQ127" s="87">
        <v>112.0</v>
      </c>
      <c r="CR127" s="87"/>
      <c r="CS127" s="87"/>
      <c r="CT127" s="87">
        <v>1262.0</v>
      </c>
      <c r="CU127" s="87">
        <v>483.0</v>
      </c>
      <c r="CV127" s="87">
        <v>106.0</v>
      </c>
      <c r="CW127" s="87">
        <v>429.0</v>
      </c>
      <c r="CX127" s="87">
        <v>108.0</v>
      </c>
      <c r="CY127" s="87">
        <v>346.0</v>
      </c>
      <c r="CZ127" s="87">
        <v>8.0</v>
      </c>
      <c r="DA127" s="87">
        <v>22.0</v>
      </c>
      <c r="DB127" s="87">
        <v>1841.0</v>
      </c>
      <c r="DC127" s="87">
        <v>857.0</v>
      </c>
      <c r="DD127" s="87">
        <v>1452.0</v>
      </c>
      <c r="DE127" s="87">
        <v>171.0</v>
      </c>
      <c r="DF127" s="87">
        <v>352.0</v>
      </c>
      <c r="DG127" s="87">
        <v>692.0</v>
      </c>
      <c r="DH127" s="87">
        <v>2544.0</v>
      </c>
      <c r="DI127" s="87">
        <v>2501.0</v>
      </c>
      <c r="DJ127" s="87">
        <v>21.0</v>
      </c>
      <c r="DK127" s="87">
        <v>280.0</v>
      </c>
      <c r="DL127" s="87">
        <v>785.0</v>
      </c>
      <c r="DM127" s="87">
        <v>43.0</v>
      </c>
      <c r="DN127" s="87">
        <v>2.0</v>
      </c>
      <c r="DO127" s="87">
        <v>955.0</v>
      </c>
      <c r="DP127" s="87">
        <v>2440.0</v>
      </c>
      <c r="DQ127" s="87">
        <v>1256.0</v>
      </c>
      <c r="DR127" s="87">
        <v>1270.0</v>
      </c>
      <c r="DS127" s="87">
        <v>5.0</v>
      </c>
      <c r="DT127" s="87">
        <v>17.0</v>
      </c>
      <c r="DU127" s="87"/>
      <c r="DV127" s="87">
        <v>718.0</v>
      </c>
      <c r="DW127" s="87">
        <v>36.0</v>
      </c>
      <c r="DX127" s="87">
        <v>170.0</v>
      </c>
      <c r="DY127" s="87">
        <v>562.0</v>
      </c>
      <c r="DZ127" s="87">
        <v>121.0</v>
      </c>
      <c r="EA127" s="87">
        <v>36.0</v>
      </c>
      <c r="EB127" s="87">
        <v>261.0</v>
      </c>
      <c r="EC127" s="87">
        <v>184.0</v>
      </c>
      <c r="ED127" s="87">
        <v>5976.0</v>
      </c>
      <c r="EE127" s="87">
        <v>298.0</v>
      </c>
      <c r="EF127" s="87">
        <v>3.0</v>
      </c>
      <c r="EG127" s="87">
        <v>97.0</v>
      </c>
      <c r="EH127" s="87">
        <v>6.0</v>
      </c>
      <c r="EI127" s="87">
        <v>72.0</v>
      </c>
      <c r="EJ127" s="87">
        <v>14127.0</v>
      </c>
      <c r="EK127" s="88"/>
      <c r="EL127" s="88"/>
      <c r="EM127" s="88"/>
      <c r="EN127" s="88"/>
      <c r="EO127" s="88"/>
      <c r="EP127" s="88"/>
      <c r="EQ127" s="90"/>
    </row>
    <row r="128" ht="12.0" customHeight="1">
      <c r="A128" s="89">
        <v>1.06190521E8</v>
      </c>
      <c r="B128" s="89" t="s">
        <v>1159</v>
      </c>
      <c r="C128" s="89" t="s">
        <v>865</v>
      </c>
      <c r="D128" s="89" t="s">
        <v>1160</v>
      </c>
      <c r="E128" s="89" t="s">
        <v>1161</v>
      </c>
      <c r="F128" s="89" t="s">
        <v>995</v>
      </c>
      <c r="G128" s="89" t="s">
        <v>996</v>
      </c>
      <c r="H128" s="89" t="s">
        <v>696</v>
      </c>
      <c r="I128" s="89" t="s">
        <v>456</v>
      </c>
      <c r="J128" s="89" t="s">
        <v>457</v>
      </c>
      <c r="K128" s="89" t="s">
        <v>954</v>
      </c>
      <c r="L128" s="89" t="s">
        <v>997</v>
      </c>
      <c r="M128" s="89" t="s">
        <v>998</v>
      </c>
      <c r="N128" s="89" t="s">
        <v>441</v>
      </c>
      <c r="O128" s="87">
        <v>5588.0</v>
      </c>
      <c r="P128" s="87">
        <v>83.0</v>
      </c>
      <c r="Q128" s="87"/>
      <c r="R128" s="87"/>
      <c r="S128" s="87"/>
      <c r="T128" s="87"/>
      <c r="U128" s="87">
        <v>2981.0</v>
      </c>
      <c r="V128" s="87">
        <v>2690.0</v>
      </c>
      <c r="W128" s="87"/>
      <c r="X128" s="87"/>
      <c r="Y128" s="87">
        <v>36.0</v>
      </c>
      <c r="Z128" s="87">
        <v>281.0</v>
      </c>
      <c r="AA128" s="87">
        <v>513.0</v>
      </c>
      <c r="AB128" s="87">
        <v>629.0</v>
      </c>
      <c r="AC128" s="87">
        <v>1095.0</v>
      </c>
      <c r="AD128" s="87">
        <v>1430.0</v>
      </c>
      <c r="AE128" s="87">
        <v>955.0</v>
      </c>
      <c r="AF128" s="87">
        <v>732.0</v>
      </c>
      <c r="AG128" s="87"/>
      <c r="AH128" s="87">
        <v>1797.0</v>
      </c>
      <c r="AI128" s="87">
        <v>3838.0</v>
      </c>
      <c r="AJ128" s="87">
        <v>36.0</v>
      </c>
      <c r="AK128" s="87"/>
      <c r="AL128" s="87">
        <v>239.0</v>
      </c>
      <c r="AM128" s="87">
        <v>22.0</v>
      </c>
      <c r="AN128" s="87">
        <v>2804.0</v>
      </c>
      <c r="AO128" s="87">
        <v>1740.0</v>
      </c>
      <c r="AP128" s="87">
        <v>41.0</v>
      </c>
      <c r="AQ128" s="87">
        <v>825.0</v>
      </c>
      <c r="AR128" s="87"/>
      <c r="AS128" s="87">
        <v>5292.0</v>
      </c>
      <c r="AT128" s="87">
        <v>9.0</v>
      </c>
      <c r="AU128" s="87">
        <v>149.0</v>
      </c>
      <c r="AV128" s="87">
        <v>142.0</v>
      </c>
      <c r="AW128" s="87">
        <v>1.0</v>
      </c>
      <c r="AX128" s="87">
        <v>33.0</v>
      </c>
      <c r="AY128" s="87">
        <v>33.0</v>
      </c>
      <c r="AZ128" s="87"/>
      <c r="BA128" s="87"/>
      <c r="BB128" s="87">
        <v>12.0</v>
      </c>
      <c r="BC128" s="87"/>
      <c r="BD128" s="87"/>
      <c r="BE128" s="87">
        <v>4798.0</v>
      </c>
      <c r="BF128" s="87">
        <v>64.0</v>
      </c>
      <c r="BG128" s="87">
        <v>809.0</v>
      </c>
      <c r="BH128" s="87"/>
      <c r="BI128" s="87">
        <v>35906.0</v>
      </c>
      <c r="BJ128" s="87">
        <v>5388.0</v>
      </c>
      <c r="BK128" s="87"/>
      <c r="BL128" s="87">
        <v>283.0</v>
      </c>
      <c r="BM128" s="87"/>
      <c r="BN128" s="87"/>
      <c r="BO128" s="87"/>
      <c r="BP128" s="87">
        <v>3234.0</v>
      </c>
      <c r="BQ128" s="87">
        <v>332.0</v>
      </c>
      <c r="BR128" s="87">
        <v>8.0</v>
      </c>
      <c r="BS128" s="87">
        <v>878.0</v>
      </c>
      <c r="BT128" s="87">
        <v>59.0</v>
      </c>
      <c r="BU128" s="87"/>
      <c r="BV128" s="87">
        <v>608.0</v>
      </c>
      <c r="BW128" s="87">
        <v>271.0</v>
      </c>
      <c r="BX128" s="87">
        <v>243.0</v>
      </c>
      <c r="BY128" s="87"/>
      <c r="BZ128" s="87">
        <v>1.0</v>
      </c>
      <c r="CA128" s="87">
        <v>28.0</v>
      </c>
      <c r="CB128" s="87">
        <v>5.0</v>
      </c>
      <c r="CC128" s="87">
        <v>4.0</v>
      </c>
      <c r="CD128" s="87"/>
      <c r="CE128" s="87"/>
      <c r="CF128" s="87"/>
      <c r="CG128" s="87">
        <v>43.0</v>
      </c>
      <c r="CH128" s="87">
        <v>5628.0</v>
      </c>
      <c r="CI128" s="87"/>
      <c r="CJ128" s="87">
        <v>2249.0</v>
      </c>
      <c r="CK128" s="87">
        <v>3041.0</v>
      </c>
      <c r="CL128" s="87">
        <v>266.0</v>
      </c>
      <c r="CM128" s="87">
        <v>1.0</v>
      </c>
      <c r="CN128" s="87"/>
      <c r="CO128" s="87">
        <v>7.0</v>
      </c>
      <c r="CP128" s="87">
        <v>1.0</v>
      </c>
      <c r="CQ128" s="87">
        <v>84.0</v>
      </c>
      <c r="CR128" s="87">
        <v>22.0</v>
      </c>
      <c r="CS128" s="87"/>
      <c r="CT128" s="87">
        <v>1186.0</v>
      </c>
      <c r="CU128" s="87">
        <v>107.0</v>
      </c>
      <c r="CV128" s="87">
        <v>73.0</v>
      </c>
      <c r="CW128" s="87">
        <v>375.0</v>
      </c>
      <c r="CX128" s="87">
        <v>116.0</v>
      </c>
      <c r="CY128" s="87">
        <v>366.0</v>
      </c>
      <c r="CZ128" s="87">
        <v>1.0</v>
      </c>
      <c r="DA128" s="87">
        <v>7.0</v>
      </c>
      <c r="DB128" s="87">
        <v>935.0</v>
      </c>
      <c r="DC128" s="87">
        <v>434.0</v>
      </c>
      <c r="DD128" s="87">
        <v>766.0</v>
      </c>
      <c r="DE128" s="87">
        <v>120.0</v>
      </c>
      <c r="DF128" s="87">
        <v>129.0</v>
      </c>
      <c r="DG128" s="87">
        <v>385.0</v>
      </c>
      <c r="DH128" s="87">
        <v>21.0</v>
      </c>
      <c r="DI128" s="87"/>
      <c r="DJ128" s="87"/>
      <c r="DK128" s="87">
        <v>172.0</v>
      </c>
      <c r="DL128" s="87">
        <v>388.0</v>
      </c>
      <c r="DM128" s="87">
        <v>90.0</v>
      </c>
      <c r="DN128" s="87"/>
      <c r="DO128" s="87">
        <v>842.0</v>
      </c>
      <c r="DP128" s="87">
        <v>1.0</v>
      </c>
      <c r="DQ128" s="87">
        <v>795.0</v>
      </c>
      <c r="DR128" s="87">
        <v>428.0</v>
      </c>
      <c r="DS128" s="87">
        <v>1.0</v>
      </c>
      <c r="DT128" s="87">
        <v>4.0</v>
      </c>
      <c r="DU128" s="87"/>
      <c r="DV128" s="87">
        <v>61.0</v>
      </c>
      <c r="DW128" s="87">
        <v>5.0</v>
      </c>
      <c r="DX128" s="87">
        <v>133.0</v>
      </c>
      <c r="DY128" s="87">
        <v>156.0</v>
      </c>
      <c r="DZ128" s="87">
        <v>7.0</v>
      </c>
      <c r="EA128" s="87">
        <v>1.0</v>
      </c>
      <c r="EB128" s="87">
        <v>116.0</v>
      </c>
      <c r="EC128" s="87">
        <v>61.0</v>
      </c>
      <c r="ED128" s="87">
        <v>3020.0</v>
      </c>
      <c r="EE128" s="87">
        <v>40.0</v>
      </c>
      <c r="EF128" s="87">
        <v>34.0</v>
      </c>
      <c r="EG128" s="87">
        <v>260.0</v>
      </c>
      <c r="EH128" s="87">
        <v>1.0</v>
      </c>
      <c r="EI128" s="87">
        <v>32.0</v>
      </c>
      <c r="EJ128" s="87">
        <v>5344.0</v>
      </c>
      <c r="EK128" s="88"/>
      <c r="EL128" s="88"/>
      <c r="EM128" s="88"/>
      <c r="EN128" s="88"/>
      <c r="EO128" s="88"/>
      <c r="EP128" s="88"/>
      <c r="EQ128" s="90"/>
    </row>
    <row r="129" ht="12.0" customHeight="1">
      <c r="A129" s="89">
        <v>1.06190522E8</v>
      </c>
      <c r="B129" s="89" t="s">
        <v>1162</v>
      </c>
      <c r="C129" s="89" t="s">
        <v>865</v>
      </c>
      <c r="D129" s="89" t="s">
        <v>1163</v>
      </c>
      <c r="E129" s="89" t="s">
        <v>1164</v>
      </c>
      <c r="F129" s="89" t="s">
        <v>1067</v>
      </c>
      <c r="G129" s="89" t="s">
        <v>1165</v>
      </c>
      <c r="H129" s="89" t="s">
        <v>447</v>
      </c>
      <c r="I129" s="89" t="s">
        <v>456</v>
      </c>
      <c r="J129" s="89" t="s">
        <v>448</v>
      </c>
      <c r="K129" s="89" t="s">
        <v>504</v>
      </c>
      <c r="L129" s="89" t="s">
        <v>978</v>
      </c>
      <c r="M129" s="89" t="s">
        <v>1069</v>
      </c>
      <c r="N129" s="89" t="s">
        <v>441</v>
      </c>
      <c r="O129" s="87">
        <v>9222.0</v>
      </c>
      <c r="P129" s="87"/>
      <c r="Q129" s="87">
        <v>1206.0</v>
      </c>
      <c r="R129" s="87"/>
      <c r="S129" s="87">
        <v>381.0</v>
      </c>
      <c r="T129" s="87"/>
      <c r="U129" s="87">
        <v>4961.0</v>
      </c>
      <c r="V129" s="87">
        <v>5842.0</v>
      </c>
      <c r="W129" s="87">
        <v>6.0</v>
      </c>
      <c r="X129" s="87">
        <v>1280.0</v>
      </c>
      <c r="Y129" s="87">
        <v>92.0</v>
      </c>
      <c r="Z129" s="87">
        <v>1190.0</v>
      </c>
      <c r="AA129" s="87">
        <v>1393.0</v>
      </c>
      <c r="AB129" s="87">
        <v>841.0</v>
      </c>
      <c r="AC129" s="87">
        <v>1165.0</v>
      </c>
      <c r="AD129" s="87">
        <v>1545.0</v>
      </c>
      <c r="AE129" s="87">
        <v>1477.0</v>
      </c>
      <c r="AF129" s="87">
        <v>1826.0</v>
      </c>
      <c r="AG129" s="87"/>
      <c r="AH129" s="87">
        <v>3840.0</v>
      </c>
      <c r="AI129" s="87">
        <v>6721.0</v>
      </c>
      <c r="AJ129" s="87">
        <v>248.0</v>
      </c>
      <c r="AK129" s="87">
        <v>12.0</v>
      </c>
      <c r="AL129" s="87">
        <v>634.0</v>
      </c>
      <c r="AM129" s="87">
        <v>33.0</v>
      </c>
      <c r="AN129" s="87">
        <v>618.0</v>
      </c>
      <c r="AO129" s="87">
        <v>7277.0</v>
      </c>
      <c r="AP129" s="87">
        <v>302.0</v>
      </c>
      <c r="AQ129" s="87">
        <v>1915.0</v>
      </c>
      <c r="AR129" s="87">
        <v>18.0</v>
      </c>
      <c r="AS129" s="87">
        <v>8161.0</v>
      </c>
      <c r="AT129" s="87">
        <v>17.0</v>
      </c>
      <c r="AU129" s="87">
        <v>693.0</v>
      </c>
      <c r="AV129" s="87">
        <v>149.0</v>
      </c>
      <c r="AW129" s="87">
        <v>26.0</v>
      </c>
      <c r="AX129" s="87">
        <v>506.0</v>
      </c>
      <c r="AY129" s="87"/>
      <c r="AZ129" s="87"/>
      <c r="BA129" s="87"/>
      <c r="BB129" s="87">
        <v>1.0</v>
      </c>
      <c r="BC129" s="87">
        <v>1256.0</v>
      </c>
      <c r="BD129" s="87"/>
      <c r="BE129" s="87">
        <v>6131.0</v>
      </c>
      <c r="BF129" s="87">
        <v>47.0</v>
      </c>
      <c r="BG129" s="87">
        <v>4526.0</v>
      </c>
      <c r="BH129" s="87">
        <v>105.0</v>
      </c>
      <c r="BI129" s="87">
        <v>48698.0</v>
      </c>
      <c r="BJ129" s="87">
        <v>5379.0</v>
      </c>
      <c r="BK129" s="87">
        <v>2135.0</v>
      </c>
      <c r="BL129" s="87">
        <v>2038.0</v>
      </c>
      <c r="BM129" s="87">
        <v>1256.0</v>
      </c>
      <c r="BN129" s="87">
        <v>1.0</v>
      </c>
      <c r="BO129" s="87"/>
      <c r="BP129" s="87">
        <v>6877.0</v>
      </c>
      <c r="BQ129" s="87">
        <v>211.0</v>
      </c>
      <c r="BR129" s="87">
        <v>319.0</v>
      </c>
      <c r="BS129" s="87">
        <v>920.0</v>
      </c>
      <c r="BT129" s="87">
        <v>54.0</v>
      </c>
      <c r="BU129" s="87">
        <v>2.0</v>
      </c>
      <c r="BV129" s="87">
        <v>257.0</v>
      </c>
      <c r="BW129" s="87">
        <v>278.0</v>
      </c>
      <c r="BX129" s="87">
        <v>1665.0</v>
      </c>
      <c r="BY129" s="87"/>
      <c r="BZ129" s="87">
        <v>1.0</v>
      </c>
      <c r="CA129" s="87">
        <v>139.0</v>
      </c>
      <c r="CB129" s="87">
        <v>67.0</v>
      </c>
      <c r="CC129" s="87"/>
      <c r="CD129" s="87">
        <v>19.0</v>
      </c>
      <c r="CE129" s="87"/>
      <c r="CF129" s="87"/>
      <c r="CG129" s="87">
        <v>201.0</v>
      </c>
      <c r="CH129" s="87">
        <v>10608.0</v>
      </c>
      <c r="CI129" s="87"/>
      <c r="CJ129" s="87">
        <v>4132.0</v>
      </c>
      <c r="CK129" s="87">
        <v>5090.0</v>
      </c>
      <c r="CL129" s="87">
        <v>1257.0</v>
      </c>
      <c r="CM129" s="87">
        <v>4.0</v>
      </c>
      <c r="CN129" s="87">
        <v>13.0</v>
      </c>
      <c r="CO129" s="87">
        <v>34.0</v>
      </c>
      <c r="CP129" s="87"/>
      <c r="CQ129" s="87">
        <v>222.0</v>
      </c>
      <c r="CR129" s="87">
        <v>52.0</v>
      </c>
      <c r="CS129" s="87">
        <v>5.0</v>
      </c>
      <c r="CT129" s="87">
        <v>1391.0</v>
      </c>
      <c r="CU129" s="87">
        <v>284.0</v>
      </c>
      <c r="CV129" s="87">
        <v>66.0</v>
      </c>
      <c r="CW129" s="87">
        <v>335.0</v>
      </c>
      <c r="CX129" s="87">
        <v>1306.0</v>
      </c>
      <c r="CY129" s="87">
        <v>282.0</v>
      </c>
      <c r="CZ129" s="87">
        <v>6.0</v>
      </c>
      <c r="DA129" s="87">
        <v>9.0</v>
      </c>
      <c r="DB129" s="87">
        <v>1593.0</v>
      </c>
      <c r="DC129" s="87">
        <v>370.0</v>
      </c>
      <c r="DD129" s="87">
        <v>795.0</v>
      </c>
      <c r="DE129" s="87">
        <v>129.0</v>
      </c>
      <c r="DF129" s="87">
        <v>370.0</v>
      </c>
      <c r="DG129" s="87">
        <v>468.0</v>
      </c>
      <c r="DH129" s="87">
        <v>1362.0</v>
      </c>
      <c r="DI129" s="87">
        <v>1278.0</v>
      </c>
      <c r="DJ129" s="87">
        <v>1.0</v>
      </c>
      <c r="DK129" s="87">
        <v>182.0</v>
      </c>
      <c r="DL129" s="87">
        <v>481.0</v>
      </c>
      <c r="DM129" s="87">
        <v>101.0</v>
      </c>
      <c r="DN129" s="87"/>
      <c r="DO129" s="87">
        <v>2230.0</v>
      </c>
      <c r="DP129" s="87">
        <v>1173.0</v>
      </c>
      <c r="DQ129" s="87">
        <v>1075.0</v>
      </c>
      <c r="DR129" s="87">
        <v>842.0</v>
      </c>
      <c r="DS129" s="87"/>
      <c r="DT129" s="87">
        <v>2.0</v>
      </c>
      <c r="DU129" s="87"/>
      <c r="DV129" s="87">
        <v>237.0</v>
      </c>
      <c r="DW129" s="87">
        <v>25.0</v>
      </c>
      <c r="DX129" s="87">
        <v>119.0</v>
      </c>
      <c r="DY129" s="87">
        <v>469.0</v>
      </c>
      <c r="DZ129" s="87">
        <v>74.0</v>
      </c>
      <c r="EA129" s="87">
        <v>3.0</v>
      </c>
      <c r="EB129" s="87">
        <v>139.0</v>
      </c>
      <c r="EC129" s="87">
        <v>94.0</v>
      </c>
      <c r="ED129" s="87">
        <v>4074.0</v>
      </c>
      <c r="EE129" s="87">
        <v>253.0</v>
      </c>
      <c r="EF129" s="87">
        <v>38.0</v>
      </c>
      <c r="EG129" s="87">
        <v>816.0</v>
      </c>
      <c r="EH129" s="87">
        <v>1.0</v>
      </c>
      <c r="EI129" s="87">
        <v>47.0</v>
      </c>
      <c r="EJ129" s="87">
        <v>9907.0</v>
      </c>
      <c r="EK129" s="88"/>
      <c r="EL129" s="88"/>
      <c r="EM129" s="88"/>
      <c r="EN129" s="88"/>
      <c r="EO129" s="88"/>
      <c r="EP129" s="88"/>
      <c r="EQ129" s="90"/>
    </row>
    <row r="130" ht="12.0" customHeight="1">
      <c r="A130" s="89">
        <v>1.06190524E8</v>
      </c>
      <c r="B130" s="89" t="s">
        <v>1166</v>
      </c>
      <c r="C130" s="89" t="s">
        <v>865</v>
      </c>
      <c r="D130" s="89" t="s">
        <v>1167</v>
      </c>
      <c r="E130" s="89" t="s">
        <v>1168</v>
      </c>
      <c r="F130" s="89" t="s">
        <v>1125</v>
      </c>
      <c r="G130" s="89" t="s">
        <v>1126</v>
      </c>
      <c r="H130" s="89" t="s">
        <v>475</v>
      </c>
      <c r="I130" s="89" t="s">
        <v>456</v>
      </c>
      <c r="J130" s="89" t="s">
        <v>437</v>
      </c>
      <c r="K130" s="89" t="s">
        <v>439</v>
      </c>
      <c r="L130" s="89" t="s">
        <v>1127</v>
      </c>
      <c r="M130" s="89" t="s">
        <v>1128</v>
      </c>
      <c r="N130" s="89" t="s">
        <v>441</v>
      </c>
      <c r="O130" s="87">
        <v>3984.0</v>
      </c>
      <c r="P130" s="87"/>
      <c r="Q130" s="87">
        <v>2223.0</v>
      </c>
      <c r="R130" s="87"/>
      <c r="S130" s="87"/>
      <c r="T130" s="87"/>
      <c r="U130" s="87">
        <v>3639.0</v>
      </c>
      <c r="V130" s="87">
        <v>2568.0</v>
      </c>
      <c r="W130" s="87"/>
      <c r="X130" s="87"/>
      <c r="Y130" s="87">
        <v>82.0</v>
      </c>
      <c r="Z130" s="87">
        <v>733.0</v>
      </c>
      <c r="AA130" s="87">
        <v>924.0</v>
      </c>
      <c r="AB130" s="87">
        <v>794.0</v>
      </c>
      <c r="AC130" s="87">
        <v>974.0</v>
      </c>
      <c r="AD130" s="87">
        <v>1118.0</v>
      </c>
      <c r="AE130" s="87">
        <v>865.0</v>
      </c>
      <c r="AF130" s="87">
        <v>717.0</v>
      </c>
      <c r="AG130" s="87"/>
      <c r="AH130" s="87">
        <v>2546.0</v>
      </c>
      <c r="AI130" s="87">
        <v>3660.0</v>
      </c>
      <c r="AJ130" s="87">
        <v>1.0</v>
      </c>
      <c r="AK130" s="87">
        <v>11.0</v>
      </c>
      <c r="AL130" s="87">
        <v>418.0</v>
      </c>
      <c r="AM130" s="87"/>
      <c r="AN130" s="87">
        <v>890.0</v>
      </c>
      <c r="AO130" s="87">
        <v>4808.0</v>
      </c>
      <c r="AP130" s="87">
        <v>13.0</v>
      </c>
      <c r="AQ130" s="87">
        <v>34.0</v>
      </c>
      <c r="AR130" s="87">
        <v>33.0</v>
      </c>
      <c r="AS130" s="87">
        <v>3972.0</v>
      </c>
      <c r="AT130" s="87">
        <v>114.0</v>
      </c>
      <c r="AU130" s="87">
        <v>793.0</v>
      </c>
      <c r="AV130" s="87">
        <v>1180.0</v>
      </c>
      <c r="AW130" s="87">
        <v>2.0</v>
      </c>
      <c r="AX130" s="87">
        <v>55.0</v>
      </c>
      <c r="AY130" s="87"/>
      <c r="AZ130" s="87"/>
      <c r="BA130" s="87">
        <v>91.0</v>
      </c>
      <c r="BB130" s="87"/>
      <c r="BC130" s="87"/>
      <c r="BD130" s="87"/>
      <c r="BE130" s="87">
        <v>4828.0</v>
      </c>
      <c r="BF130" s="87">
        <v>701.0</v>
      </c>
      <c r="BG130" s="87">
        <v>678.0</v>
      </c>
      <c r="BH130" s="87"/>
      <c r="BI130" s="87">
        <v>42852.0</v>
      </c>
      <c r="BJ130" s="87">
        <v>4587.0</v>
      </c>
      <c r="BK130" s="87">
        <v>988.0</v>
      </c>
      <c r="BL130" s="87">
        <v>632.0</v>
      </c>
      <c r="BM130" s="87"/>
      <c r="BN130" s="87"/>
      <c r="BO130" s="87"/>
      <c r="BP130" s="87">
        <v>3403.0</v>
      </c>
      <c r="BQ130" s="87">
        <v>103.0</v>
      </c>
      <c r="BR130" s="87">
        <v>19.0</v>
      </c>
      <c r="BS130" s="87">
        <v>1466.0</v>
      </c>
      <c r="BT130" s="87"/>
      <c r="BU130" s="87">
        <v>2.0</v>
      </c>
      <c r="BV130" s="87">
        <v>289.0</v>
      </c>
      <c r="BW130" s="87">
        <v>183.0</v>
      </c>
      <c r="BX130" s="87">
        <v>678.0</v>
      </c>
      <c r="BY130" s="87"/>
      <c r="BZ130" s="87"/>
      <c r="CA130" s="87">
        <v>28.0</v>
      </c>
      <c r="CB130" s="87">
        <v>23.0</v>
      </c>
      <c r="CC130" s="87">
        <v>2.0</v>
      </c>
      <c r="CD130" s="87">
        <v>10.0</v>
      </c>
      <c r="CE130" s="87">
        <v>1.0</v>
      </c>
      <c r="CF130" s="87"/>
      <c r="CG130" s="87">
        <v>157.0</v>
      </c>
      <c r="CH130" s="87">
        <v>6050.0</v>
      </c>
      <c r="CI130" s="87"/>
      <c r="CJ130" s="87">
        <v>1771.0</v>
      </c>
      <c r="CK130" s="87">
        <v>2572.0</v>
      </c>
      <c r="CL130" s="87">
        <v>1625.0</v>
      </c>
      <c r="CM130" s="87">
        <v>128.0</v>
      </c>
      <c r="CN130" s="87"/>
      <c r="CO130" s="87">
        <v>23.0</v>
      </c>
      <c r="CP130" s="87"/>
      <c r="CQ130" s="87">
        <v>88.0</v>
      </c>
      <c r="CR130" s="87"/>
      <c r="CS130" s="87"/>
      <c r="CT130" s="87">
        <v>834.0</v>
      </c>
      <c r="CU130" s="87">
        <v>42.0</v>
      </c>
      <c r="CV130" s="87">
        <v>27.0</v>
      </c>
      <c r="CW130" s="87">
        <v>243.0</v>
      </c>
      <c r="CX130" s="87">
        <v>2320.0</v>
      </c>
      <c r="CY130" s="87">
        <v>180.0</v>
      </c>
      <c r="CZ130" s="87"/>
      <c r="DA130" s="87">
        <v>2.0</v>
      </c>
      <c r="DB130" s="87">
        <v>384.0</v>
      </c>
      <c r="DC130" s="87">
        <v>275.0</v>
      </c>
      <c r="DD130" s="87">
        <v>434.0</v>
      </c>
      <c r="DE130" s="87">
        <v>75.0</v>
      </c>
      <c r="DF130" s="87">
        <v>623.0</v>
      </c>
      <c r="DG130" s="87">
        <v>276.0</v>
      </c>
      <c r="DH130" s="87"/>
      <c r="DI130" s="87"/>
      <c r="DJ130" s="87"/>
      <c r="DK130" s="87">
        <v>128.0</v>
      </c>
      <c r="DL130" s="87">
        <v>357.0</v>
      </c>
      <c r="DM130" s="87">
        <v>3.0</v>
      </c>
      <c r="DN130" s="87">
        <v>4.0</v>
      </c>
      <c r="DO130" s="87">
        <v>769.0</v>
      </c>
      <c r="DP130" s="87"/>
      <c r="DQ130" s="87">
        <v>439.0</v>
      </c>
      <c r="DR130" s="87">
        <v>336.0</v>
      </c>
      <c r="DS130" s="87">
        <v>1.0</v>
      </c>
      <c r="DT130" s="87">
        <v>1.0</v>
      </c>
      <c r="DU130" s="87"/>
      <c r="DV130" s="87">
        <v>3.0</v>
      </c>
      <c r="DW130" s="87"/>
      <c r="DX130" s="87">
        <v>63.0</v>
      </c>
      <c r="DY130" s="87">
        <v>644.0</v>
      </c>
      <c r="DZ130" s="87">
        <v>111.0</v>
      </c>
      <c r="EA130" s="87">
        <v>3.0</v>
      </c>
      <c r="EB130" s="87">
        <v>42.0</v>
      </c>
      <c r="EC130" s="87">
        <v>25.0</v>
      </c>
      <c r="ED130" s="87">
        <v>3695.0</v>
      </c>
      <c r="EE130" s="87">
        <v>75.0</v>
      </c>
      <c r="EF130" s="87"/>
      <c r="EG130" s="87">
        <v>836.0</v>
      </c>
      <c r="EH130" s="87">
        <v>5.0</v>
      </c>
      <c r="EI130" s="87">
        <v>29.0</v>
      </c>
      <c r="EJ130" s="87">
        <v>5337.0</v>
      </c>
      <c r="EK130" s="88"/>
      <c r="EL130" s="88"/>
      <c r="EM130" s="88"/>
      <c r="EN130" s="88"/>
      <c r="EO130" s="88"/>
      <c r="EP130" s="88"/>
      <c r="EQ130" s="90"/>
    </row>
    <row r="131" ht="12.0" customHeight="1">
      <c r="A131" s="89">
        <v>1.06190525E8</v>
      </c>
      <c r="B131" s="89" t="s">
        <v>1169</v>
      </c>
      <c r="C131" s="89" t="s">
        <v>865</v>
      </c>
      <c r="D131" s="89" t="s">
        <v>1170</v>
      </c>
      <c r="E131" s="89" t="s">
        <v>1171</v>
      </c>
      <c r="F131" s="89" t="s">
        <v>911</v>
      </c>
      <c r="G131" s="89" t="s">
        <v>1172</v>
      </c>
      <c r="H131" s="89" t="s">
        <v>447</v>
      </c>
      <c r="I131" s="89" t="s">
        <v>456</v>
      </c>
      <c r="J131" s="89" t="s">
        <v>448</v>
      </c>
      <c r="K131" s="89" t="s">
        <v>913</v>
      </c>
      <c r="L131" s="89" t="s">
        <v>892</v>
      </c>
      <c r="M131" s="89" t="s">
        <v>1173</v>
      </c>
      <c r="N131" s="89" t="s">
        <v>441</v>
      </c>
      <c r="O131" s="87">
        <v>14684.0</v>
      </c>
      <c r="P131" s="87"/>
      <c r="Q131" s="87"/>
      <c r="R131" s="87"/>
      <c r="S131" s="87">
        <v>481.0</v>
      </c>
      <c r="T131" s="87"/>
      <c r="U131" s="87">
        <v>7342.0</v>
      </c>
      <c r="V131" s="87">
        <v>7823.0</v>
      </c>
      <c r="W131" s="87"/>
      <c r="X131" s="87"/>
      <c r="Y131" s="87">
        <v>117.0</v>
      </c>
      <c r="Z131" s="87">
        <v>810.0</v>
      </c>
      <c r="AA131" s="87">
        <v>1351.0</v>
      </c>
      <c r="AB131" s="87">
        <v>1511.0</v>
      </c>
      <c r="AC131" s="87">
        <v>2361.0</v>
      </c>
      <c r="AD131" s="87">
        <v>3229.0</v>
      </c>
      <c r="AE131" s="87">
        <v>3301.0</v>
      </c>
      <c r="AF131" s="87">
        <v>2483.0</v>
      </c>
      <c r="AG131" s="87">
        <v>2.0</v>
      </c>
      <c r="AH131" s="87">
        <v>5065.0</v>
      </c>
      <c r="AI131" s="87">
        <v>9915.0</v>
      </c>
      <c r="AJ131" s="87">
        <v>185.0</v>
      </c>
      <c r="AK131" s="87">
        <v>46.0</v>
      </c>
      <c r="AL131" s="87">
        <v>1509.0</v>
      </c>
      <c r="AM131" s="87">
        <v>198.0</v>
      </c>
      <c r="AN131" s="87">
        <v>2578.0</v>
      </c>
      <c r="AO131" s="87">
        <v>7289.0</v>
      </c>
      <c r="AP131" s="87">
        <v>161.0</v>
      </c>
      <c r="AQ131" s="87">
        <v>3077.0</v>
      </c>
      <c r="AR131" s="87">
        <v>307.0</v>
      </c>
      <c r="AS131" s="87">
        <v>14252.0</v>
      </c>
      <c r="AT131" s="87">
        <v>5.0</v>
      </c>
      <c r="AU131" s="87">
        <v>774.0</v>
      </c>
      <c r="AV131" s="87">
        <v>80.0</v>
      </c>
      <c r="AW131" s="87">
        <v>19.0</v>
      </c>
      <c r="AX131" s="87">
        <v>32.0</v>
      </c>
      <c r="AY131" s="87"/>
      <c r="AZ131" s="87"/>
      <c r="BA131" s="87"/>
      <c r="BB131" s="87">
        <v>3.0</v>
      </c>
      <c r="BC131" s="87"/>
      <c r="BD131" s="87"/>
      <c r="BE131" s="87">
        <v>11903.0</v>
      </c>
      <c r="BF131" s="87"/>
      <c r="BG131" s="87">
        <v>3262.0</v>
      </c>
      <c r="BH131" s="87"/>
      <c r="BI131" s="87">
        <v>96493.0</v>
      </c>
      <c r="BJ131" s="87">
        <v>10186.0</v>
      </c>
      <c r="BK131" s="87">
        <v>1393.0</v>
      </c>
      <c r="BL131" s="87">
        <v>2595.0</v>
      </c>
      <c r="BM131" s="87"/>
      <c r="BN131" s="87">
        <v>987.0</v>
      </c>
      <c r="BO131" s="87">
        <v>4.0</v>
      </c>
      <c r="BP131" s="87">
        <v>8711.0</v>
      </c>
      <c r="BQ131" s="87">
        <v>396.0</v>
      </c>
      <c r="BR131" s="87">
        <v>375.0</v>
      </c>
      <c r="BS131" s="87">
        <v>1839.0</v>
      </c>
      <c r="BT131" s="87">
        <v>11.0</v>
      </c>
      <c r="BU131" s="87">
        <v>4.0</v>
      </c>
      <c r="BV131" s="87"/>
      <c r="BW131" s="87">
        <v>621.0</v>
      </c>
      <c r="BX131" s="87">
        <v>2983.0</v>
      </c>
      <c r="BY131" s="87"/>
      <c r="BZ131" s="87">
        <v>14.0</v>
      </c>
      <c r="CA131" s="87">
        <v>198.0</v>
      </c>
      <c r="CB131" s="87">
        <v>8.0</v>
      </c>
      <c r="CC131" s="87">
        <v>1.0</v>
      </c>
      <c r="CD131" s="87">
        <v>4.0</v>
      </c>
      <c r="CE131" s="87"/>
      <c r="CF131" s="87"/>
      <c r="CG131" s="87">
        <v>667.0</v>
      </c>
      <c r="CH131" s="87">
        <v>14498.0</v>
      </c>
      <c r="CI131" s="87"/>
      <c r="CJ131" s="87">
        <v>7659.0</v>
      </c>
      <c r="CK131" s="87">
        <v>4360.0</v>
      </c>
      <c r="CL131" s="87">
        <v>2889.0</v>
      </c>
      <c r="CM131" s="87">
        <v>80.0</v>
      </c>
      <c r="CN131" s="87"/>
      <c r="CO131" s="87">
        <v>114.0</v>
      </c>
      <c r="CP131" s="87"/>
      <c r="CQ131" s="87">
        <v>63.0</v>
      </c>
      <c r="CR131" s="87"/>
      <c r="CS131" s="87"/>
      <c r="CT131" s="87">
        <v>1945.0</v>
      </c>
      <c r="CU131" s="87">
        <v>1173.0</v>
      </c>
      <c r="CV131" s="87">
        <v>172.0</v>
      </c>
      <c r="CW131" s="87">
        <v>725.0</v>
      </c>
      <c r="CX131" s="87">
        <v>111.0</v>
      </c>
      <c r="CY131" s="87">
        <v>533.0</v>
      </c>
      <c r="CZ131" s="87">
        <v>39.0</v>
      </c>
      <c r="DA131" s="87">
        <v>34.0</v>
      </c>
      <c r="DB131" s="87">
        <v>3174.0</v>
      </c>
      <c r="DC131" s="87">
        <v>561.0</v>
      </c>
      <c r="DD131" s="87">
        <v>1683.0</v>
      </c>
      <c r="DE131" s="87">
        <v>229.0</v>
      </c>
      <c r="DF131" s="87">
        <v>1050.0</v>
      </c>
      <c r="DG131" s="87">
        <v>738.0</v>
      </c>
      <c r="DH131" s="87">
        <v>130.0</v>
      </c>
      <c r="DI131" s="87"/>
      <c r="DJ131" s="87">
        <v>26.0</v>
      </c>
      <c r="DK131" s="87">
        <v>406.0</v>
      </c>
      <c r="DL131" s="87">
        <v>2141.0</v>
      </c>
      <c r="DM131" s="87">
        <v>292.0</v>
      </c>
      <c r="DN131" s="87">
        <v>3.0</v>
      </c>
      <c r="DO131" s="87">
        <v>2112.0</v>
      </c>
      <c r="DP131" s="87">
        <v>28.0</v>
      </c>
      <c r="DQ131" s="87">
        <v>2160.0</v>
      </c>
      <c r="DR131" s="87">
        <v>1971.0</v>
      </c>
      <c r="DS131" s="87">
        <v>20.0</v>
      </c>
      <c r="DT131" s="87">
        <v>107.0</v>
      </c>
      <c r="DU131" s="87">
        <v>12.0</v>
      </c>
      <c r="DV131" s="87">
        <v>412.0</v>
      </c>
      <c r="DW131" s="87">
        <v>81.0</v>
      </c>
      <c r="DX131" s="87">
        <v>588.0</v>
      </c>
      <c r="DY131" s="87">
        <v>1649.0</v>
      </c>
      <c r="DZ131" s="87">
        <v>447.0</v>
      </c>
      <c r="EA131" s="87">
        <v>61.0</v>
      </c>
      <c r="EB131" s="87">
        <v>436.0</v>
      </c>
      <c r="EC131" s="87">
        <v>283.0</v>
      </c>
      <c r="ED131" s="87">
        <v>4576.0</v>
      </c>
      <c r="EE131" s="87">
        <v>222.0</v>
      </c>
      <c r="EF131" s="87">
        <v>1.0</v>
      </c>
      <c r="EG131" s="87">
        <v>430.0</v>
      </c>
      <c r="EH131" s="87">
        <v>7.0</v>
      </c>
      <c r="EI131" s="87">
        <v>96.0</v>
      </c>
      <c r="EJ131" s="87">
        <v>14631.0</v>
      </c>
      <c r="EK131" s="88"/>
      <c r="EL131" s="88"/>
      <c r="EM131" s="88"/>
      <c r="EN131" s="88"/>
      <c r="EO131" s="88"/>
      <c r="EP131" s="88"/>
      <c r="EQ131" s="90"/>
    </row>
    <row r="132" ht="12.0" customHeight="1">
      <c r="A132" s="89">
        <v>1.06190529E8</v>
      </c>
      <c r="B132" s="89" t="s">
        <v>1174</v>
      </c>
      <c r="C132" s="89" t="s">
        <v>865</v>
      </c>
      <c r="D132" s="89" t="s">
        <v>1175</v>
      </c>
      <c r="E132" s="89" t="s">
        <v>1176</v>
      </c>
      <c r="F132" s="89" t="s">
        <v>1177</v>
      </c>
      <c r="G132" s="89" t="s">
        <v>1178</v>
      </c>
      <c r="H132" s="89" t="s">
        <v>447</v>
      </c>
      <c r="I132" s="89" t="s">
        <v>456</v>
      </c>
      <c r="J132" s="89" t="s">
        <v>448</v>
      </c>
      <c r="K132" s="89" t="s">
        <v>870</v>
      </c>
      <c r="L132" s="89" t="s">
        <v>871</v>
      </c>
      <c r="M132" s="89" t="s">
        <v>1179</v>
      </c>
      <c r="N132" s="89" t="s">
        <v>441</v>
      </c>
      <c r="O132" s="87">
        <v>12188.0</v>
      </c>
      <c r="P132" s="87"/>
      <c r="Q132" s="87"/>
      <c r="R132" s="87"/>
      <c r="S132" s="87">
        <v>588.0</v>
      </c>
      <c r="T132" s="87"/>
      <c r="U132" s="87">
        <v>5468.0</v>
      </c>
      <c r="V132" s="87">
        <v>7308.0</v>
      </c>
      <c r="W132" s="87"/>
      <c r="X132" s="87">
        <v>1184.0</v>
      </c>
      <c r="Y132" s="87">
        <v>37.0</v>
      </c>
      <c r="Z132" s="87">
        <v>468.0</v>
      </c>
      <c r="AA132" s="87">
        <v>1303.0</v>
      </c>
      <c r="AB132" s="87">
        <v>865.0</v>
      </c>
      <c r="AC132" s="87">
        <v>1302.0</v>
      </c>
      <c r="AD132" s="87">
        <v>1881.0</v>
      </c>
      <c r="AE132" s="87">
        <v>2405.0</v>
      </c>
      <c r="AF132" s="87">
        <v>3331.0</v>
      </c>
      <c r="AG132" s="87"/>
      <c r="AH132" s="87">
        <v>332.0</v>
      </c>
      <c r="AI132" s="87">
        <v>12388.0</v>
      </c>
      <c r="AJ132" s="87">
        <v>56.0</v>
      </c>
      <c r="AK132" s="87">
        <v>14.0</v>
      </c>
      <c r="AL132" s="87">
        <v>3652.0</v>
      </c>
      <c r="AM132" s="87"/>
      <c r="AN132" s="87">
        <v>442.0</v>
      </c>
      <c r="AO132" s="87">
        <v>4317.0</v>
      </c>
      <c r="AP132" s="87">
        <v>56.0</v>
      </c>
      <c r="AQ132" s="87">
        <v>4235.0</v>
      </c>
      <c r="AR132" s="87">
        <v>60.0</v>
      </c>
      <c r="AS132" s="87">
        <v>11067.0</v>
      </c>
      <c r="AT132" s="87">
        <v>3.0</v>
      </c>
      <c r="AU132" s="87">
        <v>46.0</v>
      </c>
      <c r="AV132" s="87">
        <v>25.0</v>
      </c>
      <c r="AW132" s="87">
        <v>32.0</v>
      </c>
      <c r="AX132" s="87">
        <v>430.0</v>
      </c>
      <c r="AY132" s="87">
        <v>2.0</v>
      </c>
      <c r="AZ132" s="87"/>
      <c r="BA132" s="87"/>
      <c r="BB132" s="87"/>
      <c r="BC132" s="87">
        <v>1171.0</v>
      </c>
      <c r="BD132" s="87"/>
      <c r="BE132" s="87">
        <v>8517.0</v>
      </c>
      <c r="BF132" s="87"/>
      <c r="BG132" s="87">
        <v>4259.0</v>
      </c>
      <c r="BH132" s="87"/>
      <c r="BI132" s="87">
        <v>66539.0</v>
      </c>
      <c r="BJ132" s="87">
        <v>8517.0</v>
      </c>
      <c r="BK132" s="87">
        <v>1529.0</v>
      </c>
      <c r="BL132" s="87">
        <v>1559.0</v>
      </c>
      <c r="BM132" s="87">
        <v>1171.0</v>
      </c>
      <c r="BN132" s="87"/>
      <c r="BO132" s="87"/>
      <c r="BP132" s="87">
        <v>6979.0</v>
      </c>
      <c r="BQ132" s="87">
        <v>465.0</v>
      </c>
      <c r="BR132" s="87">
        <v>557.0</v>
      </c>
      <c r="BS132" s="87">
        <v>1390.0</v>
      </c>
      <c r="BT132" s="87"/>
      <c r="BU132" s="87">
        <v>1.0</v>
      </c>
      <c r="BV132" s="87">
        <v>192.0</v>
      </c>
      <c r="BW132" s="87">
        <v>472.0</v>
      </c>
      <c r="BX132" s="87">
        <v>2408.0</v>
      </c>
      <c r="BY132" s="87"/>
      <c r="BZ132" s="87">
        <v>18.0</v>
      </c>
      <c r="CA132" s="87">
        <v>278.0</v>
      </c>
      <c r="CB132" s="87">
        <v>15.0</v>
      </c>
      <c r="CC132" s="87"/>
      <c r="CD132" s="87">
        <v>1.0</v>
      </c>
      <c r="CE132" s="87"/>
      <c r="CF132" s="87"/>
      <c r="CG132" s="87">
        <v>900.0</v>
      </c>
      <c r="CH132" s="87">
        <v>11874.0</v>
      </c>
      <c r="CI132" s="87">
        <v>2.0</v>
      </c>
      <c r="CJ132" s="87">
        <v>6151.0</v>
      </c>
      <c r="CK132" s="87">
        <v>639.0</v>
      </c>
      <c r="CL132" s="87">
        <v>5687.0</v>
      </c>
      <c r="CM132" s="87">
        <v>76.0</v>
      </c>
      <c r="CN132" s="87"/>
      <c r="CO132" s="87">
        <v>34.0</v>
      </c>
      <c r="CP132" s="87">
        <v>1.0</v>
      </c>
      <c r="CQ132" s="87">
        <v>188.0</v>
      </c>
      <c r="CR132" s="87"/>
      <c r="CS132" s="87"/>
      <c r="CT132" s="87">
        <v>1468.0</v>
      </c>
      <c r="CU132" s="87">
        <v>576.0</v>
      </c>
      <c r="CV132" s="87">
        <v>96.0</v>
      </c>
      <c r="CW132" s="87">
        <v>725.0</v>
      </c>
      <c r="CX132" s="87">
        <v>39.0</v>
      </c>
      <c r="CY132" s="87">
        <v>422.0</v>
      </c>
      <c r="CZ132" s="87">
        <v>12.0</v>
      </c>
      <c r="DA132" s="87">
        <v>21.0</v>
      </c>
      <c r="DB132" s="87">
        <v>1843.0</v>
      </c>
      <c r="DC132" s="87">
        <v>558.0</v>
      </c>
      <c r="DD132" s="87">
        <v>1470.0</v>
      </c>
      <c r="DE132" s="87">
        <v>165.0</v>
      </c>
      <c r="DF132" s="87">
        <v>755.0</v>
      </c>
      <c r="DG132" s="87">
        <v>657.0</v>
      </c>
      <c r="DH132" s="87">
        <v>1239.0</v>
      </c>
      <c r="DI132" s="87">
        <v>1183.0</v>
      </c>
      <c r="DJ132" s="87">
        <v>2.0</v>
      </c>
      <c r="DK132" s="87">
        <v>329.0</v>
      </c>
      <c r="DL132" s="87">
        <v>1116.0</v>
      </c>
      <c r="DM132" s="87">
        <v>97.0</v>
      </c>
      <c r="DN132" s="87">
        <v>3.0</v>
      </c>
      <c r="DO132" s="87">
        <v>2126.0</v>
      </c>
      <c r="DP132" s="87">
        <v>1164.0</v>
      </c>
      <c r="DQ132" s="87">
        <v>1070.0</v>
      </c>
      <c r="DR132" s="87">
        <v>1633.0</v>
      </c>
      <c r="DS132" s="87"/>
      <c r="DT132" s="87">
        <v>6.0</v>
      </c>
      <c r="DU132" s="87"/>
      <c r="DV132" s="87">
        <v>314.0</v>
      </c>
      <c r="DW132" s="87">
        <v>58.0</v>
      </c>
      <c r="DX132" s="87">
        <v>222.0</v>
      </c>
      <c r="DY132" s="87">
        <v>1073.0</v>
      </c>
      <c r="DZ132" s="87">
        <v>184.0</v>
      </c>
      <c r="EA132" s="87">
        <v>43.0</v>
      </c>
      <c r="EB132" s="87">
        <v>261.0</v>
      </c>
      <c r="EC132" s="87">
        <v>98.0</v>
      </c>
      <c r="ED132" s="87">
        <v>3860.0</v>
      </c>
      <c r="EE132" s="87">
        <v>664.0</v>
      </c>
      <c r="EF132" s="87">
        <v>36.0</v>
      </c>
      <c r="EG132" s="87">
        <v>44.0</v>
      </c>
      <c r="EH132" s="87">
        <v>1.0</v>
      </c>
      <c r="EI132" s="87">
        <v>78.0</v>
      </c>
      <c r="EJ132" s="87">
        <v>12617.0</v>
      </c>
      <c r="EK132" s="88"/>
      <c r="EL132" s="88"/>
      <c r="EM132" s="88"/>
      <c r="EN132" s="88"/>
      <c r="EO132" s="88"/>
      <c r="EP132" s="88"/>
      <c r="EQ132" s="90"/>
    </row>
    <row r="133" ht="12.0" customHeight="1">
      <c r="A133" s="89">
        <v>1.06190541E8</v>
      </c>
      <c r="B133" s="89" t="s">
        <v>1180</v>
      </c>
      <c r="C133" s="89" t="s">
        <v>865</v>
      </c>
      <c r="D133" s="89" t="s">
        <v>1181</v>
      </c>
      <c r="E133" s="89" t="s">
        <v>1182</v>
      </c>
      <c r="F133" s="89" t="s">
        <v>1183</v>
      </c>
      <c r="G133" s="89" t="s">
        <v>1184</v>
      </c>
      <c r="H133" s="89" t="s">
        <v>475</v>
      </c>
      <c r="I133" s="89" t="s">
        <v>456</v>
      </c>
      <c r="J133" s="89" t="s">
        <v>499</v>
      </c>
      <c r="K133" s="89" t="s">
        <v>504</v>
      </c>
      <c r="L133" s="89" t="s">
        <v>1105</v>
      </c>
      <c r="M133" s="89" t="s">
        <v>1179</v>
      </c>
      <c r="N133" s="89" t="s">
        <v>441</v>
      </c>
      <c r="O133" s="87">
        <v>237.0</v>
      </c>
      <c r="P133" s="87"/>
      <c r="Q133" s="87"/>
      <c r="R133" s="87"/>
      <c r="S133" s="87"/>
      <c r="T133" s="87"/>
      <c r="U133" s="87">
        <v>122.0</v>
      </c>
      <c r="V133" s="87">
        <v>115.0</v>
      </c>
      <c r="W133" s="87"/>
      <c r="X133" s="87"/>
      <c r="Y133" s="87"/>
      <c r="Z133" s="87"/>
      <c r="AA133" s="87"/>
      <c r="AB133" s="87"/>
      <c r="AC133" s="87">
        <v>15.0</v>
      </c>
      <c r="AD133" s="87">
        <v>50.0</v>
      </c>
      <c r="AE133" s="87">
        <v>69.0</v>
      </c>
      <c r="AF133" s="87">
        <v>92.0</v>
      </c>
      <c r="AG133" s="87">
        <v>11.0</v>
      </c>
      <c r="AH133" s="87">
        <v>53.0</v>
      </c>
      <c r="AI133" s="87">
        <v>184.0</v>
      </c>
      <c r="AJ133" s="87"/>
      <c r="AK133" s="87"/>
      <c r="AL133" s="87">
        <v>81.0</v>
      </c>
      <c r="AM133" s="87"/>
      <c r="AN133" s="87"/>
      <c r="AO133" s="87">
        <v>100.0</v>
      </c>
      <c r="AP133" s="87">
        <v>17.0</v>
      </c>
      <c r="AQ133" s="87">
        <v>39.0</v>
      </c>
      <c r="AR133" s="87"/>
      <c r="AS133" s="87">
        <v>15.0</v>
      </c>
      <c r="AT133" s="87"/>
      <c r="AU133" s="87">
        <v>222.0</v>
      </c>
      <c r="AV133" s="87"/>
      <c r="AW133" s="87"/>
      <c r="AX133" s="87"/>
      <c r="AY133" s="87"/>
      <c r="AZ133" s="87"/>
      <c r="BA133" s="87"/>
      <c r="BB133" s="87"/>
      <c r="BC133" s="87"/>
      <c r="BD133" s="87"/>
      <c r="BE133" s="87"/>
      <c r="BF133" s="87"/>
      <c r="BG133" s="87">
        <v>237.0</v>
      </c>
      <c r="BH133" s="87"/>
      <c r="BI133" s="87">
        <v>6998.0</v>
      </c>
      <c r="BJ133" s="87"/>
      <c r="BK133" s="87"/>
      <c r="BL133" s="87">
        <v>237.0</v>
      </c>
      <c r="BM133" s="87"/>
      <c r="BN133" s="87"/>
      <c r="BO133" s="87"/>
      <c r="BP133" s="87">
        <v>17.0</v>
      </c>
      <c r="BQ133" s="87">
        <v>14.0</v>
      </c>
      <c r="BR133" s="87">
        <v>1.0</v>
      </c>
      <c r="BS133" s="87">
        <v>140.0</v>
      </c>
      <c r="BT133" s="87"/>
      <c r="BU133" s="87"/>
      <c r="BV133" s="87">
        <v>1.0</v>
      </c>
      <c r="BW133" s="87">
        <v>38.0</v>
      </c>
      <c r="BX133" s="87">
        <v>18.0</v>
      </c>
      <c r="BY133" s="87"/>
      <c r="BZ133" s="87"/>
      <c r="CA133" s="87">
        <v>8.0</v>
      </c>
      <c r="CB133" s="87"/>
      <c r="CC133" s="87"/>
      <c r="CD133" s="87"/>
      <c r="CE133" s="87"/>
      <c r="CF133" s="87"/>
      <c r="CG133" s="87">
        <v>23.0</v>
      </c>
      <c r="CH133" s="87">
        <v>214.0</v>
      </c>
      <c r="CI133" s="87"/>
      <c r="CJ133" s="87">
        <v>225.0</v>
      </c>
      <c r="CK133" s="87"/>
      <c r="CL133" s="87">
        <v>12.0</v>
      </c>
      <c r="CM133" s="87"/>
      <c r="CN133" s="87"/>
      <c r="CO133" s="87"/>
      <c r="CP133" s="87"/>
      <c r="CQ133" s="87"/>
      <c r="CR133" s="87"/>
      <c r="CS133" s="87"/>
      <c r="CT133" s="87">
        <v>97.0</v>
      </c>
      <c r="CU133" s="87"/>
      <c r="CV133" s="87"/>
      <c r="CW133" s="87">
        <v>7.0</v>
      </c>
      <c r="CX133" s="87"/>
      <c r="CY133" s="87"/>
      <c r="CZ133" s="87"/>
      <c r="DA133" s="87"/>
      <c r="DB133" s="87">
        <v>2.0</v>
      </c>
      <c r="DC133" s="87">
        <v>89.0</v>
      </c>
      <c r="DD133" s="87">
        <v>8.0</v>
      </c>
      <c r="DE133" s="87">
        <v>6.0</v>
      </c>
      <c r="DF133" s="87">
        <v>14.0</v>
      </c>
      <c r="DG133" s="87">
        <v>5.0</v>
      </c>
      <c r="DH133" s="87"/>
      <c r="DI133" s="87"/>
      <c r="DJ133" s="87"/>
      <c r="DK133" s="87"/>
      <c r="DL133" s="87">
        <v>7.0</v>
      </c>
      <c r="DM133" s="87">
        <v>2.0</v>
      </c>
      <c r="DN133" s="87"/>
      <c r="DO133" s="87">
        <v>67.0</v>
      </c>
      <c r="DP133" s="87"/>
      <c r="DQ133" s="87">
        <v>51.0</v>
      </c>
      <c r="DR133" s="87">
        <v>9.0</v>
      </c>
      <c r="DS133" s="87"/>
      <c r="DT133" s="87"/>
      <c r="DU133" s="87"/>
      <c r="DV133" s="87"/>
      <c r="DW133" s="87"/>
      <c r="DX133" s="87">
        <v>4.0</v>
      </c>
      <c r="DY133" s="87">
        <v>11.0</v>
      </c>
      <c r="DZ133" s="87">
        <v>5.0</v>
      </c>
      <c r="EA133" s="87"/>
      <c r="EB133" s="87">
        <v>17.0</v>
      </c>
      <c r="EC133" s="87">
        <v>1.0</v>
      </c>
      <c r="ED133" s="87">
        <v>72.0</v>
      </c>
      <c r="EE133" s="87"/>
      <c r="EF133" s="87"/>
      <c r="EG133" s="87">
        <v>1.0</v>
      </c>
      <c r="EH133" s="87"/>
      <c r="EI133" s="87">
        <v>1.0</v>
      </c>
      <c r="EJ133" s="87">
        <v>235.0</v>
      </c>
      <c r="EK133" s="88"/>
      <c r="EL133" s="88"/>
      <c r="EM133" s="88"/>
      <c r="EN133" s="88"/>
      <c r="EO133" s="88"/>
      <c r="EP133" s="88"/>
      <c r="EQ133" s="90"/>
    </row>
    <row r="134" ht="12.0" customHeight="1">
      <c r="A134" s="89">
        <v>1.06190547E8</v>
      </c>
      <c r="B134" s="89" t="s">
        <v>1185</v>
      </c>
      <c r="C134" s="89" t="s">
        <v>865</v>
      </c>
      <c r="D134" s="89" t="s">
        <v>1186</v>
      </c>
      <c r="E134" s="89" t="s">
        <v>1187</v>
      </c>
      <c r="F134" s="89" t="s">
        <v>1057</v>
      </c>
      <c r="G134" s="89" t="s">
        <v>1058</v>
      </c>
      <c r="H134" s="89" t="s">
        <v>696</v>
      </c>
      <c r="I134" s="89" t="s">
        <v>456</v>
      </c>
      <c r="J134" s="89" t="s">
        <v>437</v>
      </c>
      <c r="K134" s="89" t="s">
        <v>870</v>
      </c>
      <c r="L134" s="89" t="s">
        <v>871</v>
      </c>
      <c r="M134" s="89" t="s">
        <v>1059</v>
      </c>
      <c r="N134" s="89" t="s">
        <v>441</v>
      </c>
      <c r="O134" s="87">
        <v>3059.0</v>
      </c>
      <c r="P134" s="87"/>
      <c r="Q134" s="87"/>
      <c r="R134" s="87"/>
      <c r="S134" s="87"/>
      <c r="T134" s="87"/>
      <c r="U134" s="87">
        <v>1480.0</v>
      </c>
      <c r="V134" s="87">
        <v>1579.0</v>
      </c>
      <c r="W134" s="87"/>
      <c r="X134" s="87"/>
      <c r="Y134" s="87">
        <v>26.0</v>
      </c>
      <c r="Z134" s="87">
        <v>174.0</v>
      </c>
      <c r="AA134" s="87">
        <v>260.0</v>
      </c>
      <c r="AB134" s="87">
        <v>364.0</v>
      </c>
      <c r="AC134" s="87">
        <v>490.0</v>
      </c>
      <c r="AD134" s="87">
        <v>571.0</v>
      </c>
      <c r="AE134" s="87">
        <v>535.0</v>
      </c>
      <c r="AF134" s="87">
        <v>639.0</v>
      </c>
      <c r="AG134" s="87"/>
      <c r="AH134" s="87">
        <v>2122.0</v>
      </c>
      <c r="AI134" s="87">
        <v>929.0</v>
      </c>
      <c r="AJ134" s="87">
        <v>8.0</v>
      </c>
      <c r="AK134" s="87"/>
      <c r="AL134" s="87">
        <v>521.0</v>
      </c>
      <c r="AM134" s="87"/>
      <c r="AN134" s="87">
        <v>126.0</v>
      </c>
      <c r="AO134" s="87">
        <v>2088.0</v>
      </c>
      <c r="AP134" s="87">
        <v>111.0</v>
      </c>
      <c r="AQ134" s="87">
        <v>213.0</v>
      </c>
      <c r="AR134" s="87"/>
      <c r="AS134" s="87">
        <v>2156.0</v>
      </c>
      <c r="AT134" s="87">
        <v>14.0</v>
      </c>
      <c r="AU134" s="87">
        <v>870.0</v>
      </c>
      <c r="AV134" s="87">
        <v>17.0</v>
      </c>
      <c r="AW134" s="87"/>
      <c r="AX134" s="87"/>
      <c r="AY134" s="87">
        <v>1.0</v>
      </c>
      <c r="AZ134" s="87">
        <v>1.0</v>
      </c>
      <c r="BA134" s="87"/>
      <c r="BB134" s="87"/>
      <c r="BC134" s="87"/>
      <c r="BD134" s="87"/>
      <c r="BE134" s="87">
        <v>2105.0</v>
      </c>
      <c r="BF134" s="87">
        <v>675.0</v>
      </c>
      <c r="BG134" s="87">
        <v>279.0</v>
      </c>
      <c r="BH134" s="87"/>
      <c r="BI134" s="87">
        <v>16353.0</v>
      </c>
      <c r="BJ134" s="87">
        <v>13.0</v>
      </c>
      <c r="BK134" s="87">
        <v>3001.0</v>
      </c>
      <c r="BL134" s="87">
        <v>45.0</v>
      </c>
      <c r="BM134" s="87"/>
      <c r="BN134" s="87"/>
      <c r="BO134" s="87"/>
      <c r="BP134" s="87">
        <v>1914.0</v>
      </c>
      <c r="BQ134" s="87">
        <v>90.0</v>
      </c>
      <c r="BR134" s="87">
        <v>13.0</v>
      </c>
      <c r="BS134" s="87">
        <v>329.0</v>
      </c>
      <c r="BT134" s="87"/>
      <c r="BU134" s="87">
        <v>2.0</v>
      </c>
      <c r="BV134" s="87">
        <v>221.0</v>
      </c>
      <c r="BW134" s="87">
        <v>50.0</v>
      </c>
      <c r="BX134" s="87">
        <v>370.0</v>
      </c>
      <c r="BY134" s="87"/>
      <c r="BZ134" s="87"/>
      <c r="CA134" s="87">
        <v>61.0</v>
      </c>
      <c r="CB134" s="87">
        <v>6.0</v>
      </c>
      <c r="CC134" s="87">
        <v>1.0</v>
      </c>
      <c r="CD134" s="87">
        <v>1.0</v>
      </c>
      <c r="CE134" s="87"/>
      <c r="CF134" s="87">
        <v>1.0</v>
      </c>
      <c r="CG134" s="87">
        <v>74.0</v>
      </c>
      <c r="CH134" s="87">
        <v>2985.0</v>
      </c>
      <c r="CI134" s="87"/>
      <c r="CJ134" s="87">
        <v>1355.0</v>
      </c>
      <c r="CK134" s="87">
        <v>1450.0</v>
      </c>
      <c r="CL134" s="87">
        <v>218.0</v>
      </c>
      <c r="CM134" s="87"/>
      <c r="CN134" s="87"/>
      <c r="CO134" s="87">
        <v>7.0</v>
      </c>
      <c r="CP134" s="87"/>
      <c r="CQ134" s="87">
        <v>19.0</v>
      </c>
      <c r="CR134" s="87">
        <v>8.0</v>
      </c>
      <c r="CS134" s="87">
        <v>2.0</v>
      </c>
      <c r="CT134" s="87">
        <v>396.0</v>
      </c>
      <c r="CU134" s="87">
        <v>102.0</v>
      </c>
      <c r="CV134" s="87">
        <v>47.0</v>
      </c>
      <c r="CW134" s="87">
        <v>257.0</v>
      </c>
      <c r="CX134" s="87">
        <v>50.0</v>
      </c>
      <c r="CY134" s="87">
        <v>117.0</v>
      </c>
      <c r="CZ134" s="87">
        <v>5.0</v>
      </c>
      <c r="DA134" s="87">
        <v>14.0</v>
      </c>
      <c r="DB134" s="87">
        <v>492.0</v>
      </c>
      <c r="DC134" s="87">
        <v>189.0</v>
      </c>
      <c r="DD134" s="87">
        <v>641.0</v>
      </c>
      <c r="DE134" s="87">
        <v>110.0</v>
      </c>
      <c r="DF134" s="87">
        <v>74.0</v>
      </c>
      <c r="DG134" s="87">
        <v>289.0</v>
      </c>
      <c r="DH134" s="87">
        <v>22.0</v>
      </c>
      <c r="DI134" s="87"/>
      <c r="DJ134" s="87"/>
      <c r="DK134" s="87">
        <v>126.0</v>
      </c>
      <c r="DL134" s="87">
        <v>127.0</v>
      </c>
      <c r="DM134" s="87">
        <v>1.0</v>
      </c>
      <c r="DN134" s="87"/>
      <c r="DO134" s="87">
        <v>386.0</v>
      </c>
      <c r="DP134" s="87">
        <v>3.0</v>
      </c>
      <c r="DQ134" s="87">
        <v>241.0</v>
      </c>
      <c r="DR134" s="87">
        <v>509.0</v>
      </c>
      <c r="DS134" s="87">
        <v>1.0</v>
      </c>
      <c r="DT134" s="87">
        <v>3.0</v>
      </c>
      <c r="DU134" s="87">
        <v>1.0</v>
      </c>
      <c r="DV134" s="87">
        <v>37.0</v>
      </c>
      <c r="DW134" s="87">
        <v>14.0</v>
      </c>
      <c r="DX134" s="87">
        <v>80.0</v>
      </c>
      <c r="DY134" s="87">
        <v>65.0</v>
      </c>
      <c r="DZ134" s="87">
        <v>8.0</v>
      </c>
      <c r="EA134" s="87">
        <v>2.0</v>
      </c>
      <c r="EB134" s="87">
        <v>149.0</v>
      </c>
      <c r="EC134" s="87">
        <v>123.0</v>
      </c>
      <c r="ED134" s="87">
        <v>1388.0</v>
      </c>
      <c r="EE134" s="87">
        <v>49.0</v>
      </c>
      <c r="EF134" s="87">
        <v>2.0</v>
      </c>
      <c r="EG134" s="87">
        <v>66.0</v>
      </c>
      <c r="EH134" s="87"/>
      <c r="EI134" s="87">
        <v>9.0</v>
      </c>
      <c r="EJ134" s="87">
        <v>2982.0</v>
      </c>
      <c r="EK134" s="88"/>
      <c r="EL134" s="88"/>
      <c r="EM134" s="88"/>
      <c r="EN134" s="88"/>
      <c r="EO134" s="88"/>
      <c r="EP134" s="88"/>
      <c r="EQ134" s="90"/>
    </row>
    <row r="135" ht="12.0" customHeight="1">
      <c r="A135" s="89">
        <v>1.06190552E8</v>
      </c>
      <c r="B135" s="89" t="s">
        <v>1188</v>
      </c>
      <c r="C135" s="89" t="s">
        <v>865</v>
      </c>
      <c r="D135" s="89" t="s">
        <v>1189</v>
      </c>
      <c r="E135" s="89" t="s">
        <v>1190</v>
      </c>
      <c r="F135" s="89" t="s">
        <v>1191</v>
      </c>
      <c r="G135" s="89" t="s">
        <v>1192</v>
      </c>
      <c r="H135" s="89" t="s">
        <v>447</v>
      </c>
      <c r="I135" s="89" t="s">
        <v>456</v>
      </c>
      <c r="J135" s="89" t="s">
        <v>437</v>
      </c>
      <c r="K135" s="89" t="s">
        <v>1041</v>
      </c>
      <c r="L135" s="89" t="s">
        <v>1042</v>
      </c>
      <c r="M135" s="89" t="s">
        <v>1043</v>
      </c>
      <c r="N135" s="89" t="s">
        <v>441</v>
      </c>
      <c r="O135" s="87"/>
      <c r="P135" s="87">
        <v>58.0</v>
      </c>
      <c r="Q135" s="87">
        <v>103.0</v>
      </c>
      <c r="R135" s="87"/>
      <c r="S135" s="87"/>
      <c r="T135" s="87"/>
      <c r="U135" s="87">
        <v>80.0</v>
      </c>
      <c r="V135" s="87">
        <v>81.0</v>
      </c>
      <c r="W135" s="87"/>
      <c r="X135" s="87"/>
      <c r="Y135" s="87"/>
      <c r="Z135" s="87"/>
      <c r="AA135" s="87"/>
      <c r="AB135" s="87"/>
      <c r="AC135" s="87"/>
      <c r="AD135" s="87">
        <v>26.0</v>
      </c>
      <c r="AE135" s="87">
        <v>51.0</v>
      </c>
      <c r="AF135" s="87">
        <v>81.0</v>
      </c>
      <c r="AG135" s="87">
        <v>3.0</v>
      </c>
      <c r="AH135" s="87">
        <v>14.0</v>
      </c>
      <c r="AI135" s="87">
        <v>147.0</v>
      </c>
      <c r="AJ135" s="87"/>
      <c r="AK135" s="87"/>
      <c r="AL135" s="87"/>
      <c r="AM135" s="87"/>
      <c r="AN135" s="87">
        <v>12.0</v>
      </c>
      <c r="AO135" s="87">
        <v>131.0</v>
      </c>
      <c r="AP135" s="87">
        <v>18.0</v>
      </c>
      <c r="AQ135" s="87"/>
      <c r="AR135" s="87"/>
      <c r="AS135" s="87">
        <v>26.0</v>
      </c>
      <c r="AT135" s="87"/>
      <c r="AU135" s="87">
        <v>98.0</v>
      </c>
      <c r="AV135" s="87">
        <v>26.0</v>
      </c>
      <c r="AW135" s="87">
        <v>7.0</v>
      </c>
      <c r="AX135" s="87">
        <v>4.0</v>
      </c>
      <c r="AY135" s="87"/>
      <c r="AZ135" s="87"/>
      <c r="BA135" s="87"/>
      <c r="BB135" s="87"/>
      <c r="BC135" s="87"/>
      <c r="BD135" s="87"/>
      <c r="BE135" s="87"/>
      <c r="BF135" s="87">
        <v>83.0</v>
      </c>
      <c r="BG135" s="87">
        <v>78.0</v>
      </c>
      <c r="BH135" s="87"/>
      <c r="BI135" s="87">
        <v>33524.0</v>
      </c>
      <c r="BJ135" s="87">
        <v>1.0</v>
      </c>
      <c r="BK135" s="87">
        <v>157.0</v>
      </c>
      <c r="BL135" s="87">
        <v>3.0</v>
      </c>
      <c r="BM135" s="87"/>
      <c r="BN135" s="87"/>
      <c r="BO135" s="87"/>
      <c r="BP135" s="87">
        <v>39.0</v>
      </c>
      <c r="BQ135" s="87">
        <v>45.0</v>
      </c>
      <c r="BR135" s="87"/>
      <c r="BS135" s="87">
        <v>11.0</v>
      </c>
      <c r="BT135" s="87">
        <v>27.0</v>
      </c>
      <c r="BU135" s="87"/>
      <c r="BV135" s="87"/>
      <c r="BW135" s="87">
        <v>27.0</v>
      </c>
      <c r="BX135" s="87">
        <v>2.0</v>
      </c>
      <c r="BY135" s="87"/>
      <c r="BZ135" s="87"/>
      <c r="CA135" s="87">
        <v>2.0</v>
      </c>
      <c r="CB135" s="87">
        <v>8.0</v>
      </c>
      <c r="CC135" s="87"/>
      <c r="CD135" s="87"/>
      <c r="CE135" s="87"/>
      <c r="CF135" s="87"/>
      <c r="CG135" s="87">
        <v>51.0</v>
      </c>
      <c r="CH135" s="87">
        <v>110.0</v>
      </c>
      <c r="CI135" s="87"/>
      <c r="CJ135" s="87">
        <v>101.0</v>
      </c>
      <c r="CK135" s="87">
        <v>49.0</v>
      </c>
      <c r="CL135" s="87">
        <v>4.0</v>
      </c>
      <c r="CM135" s="87"/>
      <c r="CN135" s="87"/>
      <c r="CO135" s="87"/>
      <c r="CP135" s="87"/>
      <c r="CQ135" s="87">
        <v>7.0</v>
      </c>
      <c r="CR135" s="87"/>
      <c r="CS135" s="87"/>
      <c r="CT135" s="87">
        <v>1.0</v>
      </c>
      <c r="CU135" s="87"/>
      <c r="CV135" s="87"/>
      <c r="CW135" s="87">
        <v>1.0</v>
      </c>
      <c r="CX135" s="87">
        <v>52.0</v>
      </c>
      <c r="CY135" s="87">
        <v>94.0</v>
      </c>
      <c r="CZ135" s="87"/>
      <c r="DA135" s="87"/>
      <c r="DB135" s="87">
        <v>5.0</v>
      </c>
      <c r="DC135" s="87">
        <v>3.0</v>
      </c>
      <c r="DD135" s="87"/>
      <c r="DE135" s="87"/>
      <c r="DF135" s="87">
        <v>2.0</v>
      </c>
      <c r="DG135" s="87"/>
      <c r="DH135" s="87"/>
      <c r="DI135" s="87"/>
      <c r="DJ135" s="87"/>
      <c r="DK135" s="87"/>
      <c r="DL135" s="87"/>
      <c r="DM135" s="87">
        <v>2.0</v>
      </c>
      <c r="DN135" s="87">
        <v>1.0</v>
      </c>
      <c r="DO135" s="87"/>
      <c r="DP135" s="87"/>
      <c r="DQ135" s="87"/>
      <c r="DR135" s="87"/>
      <c r="DS135" s="87"/>
      <c r="DT135" s="87"/>
      <c r="DU135" s="87"/>
      <c r="DV135" s="87"/>
      <c r="DW135" s="87"/>
      <c r="DX135" s="87"/>
      <c r="DY135" s="87"/>
      <c r="DZ135" s="87"/>
      <c r="EA135" s="87"/>
      <c r="EB135" s="87"/>
      <c r="EC135" s="87"/>
      <c r="ED135" s="87">
        <v>161.0</v>
      </c>
      <c r="EE135" s="87"/>
      <c r="EF135" s="87"/>
      <c r="EG135" s="87"/>
      <c r="EH135" s="87"/>
      <c r="EI135" s="87">
        <v>1.0</v>
      </c>
      <c r="EJ135" s="87">
        <v>160.0</v>
      </c>
      <c r="EK135" s="88"/>
      <c r="EL135" s="88"/>
      <c r="EM135" s="88"/>
      <c r="EN135" s="88"/>
      <c r="EO135" s="88"/>
      <c r="EP135" s="88"/>
      <c r="EQ135" s="90"/>
    </row>
    <row r="136" ht="12.0" customHeight="1">
      <c r="A136" s="89">
        <v>1.06190555E8</v>
      </c>
      <c r="B136" s="89" t="s">
        <v>1193</v>
      </c>
      <c r="C136" s="89" t="s">
        <v>865</v>
      </c>
      <c r="D136" s="89" t="s">
        <v>1194</v>
      </c>
      <c r="E136" s="89" t="s">
        <v>1195</v>
      </c>
      <c r="F136" s="89" t="s">
        <v>865</v>
      </c>
      <c r="G136" s="89" t="s">
        <v>1196</v>
      </c>
      <c r="H136" s="89" t="s">
        <v>447</v>
      </c>
      <c r="I136" s="89" t="s">
        <v>456</v>
      </c>
      <c r="J136" s="89" t="s">
        <v>605</v>
      </c>
      <c r="K136" s="89" t="s">
        <v>763</v>
      </c>
      <c r="L136" s="89" t="s">
        <v>1085</v>
      </c>
      <c r="M136" s="89" t="s">
        <v>1197</v>
      </c>
      <c r="N136" s="89" t="s">
        <v>441</v>
      </c>
      <c r="O136" s="87">
        <v>49658.0</v>
      </c>
      <c r="P136" s="87"/>
      <c r="Q136" s="87"/>
      <c r="R136" s="87"/>
      <c r="S136" s="87"/>
      <c r="T136" s="87"/>
      <c r="U136" s="87">
        <v>22109.0</v>
      </c>
      <c r="V136" s="87">
        <v>27532.0</v>
      </c>
      <c r="W136" s="87">
        <v>17.0</v>
      </c>
      <c r="X136" s="87">
        <v>6983.0</v>
      </c>
      <c r="Y136" s="87">
        <v>618.0</v>
      </c>
      <c r="Z136" s="87">
        <v>2563.0</v>
      </c>
      <c r="AA136" s="87">
        <v>7497.0</v>
      </c>
      <c r="AB136" s="87">
        <v>4085.0</v>
      </c>
      <c r="AC136" s="87">
        <v>4789.0</v>
      </c>
      <c r="AD136" s="87">
        <v>7213.0</v>
      </c>
      <c r="AE136" s="87">
        <v>8086.0</v>
      </c>
      <c r="AF136" s="87">
        <v>7804.0</v>
      </c>
      <c r="AG136" s="87">
        <v>20.0</v>
      </c>
      <c r="AH136" s="87">
        <v>8748.0</v>
      </c>
      <c r="AI136" s="87">
        <v>40009.0</v>
      </c>
      <c r="AJ136" s="87">
        <v>901.0</v>
      </c>
      <c r="AK136" s="87">
        <v>111.0</v>
      </c>
      <c r="AL136" s="87">
        <v>4104.0</v>
      </c>
      <c r="AM136" s="87">
        <v>143.0</v>
      </c>
      <c r="AN136" s="87">
        <v>6664.0</v>
      </c>
      <c r="AO136" s="87">
        <v>32055.0</v>
      </c>
      <c r="AP136" s="87">
        <v>863.0</v>
      </c>
      <c r="AQ136" s="87">
        <v>4334.0</v>
      </c>
      <c r="AR136" s="87">
        <v>1384.0</v>
      </c>
      <c r="AS136" s="87">
        <v>37363.0</v>
      </c>
      <c r="AT136" s="87">
        <v>1573.0</v>
      </c>
      <c r="AU136" s="87">
        <v>2685.0</v>
      </c>
      <c r="AV136" s="87">
        <v>1681.0</v>
      </c>
      <c r="AW136" s="87">
        <v>68.0</v>
      </c>
      <c r="AX136" s="87"/>
      <c r="AY136" s="87">
        <v>16.0</v>
      </c>
      <c r="AZ136" s="87">
        <v>5.0</v>
      </c>
      <c r="BA136" s="87">
        <v>4.0</v>
      </c>
      <c r="BB136" s="87">
        <v>1.0</v>
      </c>
      <c r="BC136" s="87">
        <v>6262.0</v>
      </c>
      <c r="BD136" s="87"/>
      <c r="BE136" s="87">
        <v>25619.0</v>
      </c>
      <c r="BF136" s="87">
        <v>94.0</v>
      </c>
      <c r="BG136" s="87">
        <v>23938.0</v>
      </c>
      <c r="BH136" s="87">
        <v>7.0</v>
      </c>
      <c r="BI136" s="87">
        <v>305878.0</v>
      </c>
      <c r="BJ136" s="87">
        <v>24940.0</v>
      </c>
      <c r="BK136" s="87">
        <v>7146.0</v>
      </c>
      <c r="BL136" s="87">
        <v>10531.0</v>
      </c>
      <c r="BM136" s="87">
        <v>6262.0</v>
      </c>
      <c r="BN136" s="87">
        <v>779.0</v>
      </c>
      <c r="BO136" s="87"/>
      <c r="BP136" s="87">
        <v>30546.0</v>
      </c>
      <c r="BQ136" s="87">
        <v>413.0</v>
      </c>
      <c r="BR136" s="87">
        <v>2048.0</v>
      </c>
      <c r="BS136" s="87">
        <v>3708.0</v>
      </c>
      <c r="BT136" s="87">
        <v>137.0</v>
      </c>
      <c r="BU136" s="87">
        <v>2.0</v>
      </c>
      <c r="BV136" s="87">
        <v>675.0</v>
      </c>
      <c r="BW136" s="87">
        <v>1477.0</v>
      </c>
      <c r="BX136" s="87">
        <v>10128.0</v>
      </c>
      <c r="BY136" s="87"/>
      <c r="BZ136" s="87">
        <v>9.0</v>
      </c>
      <c r="CA136" s="87">
        <v>423.0</v>
      </c>
      <c r="CB136" s="87">
        <v>78.0</v>
      </c>
      <c r="CC136" s="87">
        <v>1.0</v>
      </c>
      <c r="CD136" s="87">
        <v>5.0</v>
      </c>
      <c r="CE136" s="87"/>
      <c r="CF136" s="87">
        <v>8.0</v>
      </c>
      <c r="CG136" s="87">
        <v>1883.0</v>
      </c>
      <c r="CH136" s="87">
        <v>47775.0</v>
      </c>
      <c r="CI136" s="87"/>
      <c r="CJ136" s="87">
        <v>21298.0</v>
      </c>
      <c r="CK136" s="87">
        <v>5291.0</v>
      </c>
      <c r="CL136" s="87">
        <v>21985.0</v>
      </c>
      <c r="CM136" s="87">
        <v>216.0</v>
      </c>
      <c r="CN136" s="87"/>
      <c r="CO136" s="87">
        <v>369.0</v>
      </c>
      <c r="CP136" s="87"/>
      <c r="CQ136" s="87">
        <v>497.0</v>
      </c>
      <c r="CR136" s="87"/>
      <c r="CS136" s="87">
        <v>2.0</v>
      </c>
      <c r="CT136" s="87">
        <v>4719.0</v>
      </c>
      <c r="CU136" s="87">
        <v>3068.0</v>
      </c>
      <c r="CV136" s="87">
        <v>437.0</v>
      </c>
      <c r="CW136" s="87">
        <v>1381.0</v>
      </c>
      <c r="CX136" s="87">
        <v>361.0</v>
      </c>
      <c r="CY136" s="87">
        <v>1394.0</v>
      </c>
      <c r="CZ136" s="87">
        <v>45.0</v>
      </c>
      <c r="DA136" s="87">
        <v>59.0</v>
      </c>
      <c r="DB136" s="87">
        <v>6894.0</v>
      </c>
      <c r="DC136" s="87">
        <v>1582.0</v>
      </c>
      <c r="DD136" s="87">
        <v>4778.0</v>
      </c>
      <c r="DE136" s="87">
        <v>611.0</v>
      </c>
      <c r="DF136" s="87">
        <v>2499.0</v>
      </c>
      <c r="DG136" s="87">
        <v>2046.0</v>
      </c>
      <c r="DH136" s="87">
        <v>6663.0</v>
      </c>
      <c r="DI136" s="87">
        <v>6363.0</v>
      </c>
      <c r="DJ136" s="87">
        <v>290.0</v>
      </c>
      <c r="DK136" s="87">
        <v>480.0</v>
      </c>
      <c r="DL136" s="87">
        <v>5313.0</v>
      </c>
      <c r="DM136" s="87">
        <v>667.0</v>
      </c>
      <c r="DN136" s="87">
        <v>8.0</v>
      </c>
      <c r="DO136" s="87">
        <v>3602.0</v>
      </c>
      <c r="DP136" s="87">
        <v>6181.0</v>
      </c>
      <c r="DQ136" s="87">
        <v>6195.0</v>
      </c>
      <c r="DR136" s="87">
        <v>5706.0</v>
      </c>
      <c r="DS136" s="87">
        <v>35.0</v>
      </c>
      <c r="DT136" s="87">
        <v>130.0</v>
      </c>
      <c r="DU136" s="87">
        <v>19.0</v>
      </c>
      <c r="DV136" s="87">
        <v>1912.0</v>
      </c>
      <c r="DW136" s="87">
        <v>458.0</v>
      </c>
      <c r="DX136" s="87">
        <v>1194.0</v>
      </c>
      <c r="DY136" s="87">
        <v>4147.0</v>
      </c>
      <c r="DZ136" s="87">
        <v>1721.0</v>
      </c>
      <c r="EA136" s="87">
        <v>237.0</v>
      </c>
      <c r="EB136" s="87">
        <v>1603.0</v>
      </c>
      <c r="EC136" s="87">
        <v>1089.0</v>
      </c>
      <c r="ED136" s="87">
        <v>14549.0</v>
      </c>
      <c r="EE136" s="87">
        <v>880.0</v>
      </c>
      <c r="EF136" s="87">
        <v>16.0</v>
      </c>
      <c r="EG136" s="87">
        <v>879.0</v>
      </c>
      <c r="EH136" s="87">
        <v>95.0</v>
      </c>
      <c r="EI136" s="87">
        <v>1204.0</v>
      </c>
      <c r="EJ136" s="87">
        <v>47464.0</v>
      </c>
      <c r="EK136" s="88"/>
      <c r="EL136" s="88"/>
      <c r="EM136" s="88"/>
      <c r="EN136" s="88"/>
      <c r="EO136" s="88"/>
      <c r="EP136" s="88"/>
      <c r="EQ136" s="90"/>
    </row>
    <row r="137" ht="12.0" customHeight="1">
      <c r="A137" s="89">
        <v>1.06190568E8</v>
      </c>
      <c r="B137" s="89" t="s">
        <v>1198</v>
      </c>
      <c r="C137" s="89" t="s">
        <v>865</v>
      </c>
      <c r="D137" s="89" t="s">
        <v>1199</v>
      </c>
      <c r="E137" s="89" t="s">
        <v>1200</v>
      </c>
      <c r="F137" s="89" t="s">
        <v>1201</v>
      </c>
      <c r="G137" s="89" t="s">
        <v>1202</v>
      </c>
      <c r="H137" s="89" t="s">
        <v>447</v>
      </c>
      <c r="I137" s="89" t="s">
        <v>456</v>
      </c>
      <c r="J137" s="89" t="s">
        <v>448</v>
      </c>
      <c r="K137" s="89" t="s">
        <v>1041</v>
      </c>
      <c r="L137" s="89" t="s">
        <v>1042</v>
      </c>
      <c r="M137" s="89" t="s">
        <v>1128</v>
      </c>
      <c r="N137" s="89" t="s">
        <v>441</v>
      </c>
      <c r="O137" s="87">
        <v>12735.0</v>
      </c>
      <c r="P137" s="87"/>
      <c r="Q137" s="87">
        <v>1125.0</v>
      </c>
      <c r="R137" s="87"/>
      <c r="S137" s="87">
        <v>390.0</v>
      </c>
      <c r="T137" s="87"/>
      <c r="U137" s="87">
        <v>7016.0</v>
      </c>
      <c r="V137" s="87">
        <v>7233.0</v>
      </c>
      <c r="W137" s="87">
        <v>1.0</v>
      </c>
      <c r="X137" s="87">
        <v>1529.0</v>
      </c>
      <c r="Y137" s="87">
        <v>805.0</v>
      </c>
      <c r="Z137" s="87">
        <v>1016.0</v>
      </c>
      <c r="AA137" s="87">
        <v>1344.0</v>
      </c>
      <c r="AB137" s="87">
        <v>1064.0</v>
      </c>
      <c r="AC137" s="87">
        <v>1398.0</v>
      </c>
      <c r="AD137" s="87">
        <v>2166.0</v>
      </c>
      <c r="AE137" s="87">
        <v>2287.0</v>
      </c>
      <c r="AF137" s="87">
        <v>2638.0</v>
      </c>
      <c r="AG137" s="87">
        <v>3.0</v>
      </c>
      <c r="AH137" s="87">
        <v>4514.0</v>
      </c>
      <c r="AI137" s="87">
        <v>9458.0</v>
      </c>
      <c r="AJ137" s="87">
        <v>278.0</v>
      </c>
      <c r="AK137" s="87">
        <v>45.0</v>
      </c>
      <c r="AL137" s="87">
        <v>1398.0</v>
      </c>
      <c r="AM137" s="87">
        <v>46.0</v>
      </c>
      <c r="AN137" s="87">
        <v>786.0</v>
      </c>
      <c r="AO137" s="87">
        <v>10451.0</v>
      </c>
      <c r="AP137" s="87">
        <v>666.0</v>
      </c>
      <c r="AQ137" s="87">
        <v>746.0</v>
      </c>
      <c r="AR137" s="87">
        <v>112.0</v>
      </c>
      <c r="AS137" s="87">
        <v>11062.0</v>
      </c>
      <c r="AT137" s="87">
        <v>839.0</v>
      </c>
      <c r="AU137" s="87">
        <v>588.0</v>
      </c>
      <c r="AV137" s="87">
        <v>392.0</v>
      </c>
      <c r="AW137" s="87">
        <v>276.0</v>
      </c>
      <c r="AX137" s="87">
        <v>262.0</v>
      </c>
      <c r="AY137" s="87"/>
      <c r="AZ137" s="87"/>
      <c r="BA137" s="87"/>
      <c r="BB137" s="87"/>
      <c r="BC137" s="87">
        <v>831.0</v>
      </c>
      <c r="BD137" s="87"/>
      <c r="BE137" s="87">
        <v>10659.0</v>
      </c>
      <c r="BF137" s="87">
        <v>460.0</v>
      </c>
      <c r="BG137" s="87">
        <v>3074.0</v>
      </c>
      <c r="BH137" s="87">
        <v>57.0</v>
      </c>
      <c r="BI137" s="87">
        <v>74558.0</v>
      </c>
      <c r="BJ137" s="87">
        <v>4016.0</v>
      </c>
      <c r="BK137" s="87">
        <v>6360.0</v>
      </c>
      <c r="BL137" s="87">
        <v>2062.0</v>
      </c>
      <c r="BM137" s="87">
        <v>831.0</v>
      </c>
      <c r="BN137" s="87">
        <v>981.0</v>
      </c>
      <c r="BO137" s="87"/>
      <c r="BP137" s="87">
        <v>8067.0</v>
      </c>
      <c r="BQ137" s="87">
        <v>496.0</v>
      </c>
      <c r="BR137" s="87">
        <v>303.0</v>
      </c>
      <c r="BS137" s="87">
        <v>1706.0</v>
      </c>
      <c r="BT137" s="87">
        <v>137.0</v>
      </c>
      <c r="BU137" s="87">
        <v>7.0</v>
      </c>
      <c r="BV137" s="87">
        <v>323.0</v>
      </c>
      <c r="BW137" s="87">
        <v>341.0</v>
      </c>
      <c r="BX137" s="87">
        <v>2411.0</v>
      </c>
      <c r="BY137" s="87"/>
      <c r="BZ137" s="87">
        <v>7.0</v>
      </c>
      <c r="CA137" s="87">
        <v>333.0</v>
      </c>
      <c r="CB137" s="87">
        <v>44.0</v>
      </c>
      <c r="CC137" s="87"/>
      <c r="CD137" s="87">
        <v>71.0</v>
      </c>
      <c r="CE137" s="87">
        <v>4.0</v>
      </c>
      <c r="CF137" s="87"/>
      <c r="CG137" s="87">
        <v>792.0</v>
      </c>
      <c r="CH137" s="87">
        <v>13393.0</v>
      </c>
      <c r="CI137" s="87">
        <v>65.0</v>
      </c>
      <c r="CJ137" s="87">
        <v>6065.0</v>
      </c>
      <c r="CK137" s="87">
        <v>4221.0</v>
      </c>
      <c r="CL137" s="87">
        <v>3472.0</v>
      </c>
      <c r="CM137" s="87">
        <v>91.0</v>
      </c>
      <c r="CN137" s="87"/>
      <c r="CO137" s="87">
        <v>182.0</v>
      </c>
      <c r="CP137" s="87">
        <v>19.0</v>
      </c>
      <c r="CQ137" s="87">
        <v>199.0</v>
      </c>
      <c r="CR137" s="87">
        <v>1.0</v>
      </c>
      <c r="CS137" s="87"/>
      <c r="CT137" s="87">
        <v>2195.0</v>
      </c>
      <c r="CU137" s="87">
        <v>244.0</v>
      </c>
      <c r="CV137" s="87">
        <v>84.0</v>
      </c>
      <c r="CW137" s="87">
        <v>457.0</v>
      </c>
      <c r="CX137" s="87">
        <v>1335.0</v>
      </c>
      <c r="CY137" s="87">
        <v>403.0</v>
      </c>
      <c r="CZ137" s="87">
        <v>4.0</v>
      </c>
      <c r="DA137" s="87">
        <v>7.0</v>
      </c>
      <c r="DB137" s="87">
        <v>2429.0</v>
      </c>
      <c r="DC137" s="87">
        <v>702.0</v>
      </c>
      <c r="DD137" s="87">
        <v>1245.0</v>
      </c>
      <c r="DE137" s="87">
        <v>112.0</v>
      </c>
      <c r="DF137" s="87">
        <v>291.0</v>
      </c>
      <c r="DG137" s="87">
        <v>569.0</v>
      </c>
      <c r="DH137" s="87">
        <v>941.0</v>
      </c>
      <c r="DI137" s="87">
        <v>896.0</v>
      </c>
      <c r="DJ137" s="87">
        <v>14.0</v>
      </c>
      <c r="DK137" s="87">
        <v>279.0</v>
      </c>
      <c r="DL137" s="87">
        <v>1945.0</v>
      </c>
      <c r="DM137" s="87">
        <v>98.0</v>
      </c>
      <c r="DN137" s="87"/>
      <c r="DO137" s="87">
        <v>2416.0</v>
      </c>
      <c r="DP137" s="87">
        <v>829.0</v>
      </c>
      <c r="DQ137" s="87">
        <v>1818.0</v>
      </c>
      <c r="DR137" s="87">
        <v>1233.0</v>
      </c>
      <c r="DS137" s="87">
        <v>3.0</v>
      </c>
      <c r="DT137" s="87">
        <v>12.0</v>
      </c>
      <c r="DU137" s="87">
        <v>3.0</v>
      </c>
      <c r="DV137" s="87">
        <v>237.0</v>
      </c>
      <c r="DW137" s="87">
        <v>38.0</v>
      </c>
      <c r="DX137" s="87">
        <v>338.0</v>
      </c>
      <c r="DY137" s="87">
        <v>977.0</v>
      </c>
      <c r="DZ137" s="87">
        <v>183.0</v>
      </c>
      <c r="EA137" s="87">
        <v>19.0</v>
      </c>
      <c r="EB137" s="87">
        <v>309.0</v>
      </c>
      <c r="EC137" s="87">
        <v>130.0</v>
      </c>
      <c r="ED137" s="87">
        <v>5547.0</v>
      </c>
      <c r="EE137" s="87">
        <v>158.0</v>
      </c>
      <c r="EF137" s="87">
        <v>53.0</v>
      </c>
      <c r="EG137" s="87">
        <v>713.0</v>
      </c>
      <c r="EH137" s="87">
        <v>1.0</v>
      </c>
      <c r="EI137" s="87">
        <v>113.0</v>
      </c>
      <c r="EJ137" s="87">
        <v>13370.0</v>
      </c>
      <c r="EK137" s="88"/>
      <c r="EL137" s="88"/>
      <c r="EM137" s="88"/>
      <c r="EN137" s="88"/>
      <c r="EO137" s="88"/>
      <c r="EP137" s="88"/>
      <c r="EQ137" s="90"/>
    </row>
    <row r="138" ht="12.0" customHeight="1">
      <c r="A138" s="89">
        <v>1.0619057E8</v>
      </c>
      <c r="B138" s="89" t="s">
        <v>1203</v>
      </c>
      <c r="C138" s="89" t="s">
        <v>865</v>
      </c>
      <c r="D138" s="89" t="s">
        <v>1204</v>
      </c>
      <c r="E138" s="89" t="s">
        <v>1205</v>
      </c>
      <c r="F138" s="89" t="s">
        <v>1206</v>
      </c>
      <c r="G138" s="89" t="s">
        <v>1207</v>
      </c>
      <c r="H138" s="89" t="s">
        <v>503</v>
      </c>
      <c r="I138" s="89" t="s">
        <v>456</v>
      </c>
      <c r="J138" s="89" t="s">
        <v>463</v>
      </c>
      <c r="K138" s="89" t="s">
        <v>777</v>
      </c>
      <c r="L138" s="89" t="s">
        <v>1079</v>
      </c>
      <c r="M138" s="89" t="s">
        <v>1208</v>
      </c>
      <c r="N138" s="89" t="s">
        <v>441</v>
      </c>
      <c r="O138" s="87">
        <v>2736.0</v>
      </c>
      <c r="P138" s="87"/>
      <c r="Q138" s="87"/>
      <c r="R138" s="87"/>
      <c r="S138" s="87"/>
      <c r="T138" s="87"/>
      <c r="U138" s="87">
        <v>1538.0</v>
      </c>
      <c r="V138" s="87">
        <v>1198.0</v>
      </c>
      <c r="W138" s="87"/>
      <c r="X138" s="87"/>
      <c r="Y138" s="87"/>
      <c r="Z138" s="87">
        <v>89.0</v>
      </c>
      <c r="AA138" s="87">
        <v>179.0</v>
      </c>
      <c r="AB138" s="87">
        <v>259.0</v>
      </c>
      <c r="AC138" s="87">
        <v>492.0</v>
      </c>
      <c r="AD138" s="87">
        <v>719.0</v>
      </c>
      <c r="AE138" s="87">
        <v>541.0</v>
      </c>
      <c r="AF138" s="87">
        <v>452.0</v>
      </c>
      <c r="AG138" s="87">
        <v>5.0</v>
      </c>
      <c r="AH138" s="87">
        <v>1116.0</v>
      </c>
      <c r="AI138" s="87">
        <v>1466.0</v>
      </c>
      <c r="AJ138" s="87">
        <v>154.0</v>
      </c>
      <c r="AK138" s="87">
        <v>12.0</v>
      </c>
      <c r="AL138" s="87">
        <v>223.0</v>
      </c>
      <c r="AM138" s="87"/>
      <c r="AN138" s="87">
        <v>427.0</v>
      </c>
      <c r="AO138" s="87">
        <v>863.0</v>
      </c>
      <c r="AP138" s="87">
        <v>142.0</v>
      </c>
      <c r="AQ138" s="87">
        <v>1022.0</v>
      </c>
      <c r="AR138" s="87">
        <v>47.0</v>
      </c>
      <c r="AS138" s="87">
        <v>1119.0</v>
      </c>
      <c r="AT138" s="87">
        <v>9.0</v>
      </c>
      <c r="AU138" s="87">
        <v>919.0</v>
      </c>
      <c r="AV138" s="87">
        <v>560.0</v>
      </c>
      <c r="AW138" s="87">
        <v>101.0</v>
      </c>
      <c r="AX138" s="87">
        <v>8.0</v>
      </c>
      <c r="AY138" s="87"/>
      <c r="AZ138" s="87">
        <v>2.0</v>
      </c>
      <c r="BA138" s="87">
        <v>18.0</v>
      </c>
      <c r="BB138" s="87"/>
      <c r="BC138" s="87"/>
      <c r="BD138" s="87"/>
      <c r="BE138" s="87">
        <v>1755.0</v>
      </c>
      <c r="BF138" s="87">
        <v>623.0</v>
      </c>
      <c r="BG138" s="87">
        <v>358.0</v>
      </c>
      <c r="BH138" s="87"/>
      <c r="BI138" s="87">
        <v>15790.0</v>
      </c>
      <c r="BJ138" s="87">
        <v>2595.0</v>
      </c>
      <c r="BK138" s="87"/>
      <c r="BL138" s="87">
        <v>139.0</v>
      </c>
      <c r="BM138" s="87"/>
      <c r="BN138" s="87"/>
      <c r="BO138" s="87">
        <v>2.0</v>
      </c>
      <c r="BP138" s="87">
        <v>945.0</v>
      </c>
      <c r="BQ138" s="87">
        <v>150.0</v>
      </c>
      <c r="BR138" s="87">
        <v>1.0</v>
      </c>
      <c r="BS138" s="87">
        <v>1246.0</v>
      </c>
      <c r="BT138" s="87">
        <v>94.0</v>
      </c>
      <c r="BU138" s="87">
        <v>2.0</v>
      </c>
      <c r="BV138" s="87">
        <v>105.0</v>
      </c>
      <c r="BW138" s="87">
        <v>80.0</v>
      </c>
      <c r="BX138" s="87">
        <v>65.0</v>
      </c>
      <c r="BY138" s="87"/>
      <c r="BZ138" s="87">
        <v>1.0</v>
      </c>
      <c r="CA138" s="87">
        <v>8.0</v>
      </c>
      <c r="CB138" s="87">
        <v>22.0</v>
      </c>
      <c r="CC138" s="87">
        <v>1.0</v>
      </c>
      <c r="CD138" s="87">
        <v>10.0</v>
      </c>
      <c r="CE138" s="87">
        <v>6.0</v>
      </c>
      <c r="CF138" s="87"/>
      <c r="CG138" s="87">
        <v>10.0</v>
      </c>
      <c r="CH138" s="87">
        <v>2726.0</v>
      </c>
      <c r="CI138" s="87"/>
      <c r="CJ138" s="87">
        <v>1535.0</v>
      </c>
      <c r="CK138" s="87">
        <v>1021.0</v>
      </c>
      <c r="CL138" s="87">
        <v>118.0</v>
      </c>
      <c r="CM138" s="87">
        <v>4.0</v>
      </c>
      <c r="CN138" s="87"/>
      <c r="CO138" s="87">
        <v>44.0</v>
      </c>
      <c r="CP138" s="87"/>
      <c r="CQ138" s="87">
        <v>14.0</v>
      </c>
      <c r="CR138" s="87"/>
      <c r="CS138" s="87"/>
      <c r="CT138" s="87">
        <v>787.0</v>
      </c>
      <c r="CU138" s="87">
        <v>34.0</v>
      </c>
      <c r="CV138" s="87">
        <v>17.0</v>
      </c>
      <c r="CW138" s="87">
        <v>193.0</v>
      </c>
      <c r="CX138" s="87">
        <v>106.0</v>
      </c>
      <c r="CY138" s="87">
        <v>142.0</v>
      </c>
      <c r="CZ138" s="87">
        <v>1.0</v>
      </c>
      <c r="DA138" s="87">
        <v>5.0</v>
      </c>
      <c r="DB138" s="87">
        <v>270.0</v>
      </c>
      <c r="DC138" s="87">
        <v>88.0</v>
      </c>
      <c r="DD138" s="87">
        <v>333.0</v>
      </c>
      <c r="DE138" s="87">
        <v>90.0</v>
      </c>
      <c r="DF138" s="87">
        <v>65.0</v>
      </c>
      <c r="DG138" s="87">
        <v>274.0</v>
      </c>
      <c r="DH138" s="87"/>
      <c r="DI138" s="87"/>
      <c r="DJ138" s="87"/>
      <c r="DK138" s="87">
        <v>73.0</v>
      </c>
      <c r="DL138" s="87">
        <v>251.0</v>
      </c>
      <c r="DM138" s="87">
        <v>6.0</v>
      </c>
      <c r="DN138" s="87">
        <v>1.0</v>
      </c>
      <c r="DO138" s="87">
        <v>315.0</v>
      </c>
      <c r="DP138" s="87"/>
      <c r="DQ138" s="87">
        <v>277.0</v>
      </c>
      <c r="DR138" s="87">
        <v>281.0</v>
      </c>
      <c r="DS138" s="87"/>
      <c r="DT138" s="87"/>
      <c r="DU138" s="87"/>
      <c r="DV138" s="87">
        <v>10.0</v>
      </c>
      <c r="DW138" s="87">
        <v>1.0</v>
      </c>
      <c r="DX138" s="87">
        <v>47.0</v>
      </c>
      <c r="DY138" s="87">
        <v>90.0</v>
      </c>
      <c r="DZ138" s="87"/>
      <c r="EA138" s="87"/>
      <c r="EB138" s="87">
        <v>20.0</v>
      </c>
      <c r="EC138" s="87">
        <v>1.0</v>
      </c>
      <c r="ED138" s="87">
        <v>1682.0</v>
      </c>
      <c r="EE138" s="87">
        <v>12.0</v>
      </c>
      <c r="EF138" s="87">
        <v>1.0</v>
      </c>
      <c r="EG138" s="87">
        <v>74.0</v>
      </c>
      <c r="EH138" s="87"/>
      <c r="EI138" s="87">
        <v>11.0</v>
      </c>
      <c r="EJ138" s="87">
        <v>2650.0</v>
      </c>
      <c r="EK138" s="88"/>
      <c r="EL138" s="88"/>
      <c r="EM138" s="88"/>
      <c r="EN138" s="88"/>
      <c r="EO138" s="88"/>
      <c r="EP138" s="88"/>
      <c r="EQ138" s="90"/>
    </row>
    <row r="139" ht="12.0" customHeight="1">
      <c r="A139" s="89">
        <v>1.06190587E8</v>
      </c>
      <c r="B139" s="89" t="s">
        <v>1209</v>
      </c>
      <c r="C139" s="89" t="s">
        <v>865</v>
      </c>
      <c r="D139" s="89" t="s">
        <v>1210</v>
      </c>
      <c r="E139" s="89" t="s">
        <v>1211</v>
      </c>
      <c r="F139" s="89" t="s">
        <v>911</v>
      </c>
      <c r="G139" s="89" t="s">
        <v>1172</v>
      </c>
      <c r="H139" s="89" t="s">
        <v>475</v>
      </c>
      <c r="I139" s="89" t="s">
        <v>456</v>
      </c>
      <c r="J139" s="89" t="s">
        <v>437</v>
      </c>
      <c r="K139" s="89" t="s">
        <v>913</v>
      </c>
      <c r="L139" s="89" t="s">
        <v>892</v>
      </c>
      <c r="M139" s="89" t="s">
        <v>1173</v>
      </c>
      <c r="N139" s="89" t="s">
        <v>441</v>
      </c>
      <c r="O139" s="87">
        <v>2966.0</v>
      </c>
      <c r="P139" s="87"/>
      <c r="Q139" s="87">
        <v>5200.0</v>
      </c>
      <c r="R139" s="87"/>
      <c r="S139" s="87"/>
      <c r="T139" s="87"/>
      <c r="U139" s="87">
        <v>5081.0</v>
      </c>
      <c r="V139" s="87">
        <v>3081.0</v>
      </c>
      <c r="W139" s="87">
        <v>4.0</v>
      </c>
      <c r="X139" s="87"/>
      <c r="Y139" s="87">
        <v>98.0</v>
      </c>
      <c r="Z139" s="87">
        <v>1615.0</v>
      </c>
      <c r="AA139" s="87">
        <v>1999.0</v>
      </c>
      <c r="AB139" s="87">
        <v>1380.0</v>
      </c>
      <c r="AC139" s="87">
        <v>1282.0</v>
      </c>
      <c r="AD139" s="87">
        <v>890.0</v>
      </c>
      <c r="AE139" s="87">
        <v>513.0</v>
      </c>
      <c r="AF139" s="87">
        <v>389.0</v>
      </c>
      <c r="AG139" s="87"/>
      <c r="AH139" s="87">
        <v>2834.0</v>
      </c>
      <c r="AI139" s="87">
        <v>5238.0</v>
      </c>
      <c r="AJ139" s="87">
        <v>94.0</v>
      </c>
      <c r="AK139" s="87">
        <v>51.0</v>
      </c>
      <c r="AL139" s="87">
        <v>440.0</v>
      </c>
      <c r="AM139" s="87">
        <v>81.0</v>
      </c>
      <c r="AN139" s="87">
        <v>2361.0</v>
      </c>
      <c r="AO139" s="87">
        <v>2993.0</v>
      </c>
      <c r="AP139" s="87">
        <v>55.0</v>
      </c>
      <c r="AQ139" s="87">
        <v>2074.0</v>
      </c>
      <c r="AR139" s="87">
        <v>111.0</v>
      </c>
      <c r="AS139" s="87">
        <v>4386.0</v>
      </c>
      <c r="AT139" s="87">
        <v>38.0</v>
      </c>
      <c r="AU139" s="87">
        <v>2317.0</v>
      </c>
      <c r="AV139" s="87">
        <v>536.0</v>
      </c>
      <c r="AW139" s="87">
        <v>517.0</v>
      </c>
      <c r="AX139" s="87">
        <v>268.0</v>
      </c>
      <c r="AY139" s="87">
        <v>1.0</v>
      </c>
      <c r="AZ139" s="87"/>
      <c r="BA139" s="87">
        <v>103.0</v>
      </c>
      <c r="BB139" s="87"/>
      <c r="BC139" s="87"/>
      <c r="BD139" s="87"/>
      <c r="BE139" s="87">
        <v>4856.0</v>
      </c>
      <c r="BF139" s="87">
        <v>2224.0</v>
      </c>
      <c r="BG139" s="87">
        <v>1086.0</v>
      </c>
      <c r="BH139" s="87"/>
      <c r="BI139" s="87">
        <v>59917.0</v>
      </c>
      <c r="BJ139" s="87">
        <v>4507.0</v>
      </c>
      <c r="BK139" s="87">
        <v>3585.0</v>
      </c>
      <c r="BL139" s="87">
        <v>74.0</v>
      </c>
      <c r="BM139" s="87"/>
      <c r="BN139" s="87"/>
      <c r="BO139" s="87"/>
      <c r="BP139" s="87">
        <v>5935.0</v>
      </c>
      <c r="BQ139" s="87">
        <v>261.0</v>
      </c>
      <c r="BR139" s="87">
        <v>280.0</v>
      </c>
      <c r="BS139" s="87">
        <v>658.0</v>
      </c>
      <c r="BT139" s="87">
        <v>122.0</v>
      </c>
      <c r="BU139" s="87">
        <v>17.0</v>
      </c>
      <c r="BV139" s="87">
        <v>357.0</v>
      </c>
      <c r="BW139" s="87">
        <v>114.0</v>
      </c>
      <c r="BX139" s="87">
        <v>160.0</v>
      </c>
      <c r="BY139" s="87"/>
      <c r="BZ139" s="87"/>
      <c r="CA139" s="87">
        <v>37.0</v>
      </c>
      <c r="CB139" s="87">
        <v>206.0</v>
      </c>
      <c r="CC139" s="87"/>
      <c r="CD139" s="87">
        <v>4.0</v>
      </c>
      <c r="CE139" s="87">
        <v>15.0</v>
      </c>
      <c r="CF139" s="87"/>
      <c r="CG139" s="87">
        <v>115.0</v>
      </c>
      <c r="CH139" s="87">
        <v>8051.0</v>
      </c>
      <c r="CI139" s="87"/>
      <c r="CJ139" s="87">
        <v>1499.0</v>
      </c>
      <c r="CK139" s="87">
        <v>6383.0</v>
      </c>
      <c r="CL139" s="87">
        <v>197.0</v>
      </c>
      <c r="CM139" s="87"/>
      <c r="CN139" s="87"/>
      <c r="CO139" s="87">
        <v>15.0</v>
      </c>
      <c r="CP139" s="87"/>
      <c r="CQ139" s="87">
        <v>72.0</v>
      </c>
      <c r="CR139" s="87"/>
      <c r="CS139" s="87"/>
      <c r="CT139" s="87">
        <v>346.0</v>
      </c>
      <c r="CU139" s="87">
        <v>31.0</v>
      </c>
      <c r="CV139" s="87">
        <v>32.0</v>
      </c>
      <c r="CW139" s="87">
        <v>202.0</v>
      </c>
      <c r="CX139" s="87">
        <v>5792.0</v>
      </c>
      <c r="CY139" s="87">
        <v>122.0</v>
      </c>
      <c r="CZ139" s="87"/>
      <c r="DA139" s="87">
        <v>4.0</v>
      </c>
      <c r="DB139" s="87">
        <v>367.0</v>
      </c>
      <c r="DC139" s="87">
        <v>267.0</v>
      </c>
      <c r="DD139" s="87">
        <v>326.0</v>
      </c>
      <c r="DE139" s="87">
        <v>93.0</v>
      </c>
      <c r="DF139" s="87">
        <v>88.0</v>
      </c>
      <c r="DG139" s="87">
        <v>169.0</v>
      </c>
      <c r="DH139" s="87">
        <v>20.0</v>
      </c>
      <c r="DI139" s="87"/>
      <c r="DJ139" s="87"/>
      <c r="DK139" s="87">
        <v>125.0</v>
      </c>
      <c r="DL139" s="87">
        <v>173.0</v>
      </c>
      <c r="DM139" s="87">
        <v>9.0</v>
      </c>
      <c r="DN139" s="87"/>
      <c r="DO139" s="87">
        <v>885.0</v>
      </c>
      <c r="DP139" s="87">
        <v>2.0</v>
      </c>
      <c r="DQ139" s="87">
        <v>216.0</v>
      </c>
      <c r="DR139" s="87">
        <v>264.0</v>
      </c>
      <c r="DS139" s="87"/>
      <c r="DT139" s="87">
        <v>1.0</v>
      </c>
      <c r="DU139" s="87">
        <v>3.0</v>
      </c>
      <c r="DV139" s="87">
        <v>7.0</v>
      </c>
      <c r="DW139" s="87"/>
      <c r="DX139" s="87">
        <v>51.0</v>
      </c>
      <c r="DY139" s="87">
        <v>54.0</v>
      </c>
      <c r="DZ139" s="87">
        <v>5.0</v>
      </c>
      <c r="EA139" s="87">
        <v>1.0</v>
      </c>
      <c r="EB139" s="87">
        <v>21.0</v>
      </c>
      <c r="EC139" s="87">
        <v>4.0</v>
      </c>
      <c r="ED139" s="87">
        <v>6616.0</v>
      </c>
      <c r="EE139" s="87">
        <v>36.0</v>
      </c>
      <c r="EF139" s="87">
        <v>272.0</v>
      </c>
      <c r="EG139" s="87">
        <v>2960.0</v>
      </c>
      <c r="EH139" s="87">
        <v>1.0</v>
      </c>
      <c r="EI139" s="87">
        <v>23.0</v>
      </c>
      <c r="EJ139" s="87">
        <v>4910.0</v>
      </c>
      <c r="EK139" s="88"/>
      <c r="EL139" s="88"/>
      <c r="EM139" s="88"/>
      <c r="EN139" s="88"/>
      <c r="EO139" s="88"/>
      <c r="EP139" s="88"/>
      <c r="EQ139" s="90"/>
    </row>
    <row r="140" ht="12.0" customHeight="1">
      <c r="A140" s="89">
        <v>1.06190599E8</v>
      </c>
      <c r="B140" s="89" t="s">
        <v>1212</v>
      </c>
      <c r="C140" s="89" t="s">
        <v>865</v>
      </c>
      <c r="D140" s="89" t="s">
        <v>1213</v>
      </c>
      <c r="E140" s="89" t="s">
        <v>1214</v>
      </c>
      <c r="F140" s="89" t="s">
        <v>1215</v>
      </c>
      <c r="G140" s="89" t="s">
        <v>1216</v>
      </c>
      <c r="H140" s="89" t="s">
        <v>475</v>
      </c>
      <c r="I140" s="89" t="s">
        <v>456</v>
      </c>
      <c r="J140" s="89" t="s">
        <v>457</v>
      </c>
      <c r="K140" s="89" t="s">
        <v>913</v>
      </c>
      <c r="L140" s="89" t="s">
        <v>1026</v>
      </c>
      <c r="M140" s="89" t="s">
        <v>921</v>
      </c>
      <c r="N140" s="89" t="s">
        <v>441</v>
      </c>
      <c r="O140" s="87">
        <v>677.0</v>
      </c>
      <c r="P140" s="87"/>
      <c r="Q140" s="87"/>
      <c r="R140" s="87"/>
      <c r="S140" s="87"/>
      <c r="T140" s="87"/>
      <c r="U140" s="87">
        <v>396.0</v>
      </c>
      <c r="V140" s="87">
        <v>281.0</v>
      </c>
      <c r="W140" s="87"/>
      <c r="X140" s="87"/>
      <c r="Y140" s="87"/>
      <c r="Z140" s="87"/>
      <c r="AA140" s="87">
        <v>25.0</v>
      </c>
      <c r="AB140" s="87">
        <v>27.0</v>
      </c>
      <c r="AC140" s="87">
        <v>88.0</v>
      </c>
      <c r="AD140" s="87">
        <v>177.0</v>
      </c>
      <c r="AE140" s="87">
        <v>216.0</v>
      </c>
      <c r="AF140" s="87">
        <v>139.0</v>
      </c>
      <c r="AG140" s="87">
        <v>5.0</v>
      </c>
      <c r="AH140" s="87">
        <v>174.0</v>
      </c>
      <c r="AI140" s="87">
        <v>420.0</v>
      </c>
      <c r="AJ140" s="87">
        <v>83.0</v>
      </c>
      <c r="AK140" s="87"/>
      <c r="AL140" s="87">
        <v>44.0</v>
      </c>
      <c r="AM140" s="87"/>
      <c r="AN140" s="87">
        <v>133.0</v>
      </c>
      <c r="AO140" s="87">
        <v>225.0</v>
      </c>
      <c r="AP140" s="87">
        <v>8.0</v>
      </c>
      <c r="AQ140" s="87">
        <v>267.0</v>
      </c>
      <c r="AR140" s="87"/>
      <c r="AS140" s="87"/>
      <c r="AT140" s="87"/>
      <c r="AU140" s="87">
        <v>638.0</v>
      </c>
      <c r="AV140" s="87">
        <v>1.0</v>
      </c>
      <c r="AW140" s="87">
        <v>37.0</v>
      </c>
      <c r="AX140" s="87"/>
      <c r="AY140" s="87"/>
      <c r="AZ140" s="87"/>
      <c r="BA140" s="87"/>
      <c r="BB140" s="87">
        <v>1.0</v>
      </c>
      <c r="BC140" s="87"/>
      <c r="BD140" s="87"/>
      <c r="BE140" s="87"/>
      <c r="BF140" s="87"/>
      <c r="BG140" s="87">
        <v>677.0</v>
      </c>
      <c r="BH140" s="87"/>
      <c r="BI140" s="87">
        <v>29948.0</v>
      </c>
      <c r="BJ140" s="87"/>
      <c r="BK140" s="87"/>
      <c r="BL140" s="87">
        <v>677.0</v>
      </c>
      <c r="BM140" s="87"/>
      <c r="BN140" s="87"/>
      <c r="BO140" s="87"/>
      <c r="BP140" s="87">
        <v>20.0</v>
      </c>
      <c r="BQ140" s="87">
        <v>33.0</v>
      </c>
      <c r="BR140" s="87">
        <v>8.0</v>
      </c>
      <c r="BS140" s="87">
        <v>335.0</v>
      </c>
      <c r="BT140" s="87">
        <v>1.0</v>
      </c>
      <c r="BU140" s="87"/>
      <c r="BV140" s="87">
        <v>14.0</v>
      </c>
      <c r="BW140" s="87">
        <v>176.0</v>
      </c>
      <c r="BX140" s="87">
        <v>81.0</v>
      </c>
      <c r="BY140" s="87"/>
      <c r="BZ140" s="87"/>
      <c r="CA140" s="87">
        <v>8.0</v>
      </c>
      <c r="CB140" s="87">
        <v>1.0</v>
      </c>
      <c r="CC140" s="87"/>
      <c r="CD140" s="87"/>
      <c r="CE140" s="87"/>
      <c r="CF140" s="87"/>
      <c r="CG140" s="87">
        <v>44.0</v>
      </c>
      <c r="CH140" s="87">
        <v>633.0</v>
      </c>
      <c r="CI140" s="87"/>
      <c r="CJ140" s="87">
        <v>458.0</v>
      </c>
      <c r="CK140" s="87">
        <v>99.0</v>
      </c>
      <c r="CL140" s="87">
        <v>107.0</v>
      </c>
      <c r="CM140" s="87">
        <v>3.0</v>
      </c>
      <c r="CN140" s="87"/>
      <c r="CO140" s="87">
        <v>10.0</v>
      </c>
      <c r="CP140" s="87"/>
      <c r="CQ140" s="87"/>
      <c r="CR140" s="87"/>
      <c r="CS140" s="87"/>
      <c r="CT140" s="87">
        <v>65.0</v>
      </c>
      <c r="CU140" s="87">
        <v>1.0</v>
      </c>
      <c r="CV140" s="87">
        <v>2.0</v>
      </c>
      <c r="CW140" s="87">
        <v>13.0</v>
      </c>
      <c r="CX140" s="87"/>
      <c r="CY140" s="87">
        <v>9.0</v>
      </c>
      <c r="CZ140" s="87"/>
      <c r="DA140" s="87">
        <v>1.0</v>
      </c>
      <c r="DB140" s="87">
        <v>40.0</v>
      </c>
      <c r="DC140" s="87">
        <v>377.0</v>
      </c>
      <c r="DD140" s="87">
        <v>33.0</v>
      </c>
      <c r="DE140" s="87">
        <v>31.0</v>
      </c>
      <c r="DF140" s="87">
        <v>15.0</v>
      </c>
      <c r="DG140" s="87">
        <v>50.0</v>
      </c>
      <c r="DH140" s="87"/>
      <c r="DI140" s="87"/>
      <c r="DJ140" s="87"/>
      <c r="DK140" s="87">
        <v>3.0</v>
      </c>
      <c r="DL140" s="87">
        <v>18.0</v>
      </c>
      <c r="DM140" s="87">
        <v>19.0</v>
      </c>
      <c r="DN140" s="87"/>
      <c r="DO140" s="87">
        <v>206.0</v>
      </c>
      <c r="DP140" s="87"/>
      <c r="DQ140" s="87">
        <v>157.0</v>
      </c>
      <c r="DR140" s="87">
        <v>82.0</v>
      </c>
      <c r="DS140" s="87"/>
      <c r="DT140" s="87"/>
      <c r="DU140" s="87"/>
      <c r="DV140" s="87"/>
      <c r="DW140" s="87">
        <v>1.0</v>
      </c>
      <c r="DX140" s="87">
        <v>14.0</v>
      </c>
      <c r="DY140" s="87">
        <v>14.0</v>
      </c>
      <c r="DZ140" s="87"/>
      <c r="EA140" s="87"/>
      <c r="EB140" s="87">
        <v>18.0</v>
      </c>
      <c r="EC140" s="87">
        <v>1.0</v>
      </c>
      <c r="ED140" s="87">
        <v>183.0</v>
      </c>
      <c r="EE140" s="87">
        <v>1.0</v>
      </c>
      <c r="EF140" s="87">
        <v>1.0</v>
      </c>
      <c r="EG140" s="87">
        <v>11.0</v>
      </c>
      <c r="EH140" s="87"/>
      <c r="EI140" s="87">
        <v>1.0</v>
      </c>
      <c r="EJ140" s="87">
        <v>664.0</v>
      </c>
      <c r="EK140" s="88"/>
      <c r="EL140" s="88"/>
      <c r="EM140" s="88"/>
      <c r="EN140" s="88"/>
      <c r="EO140" s="88"/>
      <c r="EP140" s="88"/>
      <c r="EQ140" s="90"/>
    </row>
    <row r="141" ht="12.0" customHeight="1">
      <c r="A141" s="89">
        <v>1.0619063E8</v>
      </c>
      <c r="B141" s="89" t="s">
        <v>1217</v>
      </c>
      <c r="C141" s="89" t="s">
        <v>865</v>
      </c>
      <c r="D141" s="89" t="s">
        <v>1218</v>
      </c>
      <c r="E141" s="89" t="s">
        <v>1219</v>
      </c>
      <c r="F141" s="89" t="s">
        <v>945</v>
      </c>
      <c r="G141" s="89" t="s">
        <v>946</v>
      </c>
      <c r="H141" s="89" t="s">
        <v>447</v>
      </c>
      <c r="I141" s="89" t="s">
        <v>456</v>
      </c>
      <c r="J141" s="89" t="s">
        <v>448</v>
      </c>
      <c r="K141" s="89" t="s">
        <v>487</v>
      </c>
      <c r="L141" s="89" t="s">
        <v>947</v>
      </c>
      <c r="M141" s="89" t="s">
        <v>1220</v>
      </c>
      <c r="N141" s="89" t="s">
        <v>441</v>
      </c>
      <c r="O141" s="87">
        <v>24998.0</v>
      </c>
      <c r="P141" s="87"/>
      <c r="Q141" s="87"/>
      <c r="R141" s="87"/>
      <c r="S141" s="87"/>
      <c r="T141" s="87"/>
      <c r="U141" s="87">
        <v>10440.0</v>
      </c>
      <c r="V141" s="87">
        <v>14558.0</v>
      </c>
      <c r="W141" s="87"/>
      <c r="X141" s="87">
        <v>5443.0</v>
      </c>
      <c r="Y141" s="87">
        <v>392.0</v>
      </c>
      <c r="Z141" s="87">
        <v>3346.0</v>
      </c>
      <c r="AA141" s="87">
        <v>3500.0</v>
      </c>
      <c r="AB141" s="87">
        <v>1546.0</v>
      </c>
      <c r="AC141" s="87">
        <v>2199.0</v>
      </c>
      <c r="AD141" s="87">
        <v>2795.0</v>
      </c>
      <c r="AE141" s="87">
        <v>2759.0</v>
      </c>
      <c r="AF141" s="87">
        <v>3016.0</v>
      </c>
      <c r="AG141" s="87">
        <v>2.0</v>
      </c>
      <c r="AH141" s="87">
        <v>13496.0</v>
      </c>
      <c r="AI141" s="87">
        <v>11089.0</v>
      </c>
      <c r="AJ141" s="87">
        <v>413.0</v>
      </c>
      <c r="AK141" s="87">
        <v>28.0</v>
      </c>
      <c r="AL141" s="87">
        <v>1934.0</v>
      </c>
      <c r="AM141" s="87">
        <v>98.0</v>
      </c>
      <c r="AN141" s="87">
        <v>1608.0</v>
      </c>
      <c r="AO141" s="87">
        <v>15507.0</v>
      </c>
      <c r="AP141" s="87">
        <v>18.0</v>
      </c>
      <c r="AQ141" s="87">
        <v>3332.0</v>
      </c>
      <c r="AR141" s="87">
        <v>2473.0</v>
      </c>
      <c r="AS141" s="87">
        <v>19287.0</v>
      </c>
      <c r="AT141" s="87"/>
      <c r="AU141" s="87">
        <v>439.0</v>
      </c>
      <c r="AV141" s="87">
        <v>193.0</v>
      </c>
      <c r="AW141" s="87">
        <v>104.0</v>
      </c>
      <c r="AX141" s="87"/>
      <c r="AY141" s="87"/>
      <c r="AZ141" s="87">
        <v>2.0</v>
      </c>
      <c r="BA141" s="87">
        <v>3.0</v>
      </c>
      <c r="BB141" s="87"/>
      <c r="BC141" s="87">
        <v>4970.0</v>
      </c>
      <c r="BD141" s="87"/>
      <c r="BE141" s="87">
        <v>13466.0</v>
      </c>
      <c r="BF141" s="87">
        <v>497.0</v>
      </c>
      <c r="BG141" s="87">
        <v>11035.0</v>
      </c>
      <c r="BH141" s="87"/>
      <c r="BI141" s="87">
        <v>104323.0</v>
      </c>
      <c r="BJ141" s="87">
        <v>10908.0</v>
      </c>
      <c r="BK141" s="87">
        <v>5446.0</v>
      </c>
      <c r="BL141" s="87">
        <v>2388.0</v>
      </c>
      <c r="BM141" s="87">
        <v>4970.0</v>
      </c>
      <c r="BN141" s="87">
        <v>1286.0</v>
      </c>
      <c r="BO141" s="87"/>
      <c r="BP141" s="87">
        <v>20429.0</v>
      </c>
      <c r="BQ141" s="87">
        <v>400.0</v>
      </c>
      <c r="BR141" s="87">
        <v>144.0</v>
      </c>
      <c r="BS141" s="87">
        <v>1848.0</v>
      </c>
      <c r="BT141" s="87">
        <v>210.0</v>
      </c>
      <c r="BU141" s="87">
        <v>23.0</v>
      </c>
      <c r="BV141" s="87">
        <v>403.0</v>
      </c>
      <c r="BW141" s="87">
        <v>872.0</v>
      </c>
      <c r="BX141" s="87">
        <v>209.0</v>
      </c>
      <c r="BY141" s="87"/>
      <c r="BZ141" s="87">
        <v>46.0</v>
      </c>
      <c r="CA141" s="87">
        <v>372.0</v>
      </c>
      <c r="CB141" s="87">
        <v>33.0</v>
      </c>
      <c r="CC141" s="87">
        <v>3.0</v>
      </c>
      <c r="CD141" s="87">
        <v>6.0</v>
      </c>
      <c r="CE141" s="87"/>
      <c r="CF141" s="87"/>
      <c r="CG141" s="87">
        <v>1442.0</v>
      </c>
      <c r="CH141" s="87">
        <v>23556.0</v>
      </c>
      <c r="CI141" s="87"/>
      <c r="CJ141" s="87">
        <v>7251.0</v>
      </c>
      <c r="CK141" s="87">
        <v>11873.0</v>
      </c>
      <c r="CL141" s="87">
        <v>4897.0</v>
      </c>
      <c r="CM141" s="87">
        <v>72.0</v>
      </c>
      <c r="CN141" s="87"/>
      <c r="CO141" s="87">
        <v>439.0</v>
      </c>
      <c r="CP141" s="87"/>
      <c r="CQ141" s="87">
        <v>425.0</v>
      </c>
      <c r="CR141" s="87">
        <v>41.0</v>
      </c>
      <c r="CS141" s="87"/>
      <c r="CT141" s="87">
        <v>3010.0</v>
      </c>
      <c r="CU141" s="87">
        <v>521.0</v>
      </c>
      <c r="CV141" s="87">
        <v>88.0</v>
      </c>
      <c r="CW141" s="87">
        <v>752.0</v>
      </c>
      <c r="CX141" s="87">
        <v>172.0</v>
      </c>
      <c r="CY141" s="87">
        <v>451.0</v>
      </c>
      <c r="CZ141" s="87">
        <v>8.0</v>
      </c>
      <c r="DA141" s="87">
        <v>11.0</v>
      </c>
      <c r="DB141" s="87">
        <v>3023.0</v>
      </c>
      <c r="DC141" s="87">
        <v>762.0</v>
      </c>
      <c r="DD141" s="87">
        <v>1627.0</v>
      </c>
      <c r="DE141" s="87">
        <v>170.0</v>
      </c>
      <c r="DF141" s="87">
        <v>458.0</v>
      </c>
      <c r="DG141" s="87">
        <v>793.0</v>
      </c>
      <c r="DH141" s="87">
        <v>5363.0</v>
      </c>
      <c r="DI141" s="87">
        <v>5112.0</v>
      </c>
      <c r="DJ141" s="87">
        <v>12.0</v>
      </c>
      <c r="DK141" s="87">
        <v>157.0</v>
      </c>
      <c r="DL141" s="87">
        <v>2460.0</v>
      </c>
      <c r="DM141" s="87">
        <v>46.0</v>
      </c>
      <c r="DN141" s="87">
        <v>2.0</v>
      </c>
      <c r="DO141" s="87">
        <v>3458.0</v>
      </c>
      <c r="DP141" s="87">
        <v>4936.0</v>
      </c>
      <c r="DQ141" s="87">
        <v>1773.0</v>
      </c>
      <c r="DR141" s="87">
        <v>1908.0</v>
      </c>
      <c r="DS141" s="87">
        <v>5.0</v>
      </c>
      <c r="DT141" s="87">
        <v>7.0</v>
      </c>
      <c r="DU141" s="87">
        <v>16.0</v>
      </c>
      <c r="DV141" s="87">
        <v>257.0</v>
      </c>
      <c r="DW141" s="87">
        <v>46.0</v>
      </c>
      <c r="DX141" s="87">
        <v>425.0</v>
      </c>
      <c r="DY141" s="87">
        <v>1620.0</v>
      </c>
      <c r="DZ141" s="87">
        <v>293.0</v>
      </c>
      <c r="EA141" s="87">
        <v>35.0</v>
      </c>
      <c r="EB141" s="87">
        <v>526.0</v>
      </c>
      <c r="EC141" s="87">
        <v>179.0</v>
      </c>
      <c r="ED141" s="87">
        <v>8646.0</v>
      </c>
      <c r="EE141" s="87">
        <v>868.0</v>
      </c>
      <c r="EF141" s="87">
        <v>11.0</v>
      </c>
      <c r="EG141" s="87">
        <v>451.0</v>
      </c>
      <c r="EH141" s="87">
        <v>2.0</v>
      </c>
      <c r="EI141" s="87">
        <v>118.0</v>
      </c>
      <c r="EJ141" s="87">
        <v>24416.0</v>
      </c>
      <c r="EK141" s="88"/>
      <c r="EL141" s="88"/>
      <c r="EM141" s="88"/>
      <c r="EN141" s="88"/>
      <c r="EO141" s="88"/>
      <c r="EP141" s="88"/>
      <c r="EQ141" s="90"/>
    </row>
    <row r="142" ht="12.0" customHeight="1">
      <c r="A142" s="89">
        <v>1.06190631E8</v>
      </c>
      <c r="B142" s="89" t="s">
        <v>1221</v>
      </c>
      <c r="C142" s="89" t="s">
        <v>865</v>
      </c>
      <c r="D142" s="89" t="s">
        <v>1222</v>
      </c>
      <c r="E142" s="89" t="s">
        <v>1223</v>
      </c>
      <c r="F142" s="89" t="s">
        <v>1224</v>
      </c>
      <c r="G142" s="89" t="s">
        <v>1225</v>
      </c>
      <c r="H142" s="89" t="s">
        <v>447</v>
      </c>
      <c r="I142" s="89" t="s">
        <v>456</v>
      </c>
      <c r="J142" s="89" t="s">
        <v>605</v>
      </c>
      <c r="K142" s="89" t="s">
        <v>777</v>
      </c>
      <c r="L142" s="89" t="s">
        <v>1079</v>
      </c>
      <c r="M142" s="89" t="s">
        <v>1226</v>
      </c>
      <c r="N142" s="89" t="s">
        <v>441</v>
      </c>
      <c r="O142" s="87">
        <v>22683.0</v>
      </c>
      <c r="P142" s="87">
        <v>802.0</v>
      </c>
      <c r="Q142" s="87"/>
      <c r="R142" s="87"/>
      <c r="S142" s="87">
        <v>305.0</v>
      </c>
      <c r="T142" s="87"/>
      <c r="U142" s="87">
        <v>10210.0</v>
      </c>
      <c r="V142" s="87">
        <v>13580.0</v>
      </c>
      <c r="W142" s="87"/>
      <c r="X142" s="87">
        <v>2066.0</v>
      </c>
      <c r="Y142" s="87">
        <v>131.0</v>
      </c>
      <c r="Z142" s="87">
        <v>1472.0</v>
      </c>
      <c r="AA142" s="87">
        <v>2368.0</v>
      </c>
      <c r="AB142" s="87">
        <v>1832.0</v>
      </c>
      <c r="AC142" s="87">
        <v>2687.0</v>
      </c>
      <c r="AD142" s="87">
        <v>3686.0</v>
      </c>
      <c r="AE142" s="87">
        <v>4373.0</v>
      </c>
      <c r="AF142" s="87">
        <v>5173.0</v>
      </c>
      <c r="AG142" s="87">
        <v>2.0</v>
      </c>
      <c r="AH142" s="87">
        <v>15957.0</v>
      </c>
      <c r="AI142" s="87">
        <v>7220.0</v>
      </c>
      <c r="AJ142" s="87">
        <v>613.0</v>
      </c>
      <c r="AK142" s="87">
        <v>384.0</v>
      </c>
      <c r="AL142" s="87">
        <v>1330.0</v>
      </c>
      <c r="AM142" s="87"/>
      <c r="AN142" s="87">
        <v>484.0</v>
      </c>
      <c r="AO142" s="87">
        <v>13874.0</v>
      </c>
      <c r="AP142" s="87">
        <v>656.0</v>
      </c>
      <c r="AQ142" s="87">
        <v>6693.0</v>
      </c>
      <c r="AR142" s="87">
        <v>369.0</v>
      </c>
      <c r="AS142" s="87">
        <v>19249.0</v>
      </c>
      <c r="AT142" s="87">
        <v>124.0</v>
      </c>
      <c r="AU142" s="87">
        <v>1022.0</v>
      </c>
      <c r="AV142" s="87">
        <v>188.0</v>
      </c>
      <c r="AW142" s="87">
        <v>99.0</v>
      </c>
      <c r="AX142" s="87">
        <v>1111.0</v>
      </c>
      <c r="AY142" s="87"/>
      <c r="AZ142" s="87"/>
      <c r="BA142" s="87">
        <v>3.0</v>
      </c>
      <c r="BB142" s="87"/>
      <c r="BC142" s="87">
        <v>1993.0</v>
      </c>
      <c r="BD142" s="87">
        <v>1.0</v>
      </c>
      <c r="BE142" s="87">
        <v>15909.0</v>
      </c>
      <c r="BF142" s="87">
        <v>647.0</v>
      </c>
      <c r="BG142" s="87">
        <v>7233.0</v>
      </c>
      <c r="BH142" s="87">
        <v>1.0</v>
      </c>
      <c r="BI142" s="87">
        <v>113019.0</v>
      </c>
      <c r="BJ142" s="87">
        <v>16022.0</v>
      </c>
      <c r="BK142" s="87">
        <v>3382.0</v>
      </c>
      <c r="BL142" s="87">
        <v>2393.0</v>
      </c>
      <c r="BM142" s="87">
        <v>1993.0</v>
      </c>
      <c r="BN142" s="87"/>
      <c r="BO142" s="87"/>
      <c r="BP142" s="87">
        <v>12391.0</v>
      </c>
      <c r="BQ142" s="87">
        <v>682.0</v>
      </c>
      <c r="BR142" s="87">
        <v>248.0</v>
      </c>
      <c r="BS142" s="87">
        <v>2105.0</v>
      </c>
      <c r="BT142" s="87">
        <v>43.0</v>
      </c>
      <c r="BU142" s="87">
        <v>1.0</v>
      </c>
      <c r="BV142" s="87">
        <v>419.0</v>
      </c>
      <c r="BW142" s="87">
        <v>678.0</v>
      </c>
      <c r="BX142" s="87">
        <v>6675.0</v>
      </c>
      <c r="BY142" s="87">
        <v>3.0</v>
      </c>
      <c r="BZ142" s="87">
        <v>19.0</v>
      </c>
      <c r="CA142" s="87">
        <v>498.0</v>
      </c>
      <c r="CB142" s="87">
        <v>22.0</v>
      </c>
      <c r="CC142" s="87"/>
      <c r="CD142" s="87">
        <v>6.0</v>
      </c>
      <c r="CE142" s="87"/>
      <c r="CF142" s="87"/>
      <c r="CG142" s="87">
        <v>1529.0</v>
      </c>
      <c r="CH142" s="87">
        <v>22260.0</v>
      </c>
      <c r="CI142" s="87">
        <v>1.0</v>
      </c>
      <c r="CJ142" s="87">
        <v>12347.0</v>
      </c>
      <c r="CK142" s="87">
        <v>4760.0</v>
      </c>
      <c r="CL142" s="87">
        <v>6315.0</v>
      </c>
      <c r="CM142" s="87">
        <v>37.0</v>
      </c>
      <c r="CN142" s="87"/>
      <c r="CO142" s="87">
        <v>147.0</v>
      </c>
      <c r="CP142" s="87"/>
      <c r="CQ142" s="87">
        <v>184.0</v>
      </c>
      <c r="CR142" s="87"/>
      <c r="CS142" s="87"/>
      <c r="CT142" s="87">
        <v>2978.0</v>
      </c>
      <c r="CU142" s="87">
        <v>931.0</v>
      </c>
      <c r="CV142" s="87">
        <v>192.0</v>
      </c>
      <c r="CW142" s="87">
        <v>1286.0</v>
      </c>
      <c r="CX142" s="87">
        <v>237.0</v>
      </c>
      <c r="CY142" s="87">
        <v>922.0</v>
      </c>
      <c r="CZ142" s="87">
        <v>48.0</v>
      </c>
      <c r="DA142" s="87">
        <v>45.0</v>
      </c>
      <c r="DB142" s="87">
        <v>3850.0</v>
      </c>
      <c r="DC142" s="87">
        <v>799.0</v>
      </c>
      <c r="DD142" s="87">
        <v>2804.0</v>
      </c>
      <c r="DE142" s="87">
        <v>310.0</v>
      </c>
      <c r="DF142" s="87">
        <v>766.0</v>
      </c>
      <c r="DG142" s="87">
        <v>1285.0</v>
      </c>
      <c r="DH142" s="87">
        <v>2214.0</v>
      </c>
      <c r="DI142" s="87">
        <v>2058.0</v>
      </c>
      <c r="DJ142" s="87">
        <v>10.0</v>
      </c>
      <c r="DK142" s="87">
        <v>785.0</v>
      </c>
      <c r="DL142" s="87">
        <v>1958.0</v>
      </c>
      <c r="DM142" s="87">
        <v>312.0</v>
      </c>
      <c r="DN142" s="87"/>
      <c r="DO142" s="87">
        <v>2144.0</v>
      </c>
      <c r="DP142" s="87">
        <v>1965.0</v>
      </c>
      <c r="DQ142" s="87">
        <v>2259.0</v>
      </c>
      <c r="DR142" s="87">
        <v>2784.0</v>
      </c>
      <c r="DS142" s="87">
        <v>14.0</v>
      </c>
      <c r="DT142" s="87">
        <v>11.0</v>
      </c>
      <c r="DU142" s="87">
        <v>1.0</v>
      </c>
      <c r="DV142" s="87">
        <v>477.0</v>
      </c>
      <c r="DW142" s="87">
        <v>74.0</v>
      </c>
      <c r="DX142" s="87">
        <v>490.0</v>
      </c>
      <c r="DY142" s="87">
        <v>1224.0</v>
      </c>
      <c r="DZ142" s="87">
        <v>346.0</v>
      </c>
      <c r="EA142" s="87">
        <v>69.0</v>
      </c>
      <c r="EB142" s="87">
        <v>383.0</v>
      </c>
      <c r="EC142" s="87">
        <v>336.0</v>
      </c>
      <c r="ED142" s="87">
        <v>10398.0</v>
      </c>
      <c r="EE142" s="87">
        <v>815.0</v>
      </c>
      <c r="EF142" s="87">
        <v>195.0</v>
      </c>
      <c r="EG142" s="87">
        <v>390.0</v>
      </c>
      <c r="EH142" s="87"/>
      <c r="EI142" s="87">
        <v>83.0</v>
      </c>
      <c r="EJ142" s="87">
        <v>23122.0</v>
      </c>
      <c r="EK142" s="88"/>
      <c r="EL142" s="88"/>
      <c r="EM142" s="88"/>
      <c r="EN142" s="88"/>
      <c r="EO142" s="88"/>
      <c r="EP142" s="88"/>
      <c r="EQ142" s="90"/>
    </row>
    <row r="143" ht="12.0" customHeight="1">
      <c r="A143" s="89">
        <v>1.06190636E8</v>
      </c>
      <c r="B143" s="89" t="s">
        <v>1227</v>
      </c>
      <c r="C143" s="89" t="s">
        <v>865</v>
      </c>
      <c r="D143" s="89" t="s">
        <v>1228</v>
      </c>
      <c r="E143" s="89" t="s">
        <v>1229</v>
      </c>
      <c r="F143" s="89" t="s">
        <v>1230</v>
      </c>
      <c r="G143" s="89" t="s">
        <v>1231</v>
      </c>
      <c r="H143" s="89" t="s">
        <v>503</v>
      </c>
      <c r="I143" s="89" t="s">
        <v>456</v>
      </c>
      <c r="J143" s="89" t="s">
        <v>448</v>
      </c>
      <c r="K143" s="89" t="s">
        <v>870</v>
      </c>
      <c r="L143" s="89" t="s">
        <v>899</v>
      </c>
      <c r="M143" s="89" t="s">
        <v>1232</v>
      </c>
      <c r="N143" s="89" t="s">
        <v>441</v>
      </c>
      <c r="O143" s="87">
        <v>15461.0</v>
      </c>
      <c r="P143" s="87"/>
      <c r="Q143" s="87"/>
      <c r="R143" s="87"/>
      <c r="S143" s="87">
        <v>221.0</v>
      </c>
      <c r="T143" s="87"/>
      <c r="U143" s="87">
        <v>6153.0</v>
      </c>
      <c r="V143" s="87">
        <v>9523.0</v>
      </c>
      <c r="W143" s="87">
        <v>6.0</v>
      </c>
      <c r="X143" s="87">
        <v>3574.0</v>
      </c>
      <c r="Y143" s="87">
        <v>302.0</v>
      </c>
      <c r="Z143" s="87">
        <v>2063.0</v>
      </c>
      <c r="AA143" s="87">
        <v>2069.0</v>
      </c>
      <c r="AB143" s="87">
        <v>1022.0</v>
      </c>
      <c r="AC143" s="87">
        <v>1394.0</v>
      </c>
      <c r="AD143" s="87">
        <v>1958.0</v>
      </c>
      <c r="AE143" s="87">
        <v>1679.0</v>
      </c>
      <c r="AF143" s="87">
        <v>1621.0</v>
      </c>
      <c r="AG143" s="87"/>
      <c r="AH143" s="87">
        <v>11130.0</v>
      </c>
      <c r="AI143" s="87">
        <v>4498.0</v>
      </c>
      <c r="AJ143" s="87">
        <v>54.0</v>
      </c>
      <c r="AK143" s="87"/>
      <c r="AL143" s="87">
        <v>1630.0</v>
      </c>
      <c r="AM143" s="87">
        <v>61.0</v>
      </c>
      <c r="AN143" s="87">
        <v>426.0</v>
      </c>
      <c r="AO143" s="87">
        <v>12952.0</v>
      </c>
      <c r="AP143" s="87">
        <v>131.0</v>
      </c>
      <c r="AQ143" s="87">
        <v>446.0</v>
      </c>
      <c r="AR143" s="87">
        <v>36.0</v>
      </c>
      <c r="AS143" s="87">
        <v>11171.0</v>
      </c>
      <c r="AT143" s="87">
        <v>81.0</v>
      </c>
      <c r="AU143" s="87">
        <v>365.0</v>
      </c>
      <c r="AV143" s="87">
        <v>602.0</v>
      </c>
      <c r="AW143" s="87">
        <v>52.0</v>
      </c>
      <c r="AX143" s="87">
        <v>228.0</v>
      </c>
      <c r="AY143" s="87"/>
      <c r="AZ143" s="87">
        <v>4.0</v>
      </c>
      <c r="BA143" s="87">
        <v>2.0</v>
      </c>
      <c r="BB143" s="87">
        <v>1.0</v>
      </c>
      <c r="BC143" s="87">
        <v>3176.0</v>
      </c>
      <c r="BD143" s="87"/>
      <c r="BE143" s="87">
        <v>7862.0</v>
      </c>
      <c r="BF143" s="87">
        <v>211.0</v>
      </c>
      <c r="BG143" s="87">
        <v>7609.0</v>
      </c>
      <c r="BH143" s="87"/>
      <c r="BI143" s="87">
        <v>65235.0</v>
      </c>
      <c r="BJ143" s="87">
        <v>2798.0</v>
      </c>
      <c r="BK143" s="87">
        <v>8263.0</v>
      </c>
      <c r="BL143" s="87">
        <v>1445.0</v>
      </c>
      <c r="BM143" s="87">
        <v>3176.0</v>
      </c>
      <c r="BN143" s="87"/>
      <c r="BO143" s="87"/>
      <c r="BP143" s="87">
        <v>10843.0</v>
      </c>
      <c r="BQ143" s="87">
        <v>567.0</v>
      </c>
      <c r="BR143" s="87">
        <v>184.0</v>
      </c>
      <c r="BS143" s="87">
        <v>1120.0</v>
      </c>
      <c r="BT143" s="87">
        <v>41.0</v>
      </c>
      <c r="BU143" s="87"/>
      <c r="BV143" s="87">
        <v>353.0</v>
      </c>
      <c r="BW143" s="87">
        <v>372.0</v>
      </c>
      <c r="BX143" s="87">
        <v>1939.0</v>
      </c>
      <c r="BY143" s="87"/>
      <c r="BZ143" s="87">
        <v>21.0</v>
      </c>
      <c r="CA143" s="87">
        <v>226.0</v>
      </c>
      <c r="CB143" s="87">
        <v>10.0</v>
      </c>
      <c r="CC143" s="87"/>
      <c r="CD143" s="87">
        <v>6.0</v>
      </c>
      <c r="CE143" s="87"/>
      <c r="CF143" s="87"/>
      <c r="CG143" s="87">
        <v>357.0</v>
      </c>
      <c r="CH143" s="87">
        <v>15325.0</v>
      </c>
      <c r="CI143" s="87"/>
      <c r="CJ143" s="87">
        <v>4206.0</v>
      </c>
      <c r="CK143" s="87">
        <v>8038.0</v>
      </c>
      <c r="CL143" s="87">
        <v>2907.0</v>
      </c>
      <c r="CM143" s="87">
        <v>35.0</v>
      </c>
      <c r="CN143" s="87"/>
      <c r="CO143" s="87">
        <v>208.0</v>
      </c>
      <c r="CP143" s="87"/>
      <c r="CQ143" s="87">
        <v>288.0</v>
      </c>
      <c r="CR143" s="87"/>
      <c r="CS143" s="87"/>
      <c r="CT143" s="87">
        <v>1320.0</v>
      </c>
      <c r="CU143" s="87">
        <v>417.0</v>
      </c>
      <c r="CV143" s="87">
        <v>141.0</v>
      </c>
      <c r="CW143" s="87">
        <v>533.0</v>
      </c>
      <c r="CX143" s="87">
        <v>84.0</v>
      </c>
      <c r="CY143" s="87">
        <v>359.0</v>
      </c>
      <c r="CZ143" s="87">
        <v>5.0</v>
      </c>
      <c r="DA143" s="87">
        <v>16.0</v>
      </c>
      <c r="DB143" s="87">
        <v>1464.0</v>
      </c>
      <c r="DC143" s="87">
        <v>675.0</v>
      </c>
      <c r="DD143" s="87">
        <v>1579.0</v>
      </c>
      <c r="DE143" s="87">
        <v>156.0</v>
      </c>
      <c r="DF143" s="87">
        <v>547.0</v>
      </c>
      <c r="DG143" s="87">
        <v>696.0</v>
      </c>
      <c r="DH143" s="87">
        <v>3407.0</v>
      </c>
      <c r="DI143" s="87">
        <v>3286.0</v>
      </c>
      <c r="DJ143" s="87">
        <v>5.0</v>
      </c>
      <c r="DK143" s="87">
        <v>277.0</v>
      </c>
      <c r="DL143" s="87">
        <v>661.0</v>
      </c>
      <c r="DM143" s="87">
        <v>54.0</v>
      </c>
      <c r="DN143" s="87"/>
      <c r="DO143" s="87">
        <v>4258.0</v>
      </c>
      <c r="DP143" s="87">
        <v>3142.0</v>
      </c>
      <c r="DQ143" s="87">
        <v>852.0</v>
      </c>
      <c r="DR143" s="87">
        <v>1435.0</v>
      </c>
      <c r="DS143" s="87">
        <v>3.0</v>
      </c>
      <c r="DT143" s="87">
        <v>12.0</v>
      </c>
      <c r="DU143" s="87"/>
      <c r="DV143" s="87">
        <v>307.0</v>
      </c>
      <c r="DW143" s="87">
        <v>26.0</v>
      </c>
      <c r="DX143" s="87">
        <v>260.0</v>
      </c>
      <c r="DY143" s="87">
        <v>782.0</v>
      </c>
      <c r="DZ143" s="87">
        <v>192.0</v>
      </c>
      <c r="EA143" s="87">
        <v>53.0</v>
      </c>
      <c r="EB143" s="87">
        <v>116.0</v>
      </c>
      <c r="EC143" s="87">
        <v>162.0</v>
      </c>
      <c r="ED143" s="87">
        <v>3890.0</v>
      </c>
      <c r="EE143" s="87">
        <v>192.0</v>
      </c>
      <c r="EF143" s="87">
        <v>12.0</v>
      </c>
      <c r="EG143" s="87">
        <v>160.0</v>
      </c>
      <c r="EH143" s="87"/>
      <c r="EI143" s="87">
        <v>38.0</v>
      </c>
      <c r="EJ143" s="87">
        <v>15472.0</v>
      </c>
      <c r="EK143" s="88"/>
      <c r="EL143" s="88"/>
      <c r="EM143" s="88"/>
      <c r="EN143" s="88"/>
      <c r="EO143" s="88"/>
      <c r="EP143" s="88"/>
      <c r="EQ143" s="90"/>
    </row>
    <row r="144" ht="12.0" customHeight="1">
      <c r="A144" s="89">
        <v>1.06190661E8</v>
      </c>
      <c r="B144" s="89" t="s">
        <v>1233</v>
      </c>
      <c r="C144" s="89" t="s">
        <v>865</v>
      </c>
      <c r="D144" s="89" t="s">
        <v>1234</v>
      </c>
      <c r="E144" s="89" t="s">
        <v>1235</v>
      </c>
      <c r="F144" s="89" t="s">
        <v>865</v>
      </c>
      <c r="G144" s="89" t="s">
        <v>904</v>
      </c>
      <c r="H144" s="89" t="s">
        <v>475</v>
      </c>
      <c r="I144" s="89" t="s">
        <v>456</v>
      </c>
      <c r="J144" s="89" t="s">
        <v>457</v>
      </c>
      <c r="K144" s="89" t="s">
        <v>905</v>
      </c>
      <c r="L144" s="89" t="s">
        <v>906</v>
      </c>
      <c r="M144" s="89" t="s">
        <v>941</v>
      </c>
      <c r="N144" s="89" t="s">
        <v>441</v>
      </c>
      <c r="O144" s="87">
        <v>1996.0</v>
      </c>
      <c r="P144" s="87"/>
      <c r="Q144" s="87">
        <v>4246.0</v>
      </c>
      <c r="R144" s="87"/>
      <c r="S144" s="87">
        <v>1.0</v>
      </c>
      <c r="T144" s="87"/>
      <c r="U144" s="87">
        <v>3605.0</v>
      </c>
      <c r="V144" s="87">
        <v>2638.0</v>
      </c>
      <c r="W144" s="87"/>
      <c r="X144" s="87"/>
      <c r="Y144" s="87">
        <v>11.0</v>
      </c>
      <c r="Z144" s="87">
        <v>423.0</v>
      </c>
      <c r="AA144" s="87">
        <v>853.0</v>
      </c>
      <c r="AB144" s="87">
        <v>824.0</v>
      </c>
      <c r="AC144" s="87">
        <v>1105.0</v>
      </c>
      <c r="AD144" s="87">
        <v>1507.0</v>
      </c>
      <c r="AE144" s="87">
        <v>1039.0</v>
      </c>
      <c r="AF144" s="87">
        <v>472.0</v>
      </c>
      <c r="AG144" s="87">
        <v>9.0</v>
      </c>
      <c r="AH144" s="87">
        <v>1310.0</v>
      </c>
      <c r="AI144" s="87">
        <v>4417.0</v>
      </c>
      <c r="AJ144" s="87">
        <v>516.0</v>
      </c>
      <c r="AK144" s="87"/>
      <c r="AL144" s="87">
        <v>312.0</v>
      </c>
      <c r="AM144" s="87"/>
      <c r="AN144" s="87">
        <v>1153.0</v>
      </c>
      <c r="AO144" s="87">
        <v>2216.0</v>
      </c>
      <c r="AP144" s="87">
        <v>153.0</v>
      </c>
      <c r="AQ144" s="87">
        <v>2393.0</v>
      </c>
      <c r="AR144" s="87">
        <v>16.0</v>
      </c>
      <c r="AS144" s="87">
        <v>187.0</v>
      </c>
      <c r="AT144" s="87">
        <v>1176.0</v>
      </c>
      <c r="AU144" s="87">
        <v>1718.0</v>
      </c>
      <c r="AV144" s="87">
        <v>2676.0</v>
      </c>
      <c r="AW144" s="87"/>
      <c r="AX144" s="87">
        <v>466.0</v>
      </c>
      <c r="AY144" s="87"/>
      <c r="AZ144" s="87"/>
      <c r="BA144" s="87">
        <v>19.0</v>
      </c>
      <c r="BB144" s="87">
        <v>1.0</v>
      </c>
      <c r="BC144" s="87"/>
      <c r="BD144" s="87"/>
      <c r="BE144" s="87"/>
      <c r="BF144" s="87">
        <v>1715.0</v>
      </c>
      <c r="BG144" s="87">
        <v>4528.0</v>
      </c>
      <c r="BH144" s="87"/>
      <c r="BI144" s="87">
        <v>52809.0</v>
      </c>
      <c r="BJ144" s="87">
        <v>2.0</v>
      </c>
      <c r="BK144" s="87">
        <v>5873.0</v>
      </c>
      <c r="BL144" s="87">
        <v>368.0</v>
      </c>
      <c r="BM144" s="87"/>
      <c r="BN144" s="87"/>
      <c r="BO144" s="87"/>
      <c r="BP144" s="87">
        <v>2626.0</v>
      </c>
      <c r="BQ144" s="87">
        <v>214.0</v>
      </c>
      <c r="BR144" s="87">
        <v>126.0</v>
      </c>
      <c r="BS144" s="87">
        <v>2840.0</v>
      </c>
      <c r="BT144" s="87">
        <v>7.0</v>
      </c>
      <c r="BU144" s="87">
        <v>3.0</v>
      </c>
      <c r="BV144" s="87">
        <v>44.0</v>
      </c>
      <c r="BW144" s="87">
        <v>28.0</v>
      </c>
      <c r="BX144" s="87">
        <v>16.0</v>
      </c>
      <c r="BY144" s="87"/>
      <c r="BZ144" s="87"/>
      <c r="CA144" s="87">
        <v>6.0</v>
      </c>
      <c r="CB144" s="87">
        <v>317.0</v>
      </c>
      <c r="CC144" s="87">
        <v>1.0</v>
      </c>
      <c r="CD144" s="87">
        <v>15.0</v>
      </c>
      <c r="CE144" s="87"/>
      <c r="CF144" s="87"/>
      <c r="CG144" s="87">
        <v>1972.0</v>
      </c>
      <c r="CH144" s="87">
        <v>4271.0</v>
      </c>
      <c r="CI144" s="87"/>
      <c r="CJ144" s="87">
        <v>3412.0</v>
      </c>
      <c r="CK144" s="87">
        <v>2639.0</v>
      </c>
      <c r="CL144" s="87">
        <v>4.0</v>
      </c>
      <c r="CM144" s="87">
        <v>75.0</v>
      </c>
      <c r="CN144" s="87">
        <v>1.0</v>
      </c>
      <c r="CO144" s="87"/>
      <c r="CP144" s="87"/>
      <c r="CQ144" s="87">
        <v>13.0</v>
      </c>
      <c r="CR144" s="87">
        <v>99.0</v>
      </c>
      <c r="CS144" s="87"/>
      <c r="CT144" s="87">
        <v>268.0</v>
      </c>
      <c r="CU144" s="87">
        <v>72.0</v>
      </c>
      <c r="CV144" s="87">
        <v>40.0</v>
      </c>
      <c r="CW144" s="87">
        <v>273.0</v>
      </c>
      <c r="CX144" s="87">
        <v>4236.0</v>
      </c>
      <c r="CY144" s="87">
        <v>172.0</v>
      </c>
      <c r="CZ144" s="87">
        <v>1.0</v>
      </c>
      <c r="DA144" s="87">
        <v>4.0</v>
      </c>
      <c r="DB144" s="87">
        <v>94.0</v>
      </c>
      <c r="DC144" s="87">
        <v>120.0</v>
      </c>
      <c r="DD144" s="87">
        <v>168.0</v>
      </c>
      <c r="DE144" s="87">
        <v>112.0</v>
      </c>
      <c r="DF144" s="87">
        <v>194.0</v>
      </c>
      <c r="DG144" s="87">
        <v>209.0</v>
      </c>
      <c r="DH144" s="87"/>
      <c r="DI144" s="87"/>
      <c r="DJ144" s="87">
        <v>2.0</v>
      </c>
      <c r="DK144" s="87">
        <v>101.0</v>
      </c>
      <c r="DL144" s="87">
        <v>174.0</v>
      </c>
      <c r="DM144" s="87">
        <v>3.0</v>
      </c>
      <c r="DN144" s="87"/>
      <c r="DO144" s="87">
        <v>4303.0</v>
      </c>
      <c r="DP144" s="87"/>
      <c r="DQ144" s="87">
        <v>113.0</v>
      </c>
      <c r="DR144" s="87">
        <v>137.0</v>
      </c>
      <c r="DS144" s="87">
        <v>7.0</v>
      </c>
      <c r="DT144" s="87">
        <v>29.0</v>
      </c>
      <c r="DU144" s="87">
        <v>1.0</v>
      </c>
      <c r="DV144" s="87">
        <v>2.0</v>
      </c>
      <c r="DW144" s="87">
        <v>7.0</v>
      </c>
      <c r="DX144" s="87">
        <v>28.0</v>
      </c>
      <c r="DY144" s="87">
        <v>170.0</v>
      </c>
      <c r="DZ144" s="87">
        <v>53.0</v>
      </c>
      <c r="EA144" s="87">
        <v>21.0</v>
      </c>
      <c r="EB144" s="87">
        <v>12.0</v>
      </c>
      <c r="EC144" s="87">
        <v>6.0</v>
      </c>
      <c r="ED144" s="87">
        <v>1350.0</v>
      </c>
      <c r="EE144" s="87">
        <v>4.0</v>
      </c>
      <c r="EF144" s="87"/>
      <c r="EG144" s="87">
        <v>898.0</v>
      </c>
      <c r="EH144" s="87"/>
      <c r="EI144" s="87">
        <v>9.0</v>
      </c>
      <c r="EJ144" s="87">
        <v>5336.0</v>
      </c>
      <c r="EK144" s="88"/>
      <c r="EL144" s="88"/>
      <c r="EM144" s="88"/>
      <c r="EN144" s="88"/>
      <c r="EO144" s="88"/>
      <c r="EP144" s="88"/>
      <c r="EQ144" s="90"/>
    </row>
    <row r="145" ht="12.0" customHeight="1">
      <c r="A145" s="89">
        <v>1.06190673E8</v>
      </c>
      <c r="B145" s="89" t="s">
        <v>1236</v>
      </c>
      <c r="C145" s="89" t="s">
        <v>865</v>
      </c>
      <c r="D145" s="89" t="s">
        <v>1237</v>
      </c>
      <c r="E145" s="89" t="s">
        <v>1238</v>
      </c>
      <c r="F145" s="89" t="s">
        <v>1239</v>
      </c>
      <c r="G145" s="89" t="s">
        <v>1240</v>
      </c>
      <c r="H145" s="89" t="s">
        <v>475</v>
      </c>
      <c r="I145" s="89" t="s">
        <v>456</v>
      </c>
      <c r="J145" s="89" t="s">
        <v>437</v>
      </c>
      <c r="K145" s="89" t="s">
        <v>504</v>
      </c>
      <c r="L145" s="89" t="s">
        <v>1105</v>
      </c>
      <c r="M145" s="89" t="s">
        <v>1220</v>
      </c>
      <c r="N145" s="89" t="s">
        <v>441</v>
      </c>
      <c r="O145" s="87">
        <v>3688.0</v>
      </c>
      <c r="P145" s="87"/>
      <c r="Q145" s="87"/>
      <c r="R145" s="87"/>
      <c r="S145" s="87"/>
      <c r="T145" s="87"/>
      <c r="U145" s="87">
        <v>1579.0</v>
      </c>
      <c r="V145" s="87">
        <v>2109.0</v>
      </c>
      <c r="W145" s="87"/>
      <c r="X145" s="87">
        <v>364.0</v>
      </c>
      <c r="Y145" s="87">
        <v>39.0</v>
      </c>
      <c r="Z145" s="87">
        <v>240.0</v>
      </c>
      <c r="AA145" s="87">
        <v>362.0</v>
      </c>
      <c r="AB145" s="87">
        <v>249.0</v>
      </c>
      <c r="AC145" s="87">
        <v>432.0</v>
      </c>
      <c r="AD145" s="87">
        <v>588.0</v>
      </c>
      <c r="AE145" s="87">
        <v>593.0</v>
      </c>
      <c r="AF145" s="87">
        <v>821.0</v>
      </c>
      <c r="AG145" s="87"/>
      <c r="AH145" s="87">
        <v>1417.0</v>
      </c>
      <c r="AI145" s="87">
        <v>2270.0</v>
      </c>
      <c r="AJ145" s="87">
        <v>1.0</v>
      </c>
      <c r="AK145" s="87"/>
      <c r="AL145" s="87">
        <v>285.0</v>
      </c>
      <c r="AM145" s="87"/>
      <c r="AN145" s="87">
        <v>231.0</v>
      </c>
      <c r="AO145" s="87">
        <v>3151.0</v>
      </c>
      <c r="AP145" s="87">
        <v>10.0</v>
      </c>
      <c r="AQ145" s="87">
        <v>11.0</v>
      </c>
      <c r="AR145" s="87"/>
      <c r="AS145" s="87">
        <v>2948.0</v>
      </c>
      <c r="AT145" s="87"/>
      <c r="AU145" s="87">
        <v>10.0</v>
      </c>
      <c r="AV145" s="87">
        <v>290.0</v>
      </c>
      <c r="AW145" s="87">
        <v>66.0</v>
      </c>
      <c r="AX145" s="87"/>
      <c r="AY145" s="87"/>
      <c r="AZ145" s="87"/>
      <c r="BA145" s="87">
        <v>4.0</v>
      </c>
      <c r="BB145" s="87">
        <v>6.0</v>
      </c>
      <c r="BC145" s="87">
        <v>364.0</v>
      </c>
      <c r="BD145" s="87"/>
      <c r="BE145" s="87">
        <v>2853.0</v>
      </c>
      <c r="BF145" s="87"/>
      <c r="BG145" s="87">
        <v>835.0</v>
      </c>
      <c r="BH145" s="87"/>
      <c r="BI145" s="87">
        <v>16902.0</v>
      </c>
      <c r="BJ145" s="87">
        <v>2826.0</v>
      </c>
      <c r="BK145" s="87">
        <v>345.0</v>
      </c>
      <c r="BL145" s="87">
        <v>153.0</v>
      </c>
      <c r="BM145" s="87">
        <v>364.0</v>
      </c>
      <c r="BN145" s="87"/>
      <c r="BO145" s="87"/>
      <c r="BP145" s="87">
        <v>1978.0</v>
      </c>
      <c r="BQ145" s="87">
        <v>124.0</v>
      </c>
      <c r="BR145" s="87">
        <v>17.0</v>
      </c>
      <c r="BS145" s="87">
        <v>574.0</v>
      </c>
      <c r="BT145" s="87">
        <v>3.0</v>
      </c>
      <c r="BU145" s="87">
        <v>1.0</v>
      </c>
      <c r="BV145" s="87">
        <v>215.0</v>
      </c>
      <c r="BW145" s="87">
        <v>177.0</v>
      </c>
      <c r="BX145" s="87">
        <v>508.0</v>
      </c>
      <c r="BY145" s="87"/>
      <c r="BZ145" s="87"/>
      <c r="CA145" s="87">
        <v>67.0</v>
      </c>
      <c r="CB145" s="87">
        <v>21.0</v>
      </c>
      <c r="CC145" s="87">
        <v>3.0</v>
      </c>
      <c r="CD145" s="87"/>
      <c r="CE145" s="87"/>
      <c r="CF145" s="87"/>
      <c r="CG145" s="87">
        <v>62.0</v>
      </c>
      <c r="CH145" s="87">
        <v>3626.0</v>
      </c>
      <c r="CI145" s="87"/>
      <c r="CJ145" s="87">
        <v>1762.0</v>
      </c>
      <c r="CK145" s="87">
        <v>1003.0</v>
      </c>
      <c r="CL145" s="87">
        <v>830.0</v>
      </c>
      <c r="CM145" s="87">
        <v>10.0</v>
      </c>
      <c r="CN145" s="87"/>
      <c r="CO145" s="87">
        <v>10.0</v>
      </c>
      <c r="CP145" s="87"/>
      <c r="CQ145" s="87">
        <v>57.0</v>
      </c>
      <c r="CR145" s="87">
        <v>16.0</v>
      </c>
      <c r="CS145" s="87"/>
      <c r="CT145" s="87">
        <v>826.0</v>
      </c>
      <c r="CU145" s="87">
        <v>67.0</v>
      </c>
      <c r="CV145" s="87">
        <v>23.0</v>
      </c>
      <c r="CW145" s="87">
        <v>148.0</v>
      </c>
      <c r="CX145" s="87">
        <v>19.0</v>
      </c>
      <c r="CY145" s="87">
        <v>213.0</v>
      </c>
      <c r="CZ145" s="87">
        <v>3.0</v>
      </c>
      <c r="DA145" s="87">
        <v>5.0</v>
      </c>
      <c r="DB145" s="87">
        <v>360.0</v>
      </c>
      <c r="DC145" s="87">
        <v>195.0</v>
      </c>
      <c r="DD145" s="87">
        <v>426.0</v>
      </c>
      <c r="DE145" s="87">
        <v>52.0</v>
      </c>
      <c r="DF145" s="87">
        <v>115.0</v>
      </c>
      <c r="DG145" s="87">
        <v>215.0</v>
      </c>
      <c r="DH145" s="87">
        <v>397.0</v>
      </c>
      <c r="DI145" s="87">
        <v>364.0</v>
      </c>
      <c r="DJ145" s="87"/>
      <c r="DK145" s="87">
        <v>48.0</v>
      </c>
      <c r="DL145" s="87">
        <v>210.0</v>
      </c>
      <c r="DM145" s="87">
        <v>2.0</v>
      </c>
      <c r="DN145" s="87"/>
      <c r="DO145" s="87">
        <v>823.0</v>
      </c>
      <c r="DP145" s="87">
        <v>361.0</v>
      </c>
      <c r="DQ145" s="87">
        <v>181.0</v>
      </c>
      <c r="DR145" s="87">
        <v>330.0</v>
      </c>
      <c r="DS145" s="87">
        <v>3.0</v>
      </c>
      <c r="DT145" s="87">
        <v>3.0</v>
      </c>
      <c r="DU145" s="87">
        <v>1.0</v>
      </c>
      <c r="DV145" s="87">
        <v>22.0</v>
      </c>
      <c r="DW145" s="87">
        <v>2.0</v>
      </c>
      <c r="DX145" s="87">
        <v>39.0</v>
      </c>
      <c r="DY145" s="87">
        <v>131.0</v>
      </c>
      <c r="DZ145" s="87">
        <v>4.0</v>
      </c>
      <c r="EA145" s="87">
        <v>2.0</v>
      </c>
      <c r="EB145" s="87">
        <v>31.0</v>
      </c>
      <c r="EC145" s="87">
        <v>49.0</v>
      </c>
      <c r="ED145" s="87">
        <v>1656.0</v>
      </c>
      <c r="EE145" s="87">
        <v>50.0</v>
      </c>
      <c r="EF145" s="87">
        <v>2.0</v>
      </c>
      <c r="EG145" s="87">
        <v>53.0</v>
      </c>
      <c r="EH145" s="87">
        <v>1.0</v>
      </c>
      <c r="EI145" s="87">
        <v>20.0</v>
      </c>
      <c r="EJ145" s="87">
        <v>3612.0</v>
      </c>
      <c r="EK145" s="88"/>
      <c r="EL145" s="88"/>
      <c r="EM145" s="88"/>
      <c r="EN145" s="88"/>
      <c r="EO145" s="88"/>
      <c r="EP145" s="88"/>
      <c r="EQ145" s="90"/>
    </row>
    <row r="146" ht="12.0" customHeight="1">
      <c r="A146" s="89">
        <v>1.0619068E8</v>
      </c>
      <c r="B146" s="89" t="s">
        <v>1241</v>
      </c>
      <c r="C146" s="89" t="s">
        <v>865</v>
      </c>
      <c r="D146" s="89" t="s">
        <v>1242</v>
      </c>
      <c r="E146" s="89" t="s">
        <v>1243</v>
      </c>
      <c r="F146" s="89" t="s">
        <v>1244</v>
      </c>
      <c r="G146" s="89" t="s">
        <v>1245</v>
      </c>
      <c r="H146" s="89" t="s">
        <v>447</v>
      </c>
      <c r="I146" s="89" t="s">
        <v>456</v>
      </c>
      <c r="J146" s="89" t="s">
        <v>469</v>
      </c>
      <c r="K146" s="89" t="s">
        <v>954</v>
      </c>
      <c r="L146" s="89" t="s">
        <v>892</v>
      </c>
      <c r="M146" s="89" t="s">
        <v>1246</v>
      </c>
      <c r="N146" s="89" t="s">
        <v>441</v>
      </c>
      <c r="O146" s="87">
        <v>4115.0</v>
      </c>
      <c r="P146" s="87">
        <v>192.0</v>
      </c>
      <c r="Q146" s="87">
        <v>444.0</v>
      </c>
      <c r="R146" s="87">
        <v>328.0</v>
      </c>
      <c r="S146" s="87">
        <v>383.0</v>
      </c>
      <c r="T146" s="87"/>
      <c r="U146" s="87">
        <v>2780.0</v>
      </c>
      <c r="V146" s="87">
        <v>2681.0</v>
      </c>
      <c r="W146" s="87">
        <v>1.0</v>
      </c>
      <c r="X146" s="87"/>
      <c r="Y146" s="87">
        <v>50.0</v>
      </c>
      <c r="Z146" s="87">
        <v>391.0</v>
      </c>
      <c r="AA146" s="87">
        <v>617.0</v>
      </c>
      <c r="AB146" s="87">
        <v>666.0</v>
      </c>
      <c r="AC146" s="87">
        <v>936.0</v>
      </c>
      <c r="AD146" s="87">
        <v>1107.0</v>
      </c>
      <c r="AE146" s="87">
        <v>844.0</v>
      </c>
      <c r="AF146" s="87">
        <v>851.0</v>
      </c>
      <c r="AG146" s="87"/>
      <c r="AH146" s="87">
        <v>2048.0</v>
      </c>
      <c r="AI146" s="87">
        <v>3310.0</v>
      </c>
      <c r="AJ146" s="87">
        <v>104.0</v>
      </c>
      <c r="AK146" s="87"/>
      <c r="AL146" s="87">
        <v>241.0</v>
      </c>
      <c r="AM146" s="87">
        <v>30.0</v>
      </c>
      <c r="AN146" s="87">
        <v>588.0</v>
      </c>
      <c r="AO146" s="87">
        <v>2918.0</v>
      </c>
      <c r="AP146" s="87">
        <v>126.0</v>
      </c>
      <c r="AQ146" s="87">
        <v>1446.0</v>
      </c>
      <c r="AR146" s="87">
        <v>113.0</v>
      </c>
      <c r="AS146" s="87">
        <v>4139.0</v>
      </c>
      <c r="AT146" s="87">
        <v>7.0</v>
      </c>
      <c r="AU146" s="87">
        <v>557.0</v>
      </c>
      <c r="AV146" s="87">
        <v>56.0</v>
      </c>
      <c r="AW146" s="87">
        <v>8.0</v>
      </c>
      <c r="AX146" s="87">
        <v>676.0</v>
      </c>
      <c r="AY146" s="87">
        <v>1.0</v>
      </c>
      <c r="AZ146" s="87"/>
      <c r="BA146" s="87">
        <v>13.0</v>
      </c>
      <c r="BB146" s="87">
        <v>5.0</v>
      </c>
      <c r="BC146" s="87"/>
      <c r="BD146" s="87"/>
      <c r="BE146" s="87">
        <v>3704.0</v>
      </c>
      <c r="BF146" s="87">
        <v>16.0</v>
      </c>
      <c r="BG146" s="87">
        <v>1742.0</v>
      </c>
      <c r="BH146" s="87"/>
      <c r="BI146" s="87">
        <v>86780.0</v>
      </c>
      <c r="BJ146" s="87">
        <v>3589.0</v>
      </c>
      <c r="BK146" s="87">
        <v>551.0</v>
      </c>
      <c r="BL146" s="87">
        <v>1307.0</v>
      </c>
      <c r="BM146" s="87"/>
      <c r="BN146" s="87"/>
      <c r="BO146" s="87">
        <v>15.0</v>
      </c>
      <c r="BP146" s="87">
        <v>3038.0</v>
      </c>
      <c r="BQ146" s="87">
        <v>520.0</v>
      </c>
      <c r="BR146" s="87">
        <v>31.0</v>
      </c>
      <c r="BS146" s="87">
        <v>437.0</v>
      </c>
      <c r="BT146" s="87">
        <v>28.0</v>
      </c>
      <c r="BU146" s="87">
        <v>41.0</v>
      </c>
      <c r="BV146" s="87">
        <v>215.0</v>
      </c>
      <c r="BW146" s="87">
        <v>176.0</v>
      </c>
      <c r="BX146" s="87">
        <v>784.0</v>
      </c>
      <c r="BY146" s="87"/>
      <c r="BZ146" s="87"/>
      <c r="CA146" s="87">
        <v>80.0</v>
      </c>
      <c r="CB146" s="87">
        <v>103.0</v>
      </c>
      <c r="CC146" s="87"/>
      <c r="CD146" s="87">
        <v>7.0</v>
      </c>
      <c r="CE146" s="87"/>
      <c r="CF146" s="87">
        <v>2.0</v>
      </c>
      <c r="CG146" s="87">
        <v>151.0</v>
      </c>
      <c r="CH146" s="87">
        <v>5311.0</v>
      </c>
      <c r="CI146" s="87"/>
      <c r="CJ146" s="87">
        <v>2319.0</v>
      </c>
      <c r="CK146" s="87">
        <v>1781.0</v>
      </c>
      <c r="CL146" s="87">
        <v>1190.0</v>
      </c>
      <c r="CM146" s="87">
        <v>12.0</v>
      </c>
      <c r="CN146" s="87"/>
      <c r="CO146" s="87">
        <v>42.0</v>
      </c>
      <c r="CP146" s="87"/>
      <c r="CQ146" s="87">
        <v>65.0</v>
      </c>
      <c r="CR146" s="87">
        <v>53.0</v>
      </c>
      <c r="CS146" s="87"/>
      <c r="CT146" s="87">
        <v>838.0</v>
      </c>
      <c r="CU146" s="87">
        <v>87.0</v>
      </c>
      <c r="CV146" s="87">
        <v>30.0</v>
      </c>
      <c r="CW146" s="87">
        <v>304.0</v>
      </c>
      <c r="CX146" s="87">
        <v>1118.0</v>
      </c>
      <c r="CY146" s="87">
        <v>214.0</v>
      </c>
      <c r="CZ146" s="87">
        <v>3.0</v>
      </c>
      <c r="DA146" s="87">
        <v>8.0</v>
      </c>
      <c r="DB146" s="87">
        <v>706.0</v>
      </c>
      <c r="DC146" s="87">
        <v>439.0</v>
      </c>
      <c r="DD146" s="87">
        <v>639.0</v>
      </c>
      <c r="DE146" s="87">
        <v>126.0</v>
      </c>
      <c r="DF146" s="87">
        <v>96.0</v>
      </c>
      <c r="DG146" s="87">
        <v>308.0</v>
      </c>
      <c r="DH146" s="87">
        <v>21.0</v>
      </c>
      <c r="DI146" s="87"/>
      <c r="DJ146" s="87"/>
      <c r="DK146" s="87">
        <v>96.0</v>
      </c>
      <c r="DL146" s="87">
        <v>384.0</v>
      </c>
      <c r="DM146" s="87">
        <v>44.0</v>
      </c>
      <c r="DN146" s="87">
        <v>1.0</v>
      </c>
      <c r="DO146" s="87">
        <v>1354.0</v>
      </c>
      <c r="DP146" s="87">
        <v>8.0</v>
      </c>
      <c r="DQ146" s="87">
        <v>367.0</v>
      </c>
      <c r="DR146" s="87">
        <v>619.0</v>
      </c>
      <c r="DS146" s="87"/>
      <c r="DT146" s="87"/>
      <c r="DU146" s="87"/>
      <c r="DV146" s="87">
        <v>43.0</v>
      </c>
      <c r="DW146" s="87">
        <v>8.0</v>
      </c>
      <c r="DX146" s="87">
        <v>97.0</v>
      </c>
      <c r="DY146" s="87">
        <v>154.0</v>
      </c>
      <c r="DZ146" s="87">
        <v>23.0</v>
      </c>
      <c r="EA146" s="87">
        <v>2.0</v>
      </c>
      <c r="EB146" s="87">
        <v>56.0</v>
      </c>
      <c r="EC146" s="87">
        <v>81.0</v>
      </c>
      <c r="ED146" s="87">
        <v>2509.0</v>
      </c>
      <c r="EE146" s="87">
        <v>141.0</v>
      </c>
      <c r="EF146" s="87"/>
      <c r="EG146" s="87">
        <v>366.0</v>
      </c>
      <c r="EH146" s="87">
        <v>3.0</v>
      </c>
      <c r="EI146" s="87">
        <v>64.0</v>
      </c>
      <c r="EJ146" s="87">
        <v>5029.0</v>
      </c>
      <c r="EK146" s="88"/>
      <c r="EL146" s="88"/>
      <c r="EM146" s="88"/>
      <c r="EN146" s="88"/>
      <c r="EO146" s="88"/>
      <c r="EP146" s="88"/>
      <c r="EQ146" s="90"/>
    </row>
    <row r="147" ht="12.0" customHeight="1">
      <c r="A147" s="89">
        <v>1.06190681E8</v>
      </c>
      <c r="B147" s="89" t="s">
        <v>1247</v>
      </c>
      <c r="C147" s="89" t="s">
        <v>865</v>
      </c>
      <c r="D147" s="89" t="s">
        <v>1248</v>
      </c>
      <c r="E147" s="89" t="s">
        <v>1249</v>
      </c>
      <c r="F147" s="89" t="s">
        <v>865</v>
      </c>
      <c r="G147" s="89" t="s">
        <v>1250</v>
      </c>
      <c r="H147" s="89" t="s">
        <v>475</v>
      </c>
      <c r="I147" s="89" t="s">
        <v>456</v>
      </c>
      <c r="J147" s="89" t="s">
        <v>499</v>
      </c>
      <c r="K147" s="89" t="s">
        <v>933</v>
      </c>
      <c r="L147" s="89" t="s">
        <v>1085</v>
      </c>
      <c r="M147" s="89" t="s">
        <v>1133</v>
      </c>
      <c r="N147" s="89" t="s">
        <v>441</v>
      </c>
      <c r="O147" s="87">
        <v>498.0</v>
      </c>
      <c r="P147" s="87"/>
      <c r="Q147" s="87"/>
      <c r="R147" s="87"/>
      <c r="S147" s="87"/>
      <c r="T147" s="87"/>
      <c r="U147" s="87">
        <v>238.0</v>
      </c>
      <c r="V147" s="87">
        <v>260.0</v>
      </c>
      <c r="W147" s="87"/>
      <c r="X147" s="87"/>
      <c r="Y147" s="87"/>
      <c r="Z147" s="87"/>
      <c r="AA147" s="87">
        <v>24.0</v>
      </c>
      <c r="AB147" s="87">
        <v>53.0</v>
      </c>
      <c r="AC147" s="87">
        <v>117.0</v>
      </c>
      <c r="AD147" s="87">
        <v>155.0</v>
      </c>
      <c r="AE147" s="87">
        <v>115.0</v>
      </c>
      <c r="AF147" s="87">
        <v>26.0</v>
      </c>
      <c r="AG147" s="87">
        <v>8.0</v>
      </c>
      <c r="AH147" s="87">
        <v>93.0</v>
      </c>
      <c r="AI147" s="87">
        <v>405.0</v>
      </c>
      <c r="AJ147" s="87"/>
      <c r="AK147" s="87"/>
      <c r="AL147" s="87">
        <v>24.0</v>
      </c>
      <c r="AM147" s="87"/>
      <c r="AN147" s="87">
        <v>45.0</v>
      </c>
      <c r="AO147" s="87">
        <v>358.0</v>
      </c>
      <c r="AP147" s="87">
        <v>7.0</v>
      </c>
      <c r="AQ147" s="87">
        <v>64.0</v>
      </c>
      <c r="AR147" s="87"/>
      <c r="AS147" s="87">
        <v>498.0</v>
      </c>
      <c r="AT147" s="87"/>
      <c r="AU147" s="87"/>
      <c r="AV147" s="87"/>
      <c r="AW147" s="87"/>
      <c r="AX147" s="87"/>
      <c r="AY147" s="87"/>
      <c r="AZ147" s="87"/>
      <c r="BA147" s="87"/>
      <c r="BB147" s="87"/>
      <c r="BC147" s="87"/>
      <c r="BD147" s="87"/>
      <c r="BE147" s="87"/>
      <c r="BF147" s="87"/>
      <c r="BG147" s="87">
        <v>498.0</v>
      </c>
      <c r="BH147" s="87"/>
      <c r="BI147" s="87">
        <v>701.0</v>
      </c>
      <c r="BJ147" s="87"/>
      <c r="BK147" s="87"/>
      <c r="BL147" s="87">
        <v>498.0</v>
      </c>
      <c r="BM147" s="87"/>
      <c r="BN147" s="87"/>
      <c r="BO147" s="87"/>
      <c r="BP147" s="87">
        <v>407.0</v>
      </c>
      <c r="BQ147" s="87"/>
      <c r="BR147" s="87">
        <v>6.0</v>
      </c>
      <c r="BS147" s="87"/>
      <c r="BT147" s="87">
        <v>1.0</v>
      </c>
      <c r="BU147" s="87"/>
      <c r="BV147" s="87"/>
      <c r="BW147" s="87"/>
      <c r="BX147" s="87">
        <v>84.0</v>
      </c>
      <c r="BY147" s="87"/>
      <c r="BZ147" s="87"/>
      <c r="CA147" s="87"/>
      <c r="CB147" s="87"/>
      <c r="CC147" s="87"/>
      <c r="CD147" s="87"/>
      <c r="CE147" s="87"/>
      <c r="CF147" s="87"/>
      <c r="CG147" s="87"/>
      <c r="CH147" s="87">
        <v>498.0</v>
      </c>
      <c r="CI147" s="87"/>
      <c r="CJ147" s="87">
        <v>192.0</v>
      </c>
      <c r="CK147" s="87"/>
      <c r="CL147" s="87">
        <v>159.0</v>
      </c>
      <c r="CM147" s="87">
        <v>87.0</v>
      </c>
      <c r="CN147" s="87"/>
      <c r="CO147" s="87"/>
      <c r="CP147" s="87"/>
      <c r="CQ147" s="87">
        <v>7.0</v>
      </c>
      <c r="CR147" s="87">
        <v>53.0</v>
      </c>
      <c r="CS147" s="87"/>
      <c r="CT147" s="87"/>
      <c r="CU147" s="87"/>
      <c r="CV147" s="87"/>
      <c r="CW147" s="87"/>
      <c r="CX147" s="87"/>
      <c r="CY147" s="87">
        <v>2.0</v>
      </c>
      <c r="CZ147" s="87"/>
      <c r="DA147" s="87"/>
      <c r="DB147" s="87"/>
      <c r="DC147" s="87"/>
      <c r="DD147" s="87"/>
      <c r="DE147" s="87"/>
      <c r="DF147" s="87">
        <v>469.0</v>
      </c>
      <c r="DG147" s="87"/>
      <c r="DH147" s="87"/>
      <c r="DI147" s="87"/>
      <c r="DJ147" s="87"/>
      <c r="DK147" s="87"/>
      <c r="DL147" s="87">
        <v>27.0</v>
      </c>
      <c r="DM147" s="87"/>
      <c r="DN147" s="87"/>
      <c r="DO147" s="87">
        <v>1.0</v>
      </c>
      <c r="DP147" s="87"/>
      <c r="DQ147" s="87"/>
      <c r="DR147" s="87"/>
      <c r="DS147" s="87"/>
      <c r="DT147" s="87"/>
      <c r="DU147" s="87"/>
      <c r="DV147" s="87"/>
      <c r="DW147" s="87"/>
      <c r="DX147" s="87">
        <v>1.0</v>
      </c>
      <c r="DY147" s="87">
        <v>441.0</v>
      </c>
      <c r="DZ147" s="87">
        <v>49.0</v>
      </c>
      <c r="EA147" s="87"/>
      <c r="EB147" s="87"/>
      <c r="EC147" s="87"/>
      <c r="ED147" s="87">
        <v>2.0</v>
      </c>
      <c r="EE147" s="87">
        <v>4.0</v>
      </c>
      <c r="EF147" s="87"/>
      <c r="EG147" s="87"/>
      <c r="EH147" s="87">
        <v>2.0</v>
      </c>
      <c r="EI147" s="87">
        <v>27.0</v>
      </c>
      <c r="EJ147" s="87">
        <v>469.0</v>
      </c>
      <c r="EK147" s="88"/>
      <c r="EL147" s="88"/>
      <c r="EM147" s="88"/>
      <c r="EN147" s="88"/>
      <c r="EO147" s="88"/>
      <c r="EP147" s="88"/>
      <c r="EQ147" s="90"/>
    </row>
    <row r="148" ht="12.0" customHeight="1">
      <c r="A148" s="89">
        <v>1.06190687E8</v>
      </c>
      <c r="B148" s="89" t="s">
        <v>1251</v>
      </c>
      <c r="C148" s="89" t="s">
        <v>865</v>
      </c>
      <c r="D148" s="89" t="s">
        <v>1252</v>
      </c>
      <c r="E148" s="89" t="s">
        <v>1253</v>
      </c>
      <c r="F148" s="89" t="s">
        <v>1254</v>
      </c>
      <c r="G148" s="89" t="s">
        <v>1255</v>
      </c>
      <c r="H148" s="89" t="s">
        <v>1256</v>
      </c>
      <c r="I148" s="89" t="s">
        <v>456</v>
      </c>
      <c r="J148" s="89" t="s">
        <v>469</v>
      </c>
      <c r="K148" s="89" t="s">
        <v>763</v>
      </c>
      <c r="L148" s="89" t="s">
        <v>1085</v>
      </c>
      <c r="M148" s="89" t="s">
        <v>1257</v>
      </c>
      <c r="N148" s="89" t="s">
        <v>441</v>
      </c>
      <c r="O148" s="87">
        <v>15447.0</v>
      </c>
      <c r="P148" s="87"/>
      <c r="Q148" s="87">
        <v>2.0</v>
      </c>
      <c r="R148" s="87"/>
      <c r="S148" s="87"/>
      <c r="T148" s="87"/>
      <c r="U148" s="87">
        <v>6659.0</v>
      </c>
      <c r="V148" s="87">
        <v>8789.0</v>
      </c>
      <c r="W148" s="87">
        <v>1.0</v>
      </c>
      <c r="X148" s="87">
        <v>2302.0</v>
      </c>
      <c r="Y148" s="87">
        <v>652.0</v>
      </c>
      <c r="Z148" s="87">
        <v>763.0</v>
      </c>
      <c r="AA148" s="87">
        <v>1925.0</v>
      </c>
      <c r="AB148" s="87">
        <v>1142.0</v>
      </c>
      <c r="AC148" s="87">
        <v>1415.0</v>
      </c>
      <c r="AD148" s="87">
        <v>2195.0</v>
      </c>
      <c r="AE148" s="87">
        <v>2541.0</v>
      </c>
      <c r="AF148" s="87">
        <v>2513.0</v>
      </c>
      <c r="AG148" s="87">
        <v>1.0</v>
      </c>
      <c r="AH148" s="87">
        <v>3315.0</v>
      </c>
      <c r="AI148" s="87">
        <v>11188.0</v>
      </c>
      <c r="AJ148" s="87">
        <v>946.0</v>
      </c>
      <c r="AK148" s="87">
        <v>87.0</v>
      </c>
      <c r="AL148" s="87">
        <v>1492.0</v>
      </c>
      <c r="AM148" s="87">
        <v>45.0</v>
      </c>
      <c r="AN148" s="87">
        <v>1439.0</v>
      </c>
      <c r="AO148" s="87">
        <v>8395.0</v>
      </c>
      <c r="AP148" s="87">
        <v>1570.0</v>
      </c>
      <c r="AQ148" s="87">
        <v>1898.0</v>
      </c>
      <c r="AR148" s="87">
        <v>523.0</v>
      </c>
      <c r="AS148" s="87">
        <v>11048.0</v>
      </c>
      <c r="AT148" s="87">
        <v>816.0</v>
      </c>
      <c r="AU148" s="87">
        <v>1643.0</v>
      </c>
      <c r="AV148" s="87">
        <v>467.0</v>
      </c>
      <c r="AW148" s="87">
        <v>36.0</v>
      </c>
      <c r="AX148" s="87"/>
      <c r="AY148" s="87">
        <v>3.0</v>
      </c>
      <c r="AZ148" s="87">
        <v>11.0</v>
      </c>
      <c r="BA148" s="87">
        <v>1.0</v>
      </c>
      <c r="BB148" s="87">
        <v>10.0</v>
      </c>
      <c r="BC148" s="87">
        <v>1414.0</v>
      </c>
      <c r="BD148" s="87"/>
      <c r="BE148" s="87">
        <v>7743.0</v>
      </c>
      <c r="BF148" s="87">
        <v>851.0</v>
      </c>
      <c r="BG148" s="87">
        <v>6854.0</v>
      </c>
      <c r="BH148" s="87">
        <v>1.0</v>
      </c>
      <c r="BI148" s="87">
        <v>85849.0</v>
      </c>
      <c r="BJ148" s="87">
        <v>8436.0</v>
      </c>
      <c r="BK148" s="87">
        <v>2888.0</v>
      </c>
      <c r="BL148" s="87">
        <v>2708.0</v>
      </c>
      <c r="BM148" s="87">
        <v>1414.0</v>
      </c>
      <c r="BN148" s="87"/>
      <c r="BO148" s="87">
        <v>3.0</v>
      </c>
      <c r="BP148" s="87">
        <v>9349.0</v>
      </c>
      <c r="BQ148" s="87">
        <v>312.0</v>
      </c>
      <c r="BR148" s="87">
        <v>280.0</v>
      </c>
      <c r="BS148" s="87">
        <v>1353.0</v>
      </c>
      <c r="BT148" s="87">
        <v>89.0</v>
      </c>
      <c r="BU148" s="87"/>
      <c r="BV148" s="87">
        <v>223.0</v>
      </c>
      <c r="BW148" s="87">
        <v>308.0</v>
      </c>
      <c r="BX148" s="87">
        <v>3257.0</v>
      </c>
      <c r="BY148" s="87"/>
      <c r="BZ148" s="87">
        <v>6.0</v>
      </c>
      <c r="CA148" s="87">
        <v>241.0</v>
      </c>
      <c r="CB148" s="87">
        <v>29.0</v>
      </c>
      <c r="CC148" s="87"/>
      <c r="CD148" s="87">
        <v>2.0</v>
      </c>
      <c r="CE148" s="87"/>
      <c r="CF148" s="87"/>
      <c r="CG148" s="87">
        <v>1132.0</v>
      </c>
      <c r="CH148" s="87">
        <v>14317.0</v>
      </c>
      <c r="CI148" s="87"/>
      <c r="CJ148" s="87">
        <v>6488.0</v>
      </c>
      <c r="CK148" s="87">
        <v>2267.0</v>
      </c>
      <c r="CL148" s="87">
        <v>6529.0</v>
      </c>
      <c r="CM148" s="87">
        <v>20.0</v>
      </c>
      <c r="CN148" s="87"/>
      <c r="CO148" s="87">
        <v>76.0</v>
      </c>
      <c r="CP148" s="87"/>
      <c r="CQ148" s="87">
        <v>62.0</v>
      </c>
      <c r="CR148" s="87">
        <v>6.0</v>
      </c>
      <c r="CS148" s="87">
        <v>1.0</v>
      </c>
      <c r="CT148" s="87">
        <v>1587.0</v>
      </c>
      <c r="CU148" s="87">
        <v>1086.0</v>
      </c>
      <c r="CV148" s="87">
        <v>238.0</v>
      </c>
      <c r="CW148" s="87">
        <v>640.0</v>
      </c>
      <c r="CX148" s="87">
        <v>221.0</v>
      </c>
      <c r="CY148" s="87">
        <v>637.0</v>
      </c>
      <c r="CZ148" s="87">
        <v>15.0</v>
      </c>
      <c r="DA148" s="87">
        <v>22.0</v>
      </c>
      <c r="DB148" s="87">
        <v>1115.0</v>
      </c>
      <c r="DC148" s="87">
        <v>898.0</v>
      </c>
      <c r="DD148" s="87">
        <v>1584.0</v>
      </c>
      <c r="DE148" s="87">
        <v>247.0</v>
      </c>
      <c r="DF148" s="87">
        <v>1210.0</v>
      </c>
      <c r="DG148" s="87">
        <v>674.0</v>
      </c>
      <c r="DH148" s="87">
        <v>1462.0</v>
      </c>
      <c r="DI148" s="87">
        <v>1579.0</v>
      </c>
      <c r="DJ148" s="87">
        <v>57.0</v>
      </c>
      <c r="DK148" s="87">
        <v>301.0</v>
      </c>
      <c r="DL148" s="87">
        <v>1174.0</v>
      </c>
      <c r="DM148" s="87">
        <v>701.0</v>
      </c>
      <c r="DN148" s="87">
        <v>1.0</v>
      </c>
      <c r="DO148" s="87">
        <v>3327.0</v>
      </c>
      <c r="DP148" s="87">
        <v>1383.0</v>
      </c>
      <c r="DQ148" s="87">
        <v>736.0</v>
      </c>
      <c r="DR148" s="87">
        <v>1360.0</v>
      </c>
      <c r="DS148" s="87">
        <v>13.0</v>
      </c>
      <c r="DT148" s="87">
        <v>16.0</v>
      </c>
      <c r="DU148" s="87">
        <v>9.0</v>
      </c>
      <c r="DV148" s="87">
        <v>376.0</v>
      </c>
      <c r="DW148" s="87">
        <v>89.0</v>
      </c>
      <c r="DX148" s="87">
        <v>290.0</v>
      </c>
      <c r="DY148" s="87">
        <v>1640.0</v>
      </c>
      <c r="DZ148" s="87">
        <v>285.0</v>
      </c>
      <c r="EA148" s="87">
        <v>70.0</v>
      </c>
      <c r="EB148" s="87">
        <v>482.0</v>
      </c>
      <c r="EC148" s="87">
        <v>343.0</v>
      </c>
      <c r="ED148" s="87">
        <v>4518.0</v>
      </c>
      <c r="EE148" s="87">
        <v>512.0</v>
      </c>
      <c r="EF148" s="87"/>
      <c r="EG148" s="87">
        <v>290.0</v>
      </c>
      <c r="EH148" s="87">
        <v>15.0</v>
      </c>
      <c r="EI148" s="87">
        <v>267.0</v>
      </c>
      <c r="EJ148" s="87">
        <v>14877.0</v>
      </c>
      <c r="EK148" s="88"/>
      <c r="EL148" s="88"/>
      <c r="EM148" s="88"/>
      <c r="EN148" s="88"/>
      <c r="EO148" s="88"/>
      <c r="EP148" s="88"/>
      <c r="EQ148" s="90"/>
    </row>
    <row r="149" ht="12.0" customHeight="1">
      <c r="A149" s="89">
        <v>1.06190696E8</v>
      </c>
      <c r="B149" s="89" t="s">
        <v>1258</v>
      </c>
      <c r="C149" s="89" t="s">
        <v>865</v>
      </c>
      <c r="D149" s="89" t="s">
        <v>1259</v>
      </c>
      <c r="E149" s="89" t="s">
        <v>1260</v>
      </c>
      <c r="F149" s="89" t="s">
        <v>1261</v>
      </c>
      <c r="G149" s="89" t="s">
        <v>1262</v>
      </c>
      <c r="H149" s="89" t="s">
        <v>503</v>
      </c>
      <c r="I149" s="89" t="s">
        <v>456</v>
      </c>
      <c r="J149" s="89" t="s">
        <v>469</v>
      </c>
      <c r="K149" s="89" t="s">
        <v>439</v>
      </c>
      <c r="L149" s="89" t="s">
        <v>1094</v>
      </c>
      <c r="M149" s="89" t="s">
        <v>1263</v>
      </c>
      <c r="N149" s="89" t="s">
        <v>441</v>
      </c>
      <c r="O149" s="87">
        <v>1900.0</v>
      </c>
      <c r="P149" s="87">
        <v>60.0</v>
      </c>
      <c r="Q149" s="87">
        <v>2130.0</v>
      </c>
      <c r="R149" s="87"/>
      <c r="S149" s="87"/>
      <c r="T149" s="87"/>
      <c r="U149" s="87">
        <v>2679.0</v>
      </c>
      <c r="V149" s="87">
        <v>1411.0</v>
      </c>
      <c r="W149" s="87"/>
      <c r="X149" s="87"/>
      <c r="Y149" s="87">
        <v>68.0</v>
      </c>
      <c r="Z149" s="87">
        <v>759.0</v>
      </c>
      <c r="AA149" s="87">
        <v>993.0</v>
      </c>
      <c r="AB149" s="87">
        <v>782.0</v>
      </c>
      <c r="AC149" s="87">
        <v>699.0</v>
      </c>
      <c r="AD149" s="87">
        <v>456.0</v>
      </c>
      <c r="AE149" s="87">
        <v>184.0</v>
      </c>
      <c r="AF149" s="87">
        <v>149.0</v>
      </c>
      <c r="AG149" s="87"/>
      <c r="AH149" s="87">
        <v>2042.0</v>
      </c>
      <c r="AI149" s="87">
        <v>2027.0</v>
      </c>
      <c r="AJ149" s="87">
        <v>21.0</v>
      </c>
      <c r="AK149" s="87"/>
      <c r="AL149" s="87">
        <v>117.0</v>
      </c>
      <c r="AM149" s="87"/>
      <c r="AN149" s="87">
        <v>815.0</v>
      </c>
      <c r="AO149" s="87">
        <v>1011.0</v>
      </c>
      <c r="AP149" s="87">
        <v>28.0</v>
      </c>
      <c r="AQ149" s="87">
        <v>2119.0</v>
      </c>
      <c r="AR149" s="87"/>
      <c r="AS149" s="87">
        <v>2264.0</v>
      </c>
      <c r="AT149" s="87">
        <v>34.0</v>
      </c>
      <c r="AU149" s="87">
        <v>1647.0</v>
      </c>
      <c r="AV149" s="87">
        <v>9.0</v>
      </c>
      <c r="AW149" s="87">
        <v>35.0</v>
      </c>
      <c r="AX149" s="87">
        <v>88.0</v>
      </c>
      <c r="AY149" s="87">
        <v>10.0</v>
      </c>
      <c r="AZ149" s="87"/>
      <c r="BA149" s="87">
        <v>3.0</v>
      </c>
      <c r="BB149" s="87"/>
      <c r="BC149" s="87"/>
      <c r="BD149" s="87"/>
      <c r="BE149" s="87">
        <v>2384.0</v>
      </c>
      <c r="BF149" s="87">
        <v>1483.0</v>
      </c>
      <c r="BG149" s="87">
        <v>223.0</v>
      </c>
      <c r="BH149" s="87"/>
      <c r="BI149" s="87">
        <v>33296.0</v>
      </c>
      <c r="BJ149" s="87">
        <v>2331.0</v>
      </c>
      <c r="BK149" s="87">
        <v>399.0</v>
      </c>
      <c r="BL149" s="87">
        <v>1353.0</v>
      </c>
      <c r="BM149" s="87"/>
      <c r="BN149" s="87"/>
      <c r="BO149" s="87">
        <v>7.0</v>
      </c>
      <c r="BP149" s="87">
        <v>3242.0</v>
      </c>
      <c r="BQ149" s="87">
        <v>55.0</v>
      </c>
      <c r="BR149" s="87">
        <v>16.0</v>
      </c>
      <c r="BS149" s="87">
        <v>181.0</v>
      </c>
      <c r="BT149" s="87">
        <v>96.0</v>
      </c>
      <c r="BU149" s="87">
        <v>8.0</v>
      </c>
      <c r="BV149" s="87">
        <v>332.0</v>
      </c>
      <c r="BW149" s="87">
        <v>58.0</v>
      </c>
      <c r="BX149" s="87">
        <v>24.0</v>
      </c>
      <c r="BY149" s="87"/>
      <c r="BZ149" s="87"/>
      <c r="CA149" s="87">
        <v>3.0</v>
      </c>
      <c r="CB149" s="87">
        <v>61.0</v>
      </c>
      <c r="CC149" s="87">
        <v>1.0</v>
      </c>
      <c r="CD149" s="87">
        <v>13.0</v>
      </c>
      <c r="CE149" s="87"/>
      <c r="CF149" s="87"/>
      <c r="CG149" s="87">
        <v>2.0</v>
      </c>
      <c r="CH149" s="87">
        <v>4088.0</v>
      </c>
      <c r="CI149" s="87"/>
      <c r="CJ149" s="87">
        <v>682.0</v>
      </c>
      <c r="CK149" s="87">
        <v>3130.0</v>
      </c>
      <c r="CL149" s="87">
        <v>204.0</v>
      </c>
      <c r="CM149" s="87">
        <v>2.0</v>
      </c>
      <c r="CN149" s="87">
        <v>8.0</v>
      </c>
      <c r="CO149" s="87"/>
      <c r="CP149" s="87"/>
      <c r="CQ149" s="87">
        <v>64.0</v>
      </c>
      <c r="CR149" s="87"/>
      <c r="CS149" s="87"/>
      <c r="CT149" s="87">
        <v>176.0</v>
      </c>
      <c r="CU149" s="87">
        <v>35.0</v>
      </c>
      <c r="CV149" s="87">
        <v>14.0</v>
      </c>
      <c r="CW149" s="87">
        <v>98.0</v>
      </c>
      <c r="CX149" s="87">
        <v>2603.0</v>
      </c>
      <c r="CY149" s="87">
        <v>58.0</v>
      </c>
      <c r="CZ149" s="87"/>
      <c r="DA149" s="87">
        <v>3.0</v>
      </c>
      <c r="DB149" s="87">
        <v>162.0</v>
      </c>
      <c r="DC149" s="87">
        <v>139.0</v>
      </c>
      <c r="DD149" s="87">
        <v>281.0</v>
      </c>
      <c r="DE149" s="87">
        <v>74.0</v>
      </c>
      <c r="DF149" s="87">
        <v>49.0</v>
      </c>
      <c r="DG149" s="87">
        <v>137.0</v>
      </c>
      <c r="DH149" s="87"/>
      <c r="DI149" s="87"/>
      <c r="DJ149" s="87"/>
      <c r="DK149" s="87">
        <v>146.0</v>
      </c>
      <c r="DL149" s="87">
        <v>107.0</v>
      </c>
      <c r="DM149" s="87">
        <v>4.0</v>
      </c>
      <c r="DN149" s="87">
        <v>4.0</v>
      </c>
      <c r="DO149" s="87">
        <v>157.0</v>
      </c>
      <c r="DP149" s="87"/>
      <c r="DQ149" s="87">
        <v>48.0</v>
      </c>
      <c r="DR149" s="87">
        <v>89.0</v>
      </c>
      <c r="DS149" s="87"/>
      <c r="DT149" s="87"/>
      <c r="DU149" s="87"/>
      <c r="DV149" s="87">
        <v>35.0</v>
      </c>
      <c r="DW149" s="87"/>
      <c r="DX149" s="87">
        <v>14.0</v>
      </c>
      <c r="DY149" s="87">
        <v>23.0</v>
      </c>
      <c r="DZ149" s="87">
        <v>3.0</v>
      </c>
      <c r="EA149" s="87"/>
      <c r="EB149" s="87">
        <v>7.0</v>
      </c>
      <c r="EC149" s="87">
        <v>2.0</v>
      </c>
      <c r="ED149" s="87">
        <v>3682.0</v>
      </c>
      <c r="EE149" s="87">
        <v>30.0</v>
      </c>
      <c r="EF149" s="87">
        <v>11.0</v>
      </c>
      <c r="EG149" s="87">
        <v>1008.0</v>
      </c>
      <c r="EH149" s="87"/>
      <c r="EI149" s="87">
        <v>12.0</v>
      </c>
      <c r="EJ149" s="87">
        <v>3059.0</v>
      </c>
      <c r="EK149" s="88"/>
      <c r="EL149" s="88"/>
      <c r="EM149" s="88"/>
      <c r="EN149" s="88"/>
      <c r="EO149" s="88"/>
      <c r="EP149" s="88"/>
      <c r="EQ149" s="90"/>
    </row>
    <row r="150" ht="12.0" customHeight="1">
      <c r="A150" s="89">
        <v>1.06190708E8</v>
      </c>
      <c r="B150" s="89" t="s">
        <v>1264</v>
      </c>
      <c r="C150" s="89" t="s">
        <v>865</v>
      </c>
      <c r="D150" s="89" t="s">
        <v>1265</v>
      </c>
      <c r="E150" s="89" t="s">
        <v>1266</v>
      </c>
      <c r="F150" s="89" t="s">
        <v>1267</v>
      </c>
      <c r="G150" s="89" t="s">
        <v>1268</v>
      </c>
      <c r="H150" s="89" t="s">
        <v>447</v>
      </c>
      <c r="I150" s="89" t="s">
        <v>456</v>
      </c>
      <c r="J150" s="89" t="s">
        <v>457</v>
      </c>
      <c r="K150" s="89" t="s">
        <v>439</v>
      </c>
      <c r="L150" s="89" t="s">
        <v>1127</v>
      </c>
      <c r="M150" s="89" t="s">
        <v>1269</v>
      </c>
      <c r="N150" s="89" t="s">
        <v>441</v>
      </c>
      <c r="O150" s="87">
        <v>3775.0</v>
      </c>
      <c r="P150" s="87">
        <v>12.0</v>
      </c>
      <c r="Q150" s="87">
        <v>338.0</v>
      </c>
      <c r="R150" s="87"/>
      <c r="S150" s="87"/>
      <c r="T150" s="87"/>
      <c r="U150" s="87">
        <v>2171.0</v>
      </c>
      <c r="V150" s="87">
        <v>1954.0</v>
      </c>
      <c r="W150" s="87"/>
      <c r="X150" s="87"/>
      <c r="Y150" s="87">
        <v>14.0</v>
      </c>
      <c r="Z150" s="87">
        <v>118.0</v>
      </c>
      <c r="AA150" s="87">
        <v>287.0</v>
      </c>
      <c r="AB150" s="87">
        <v>310.0</v>
      </c>
      <c r="AC150" s="87">
        <v>532.0</v>
      </c>
      <c r="AD150" s="87">
        <v>878.0</v>
      </c>
      <c r="AE150" s="87">
        <v>968.0</v>
      </c>
      <c r="AF150" s="87">
        <v>1018.0</v>
      </c>
      <c r="AG150" s="87"/>
      <c r="AH150" s="87">
        <v>732.0</v>
      </c>
      <c r="AI150" s="87">
        <v>3350.0</v>
      </c>
      <c r="AJ150" s="87">
        <v>43.0</v>
      </c>
      <c r="AK150" s="87"/>
      <c r="AL150" s="87">
        <v>122.0</v>
      </c>
      <c r="AM150" s="87"/>
      <c r="AN150" s="87">
        <v>343.0</v>
      </c>
      <c r="AO150" s="87">
        <v>2419.0</v>
      </c>
      <c r="AP150" s="87">
        <v>146.0</v>
      </c>
      <c r="AQ150" s="87">
        <v>1095.0</v>
      </c>
      <c r="AR150" s="87"/>
      <c r="AS150" s="87">
        <v>2684.0</v>
      </c>
      <c r="AT150" s="87">
        <v>66.0</v>
      </c>
      <c r="AU150" s="87">
        <v>251.0</v>
      </c>
      <c r="AV150" s="87">
        <v>1060.0</v>
      </c>
      <c r="AW150" s="87">
        <v>2.0</v>
      </c>
      <c r="AX150" s="87">
        <v>44.0</v>
      </c>
      <c r="AY150" s="87"/>
      <c r="AZ150" s="87"/>
      <c r="BA150" s="87">
        <v>17.0</v>
      </c>
      <c r="BB150" s="87">
        <v>1.0</v>
      </c>
      <c r="BC150" s="87"/>
      <c r="BD150" s="87"/>
      <c r="BE150" s="87">
        <v>3725.0</v>
      </c>
      <c r="BF150" s="87">
        <v>182.0</v>
      </c>
      <c r="BG150" s="87">
        <v>218.0</v>
      </c>
      <c r="BH150" s="87"/>
      <c r="BI150" s="87">
        <v>23892.0</v>
      </c>
      <c r="BJ150" s="87">
        <v>819.0</v>
      </c>
      <c r="BK150" s="87">
        <v>3164.0</v>
      </c>
      <c r="BL150" s="87">
        <v>142.0</v>
      </c>
      <c r="BM150" s="87"/>
      <c r="BN150" s="87"/>
      <c r="BO150" s="87"/>
      <c r="BP150" s="87">
        <v>1489.0</v>
      </c>
      <c r="BQ150" s="87">
        <v>148.0</v>
      </c>
      <c r="BR150" s="87">
        <v>79.0</v>
      </c>
      <c r="BS150" s="87">
        <v>1313.0</v>
      </c>
      <c r="BT150" s="87">
        <v>159.0</v>
      </c>
      <c r="BU150" s="87">
        <v>10.0</v>
      </c>
      <c r="BV150" s="87">
        <v>287.0</v>
      </c>
      <c r="BW150" s="87">
        <v>199.0</v>
      </c>
      <c r="BX150" s="87">
        <v>340.0</v>
      </c>
      <c r="BY150" s="87"/>
      <c r="BZ150" s="87"/>
      <c r="CA150" s="87">
        <v>56.0</v>
      </c>
      <c r="CB150" s="87">
        <v>44.0</v>
      </c>
      <c r="CC150" s="87"/>
      <c r="CD150" s="87"/>
      <c r="CE150" s="87">
        <v>1.0</v>
      </c>
      <c r="CF150" s="87"/>
      <c r="CG150" s="87">
        <v>224.0</v>
      </c>
      <c r="CH150" s="87">
        <v>3901.0</v>
      </c>
      <c r="CI150" s="87"/>
      <c r="CJ150" s="87">
        <v>2612.0</v>
      </c>
      <c r="CK150" s="87">
        <v>1098.0</v>
      </c>
      <c r="CL150" s="87">
        <v>354.0</v>
      </c>
      <c r="CM150" s="87">
        <v>31.0</v>
      </c>
      <c r="CN150" s="87"/>
      <c r="CO150" s="87">
        <v>5.0</v>
      </c>
      <c r="CP150" s="87"/>
      <c r="CQ150" s="87">
        <v>25.0</v>
      </c>
      <c r="CR150" s="87"/>
      <c r="CS150" s="87"/>
      <c r="CT150" s="87">
        <v>837.0</v>
      </c>
      <c r="CU150" s="87">
        <v>46.0</v>
      </c>
      <c r="CV150" s="87">
        <v>24.0</v>
      </c>
      <c r="CW150" s="87">
        <v>276.0</v>
      </c>
      <c r="CX150" s="87">
        <v>378.0</v>
      </c>
      <c r="CY150" s="87">
        <v>189.0</v>
      </c>
      <c r="CZ150" s="87"/>
      <c r="DA150" s="87">
        <v>17.0</v>
      </c>
      <c r="DB150" s="87">
        <v>614.0</v>
      </c>
      <c r="DC150" s="87">
        <v>276.0</v>
      </c>
      <c r="DD150" s="87">
        <v>455.0</v>
      </c>
      <c r="DE150" s="87">
        <v>107.0</v>
      </c>
      <c r="DF150" s="87">
        <v>192.0</v>
      </c>
      <c r="DG150" s="87">
        <v>243.0</v>
      </c>
      <c r="DH150" s="87"/>
      <c r="DI150" s="87"/>
      <c r="DJ150" s="87">
        <v>1.0</v>
      </c>
      <c r="DK150" s="87">
        <v>68.0</v>
      </c>
      <c r="DL150" s="87">
        <v>372.0</v>
      </c>
      <c r="DM150" s="87">
        <v>26.0</v>
      </c>
      <c r="DN150" s="87">
        <v>4.0</v>
      </c>
      <c r="DO150" s="87">
        <v>507.0</v>
      </c>
      <c r="DP150" s="87">
        <v>2.0</v>
      </c>
      <c r="DQ150" s="87">
        <v>641.0</v>
      </c>
      <c r="DR150" s="87">
        <v>234.0</v>
      </c>
      <c r="DS150" s="87"/>
      <c r="DT150" s="87"/>
      <c r="DU150" s="87">
        <v>1.0</v>
      </c>
      <c r="DV150" s="87">
        <v>5.0</v>
      </c>
      <c r="DW150" s="87">
        <v>8.0</v>
      </c>
      <c r="DX150" s="87">
        <v>120.0</v>
      </c>
      <c r="DY150" s="87">
        <v>253.0</v>
      </c>
      <c r="DZ150" s="87">
        <v>8.0</v>
      </c>
      <c r="EA150" s="87">
        <v>2.0</v>
      </c>
      <c r="EB150" s="87">
        <v>43.0</v>
      </c>
      <c r="EC150" s="87">
        <v>10.0</v>
      </c>
      <c r="ED150" s="87">
        <v>2240.0</v>
      </c>
      <c r="EE150" s="87">
        <v>51.0</v>
      </c>
      <c r="EF150" s="87">
        <v>15.0</v>
      </c>
      <c r="EG150" s="87">
        <v>223.0</v>
      </c>
      <c r="EH150" s="87"/>
      <c r="EI150" s="87">
        <v>56.0</v>
      </c>
      <c r="EJ150" s="87">
        <v>3831.0</v>
      </c>
      <c r="EK150" s="88"/>
      <c r="EL150" s="88"/>
      <c r="EM150" s="88"/>
      <c r="EN150" s="88"/>
      <c r="EO150" s="88"/>
      <c r="EP150" s="88"/>
      <c r="EQ150" s="90"/>
    </row>
    <row r="151" ht="12.0" customHeight="1">
      <c r="A151" s="89">
        <v>1.06190754E8</v>
      </c>
      <c r="B151" s="89" t="s">
        <v>1270</v>
      </c>
      <c r="C151" s="89" t="s">
        <v>865</v>
      </c>
      <c r="D151" s="89" t="s">
        <v>1271</v>
      </c>
      <c r="E151" s="89" t="s">
        <v>1272</v>
      </c>
      <c r="F151" s="89" t="s">
        <v>1273</v>
      </c>
      <c r="G151" s="89" t="s">
        <v>1274</v>
      </c>
      <c r="H151" s="89" t="s">
        <v>475</v>
      </c>
      <c r="I151" s="89" t="s">
        <v>456</v>
      </c>
      <c r="J151" s="89" t="s">
        <v>448</v>
      </c>
      <c r="K151" s="89" t="s">
        <v>913</v>
      </c>
      <c r="L151" s="89" t="s">
        <v>1026</v>
      </c>
      <c r="M151" s="89" t="s">
        <v>1275</v>
      </c>
      <c r="N151" s="89" t="s">
        <v>441</v>
      </c>
      <c r="O151" s="87">
        <v>16564.0</v>
      </c>
      <c r="P151" s="87">
        <v>2.0</v>
      </c>
      <c r="Q151" s="87">
        <v>2188.0</v>
      </c>
      <c r="R151" s="87"/>
      <c r="S151" s="87"/>
      <c r="T151" s="87"/>
      <c r="U151" s="87">
        <v>8812.0</v>
      </c>
      <c r="V151" s="87">
        <v>9942.0</v>
      </c>
      <c r="W151" s="87"/>
      <c r="X151" s="87">
        <v>2790.0</v>
      </c>
      <c r="Y151" s="87">
        <v>432.0</v>
      </c>
      <c r="Z151" s="87">
        <v>2857.0</v>
      </c>
      <c r="AA151" s="87">
        <v>3058.0</v>
      </c>
      <c r="AB151" s="87">
        <v>1941.0</v>
      </c>
      <c r="AC151" s="87">
        <v>2184.0</v>
      </c>
      <c r="AD151" s="87">
        <v>2421.0</v>
      </c>
      <c r="AE151" s="87">
        <v>1707.0</v>
      </c>
      <c r="AF151" s="87">
        <v>1364.0</v>
      </c>
      <c r="AG151" s="87"/>
      <c r="AH151" s="87">
        <v>13043.0</v>
      </c>
      <c r="AI151" s="87">
        <v>5024.0</v>
      </c>
      <c r="AJ151" s="87">
        <v>687.0</v>
      </c>
      <c r="AK151" s="87">
        <v>31.0</v>
      </c>
      <c r="AL151" s="87">
        <v>275.0</v>
      </c>
      <c r="AM151" s="87">
        <v>38.0</v>
      </c>
      <c r="AN151" s="87">
        <v>3382.0</v>
      </c>
      <c r="AO151" s="87">
        <v>1084.0</v>
      </c>
      <c r="AP151" s="87">
        <v>553.0</v>
      </c>
      <c r="AQ151" s="87">
        <v>13122.0</v>
      </c>
      <c r="AR151" s="87">
        <v>269.0</v>
      </c>
      <c r="AS151" s="87">
        <v>11010.0</v>
      </c>
      <c r="AT151" s="87">
        <v>3129.0</v>
      </c>
      <c r="AU151" s="87">
        <v>3.0</v>
      </c>
      <c r="AV151" s="87">
        <v>221.0</v>
      </c>
      <c r="AW151" s="87">
        <v>1089.0</v>
      </c>
      <c r="AX151" s="87">
        <v>324.0</v>
      </c>
      <c r="AY151" s="87"/>
      <c r="AZ151" s="87"/>
      <c r="BA151" s="87">
        <v>40.0</v>
      </c>
      <c r="BB151" s="87">
        <v>203.0</v>
      </c>
      <c r="BC151" s="87">
        <v>2735.0</v>
      </c>
      <c r="BD151" s="87"/>
      <c r="BE151" s="87">
        <v>12749.0</v>
      </c>
      <c r="BF151" s="87">
        <v>6.0</v>
      </c>
      <c r="BG151" s="87">
        <v>5999.0</v>
      </c>
      <c r="BH151" s="87"/>
      <c r="BI151" s="87">
        <v>100016.0</v>
      </c>
      <c r="BJ151" s="87">
        <v>12508.0</v>
      </c>
      <c r="BK151" s="87">
        <v>1846.0</v>
      </c>
      <c r="BL151" s="87">
        <v>1059.0</v>
      </c>
      <c r="BM151" s="87">
        <v>2735.0</v>
      </c>
      <c r="BN151" s="87">
        <v>605.0</v>
      </c>
      <c r="BO151" s="87">
        <v>1.0</v>
      </c>
      <c r="BP151" s="87">
        <v>13785.0</v>
      </c>
      <c r="BQ151" s="87">
        <v>495.0</v>
      </c>
      <c r="BR151" s="87">
        <v>150.0</v>
      </c>
      <c r="BS151" s="87">
        <v>1106.0</v>
      </c>
      <c r="BT151" s="87">
        <v>138.0</v>
      </c>
      <c r="BU151" s="87">
        <v>64.0</v>
      </c>
      <c r="BV151" s="87">
        <v>747.0</v>
      </c>
      <c r="BW151" s="87">
        <v>588.0</v>
      </c>
      <c r="BX151" s="87">
        <v>1440.0</v>
      </c>
      <c r="BY151" s="87"/>
      <c r="BZ151" s="87">
        <v>2.0</v>
      </c>
      <c r="CA151" s="87">
        <v>160.0</v>
      </c>
      <c r="CB151" s="87">
        <v>77.0</v>
      </c>
      <c r="CC151" s="87"/>
      <c r="CD151" s="87">
        <v>2.0</v>
      </c>
      <c r="CE151" s="87"/>
      <c r="CF151" s="87"/>
      <c r="CG151" s="87">
        <v>296.0</v>
      </c>
      <c r="CH151" s="87">
        <v>18458.0</v>
      </c>
      <c r="CI151" s="87"/>
      <c r="CJ151" s="87">
        <v>2637.0</v>
      </c>
      <c r="CK151" s="87">
        <v>14085.0</v>
      </c>
      <c r="CL151" s="87">
        <v>730.0</v>
      </c>
      <c r="CM151" s="87"/>
      <c r="CN151" s="87"/>
      <c r="CO151" s="87">
        <v>197.0</v>
      </c>
      <c r="CP151" s="87"/>
      <c r="CQ151" s="87">
        <v>1081.0</v>
      </c>
      <c r="CR151" s="87">
        <v>24.0</v>
      </c>
      <c r="CS151" s="87"/>
      <c r="CT151" s="87">
        <v>2045.0</v>
      </c>
      <c r="CU151" s="87">
        <v>256.0</v>
      </c>
      <c r="CV151" s="87">
        <v>94.0</v>
      </c>
      <c r="CW151" s="87">
        <v>698.0</v>
      </c>
      <c r="CX151" s="87">
        <v>2248.0</v>
      </c>
      <c r="CY151" s="87">
        <v>497.0</v>
      </c>
      <c r="CZ151" s="87">
        <v>16.0</v>
      </c>
      <c r="DA151" s="87">
        <v>25.0</v>
      </c>
      <c r="DB151" s="87">
        <v>2086.0</v>
      </c>
      <c r="DC151" s="87">
        <v>597.0</v>
      </c>
      <c r="DD151" s="87">
        <v>1247.0</v>
      </c>
      <c r="DE151" s="87">
        <v>159.0</v>
      </c>
      <c r="DF151" s="87">
        <v>312.0</v>
      </c>
      <c r="DG151" s="87">
        <v>609.0</v>
      </c>
      <c r="DH151" s="87">
        <v>2949.0</v>
      </c>
      <c r="DI151" s="87">
        <v>2789.0</v>
      </c>
      <c r="DJ151" s="87">
        <v>4.0</v>
      </c>
      <c r="DK151" s="87">
        <v>234.0</v>
      </c>
      <c r="DL151" s="87">
        <v>1879.0</v>
      </c>
      <c r="DM151" s="87">
        <v>7.0</v>
      </c>
      <c r="DN151" s="87">
        <v>3.0</v>
      </c>
      <c r="DO151" s="87">
        <v>6385.0</v>
      </c>
      <c r="DP151" s="87">
        <v>2690.0</v>
      </c>
      <c r="DQ151" s="87">
        <v>1912.0</v>
      </c>
      <c r="DR151" s="87">
        <v>1082.0</v>
      </c>
      <c r="DS151" s="87">
        <v>2.0</v>
      </c>
      <c r="DT151" s="87">
        <v>9.0</v>
      </c>
      <c r="DU151" s="87">
        <v>11.0</v>
      </c>
      <c r="DV151" s="87">
        <v>202.0</v>
      </c>
      <c r="DW151" s="87">
        <v>29.0</v>
      </c>
      <c r="DX151" s="87">
        <v>500.0</v>
      </c>
      <c r="DY151" s="87">
        <v>674.0</v>
      </c>
      <c r="DZ151" s="87">
        <v>138.0</v>
      </c>
      <c r="EA151" s="87">
        <v>18.0</v>
      </c>
      <c r="EB151" s="87">
        <v>250.0</v>
      </c>
      <c r="EC151" s="87">
        <v>104.0</v>
      </c>
      <c r="ED151" s="87">
        <v>4594.0</v>
      </c>
      <c r="EE151" s="87">
        <v>154.0</v>
      </c>
      <c r="EF151" s="87">
        <v>15.0</v>
      </c>
      <c r="EG151" s="87">
        <v>934.0</v>
      </c>
      <c r="EH151" s="87"/>
      <c r="EI151" s="87">
        <v>42.0</v>
      </c>
      <c r="EJ151" s="87">
        <v>17763.0</v>
      </c>
      <c r="EK151" s="88"/>
      <c r="EL151" s="88"/>
      <c r="EM151" s="88"/>
      <c r="EN151" s="88"/>
      <c r="EO151" s="88"/>
      <c r="EP151" s="88"/>
      <c r="EQ151" s="90"/>
    </row>
    <row r="152" ht="12.0" customHeight="1">
      <c r="A152" s="89">
        <v>1.06190756E8</v>
      </c>
      <c r="B152" s="89" t="s">
        <v>1276</v>
      </c>
      <c r="C152" s="89" t="s">
        <v>865</v>
      </c>
      <c r="D152" s="89" t="s">
        <v>1277</v>
      </c>
      <c r="E152" s="89" t="s">
        <v>1278</v>
      </c>
      <c r="F152" s="89" t="s">
        <v>1254</v>
      </c>
      <c r="G152" s="89" t="s">
        <v>1255</v>
      </c>
      <c r="H152" s="89" t="s">
        <v>447</v>
      </c>
      <c r="I152" s="89" t="s">
        <v>456</v>
      </c>
      <c r="J152" s="89" t="s">
        <v>469</v>
      </c>
      <c r="K152" s="89" t="s">
        <v>763</v>
      </c>
      <c r="L152" s="89" t="s">
        <v>1085</v>
      </c>
      <c r="M152" s="89" t="s">
        <v>1257</v>
      </c>
      <c r="N152" s="89" t="s">
        <v>441</v>
      </c>
      <c r="O152" s="87">
        <v>14080.0</v>
      </c>
      <c r="P152" s="87">
        <v>31.0</v>
      </c>
      <c r="Q152" s="87"/>
      <c r="R152" s="87"/>
      <c r="S152" s="87">
        <v>1.0</v>
      </c>
      <c r="T152" s="87"/>
      <c r="U152" s="87">
        <v>5996.0</v>
      </c>
      <c r="V152" s="87">
        <v>8114.0</v>
      </c>
      <c r="W152" s="87">
        <v>2.0</v>
      </c>
      <c r="X152" s="87">
        <v>2077.0</v>
      </c>
      <c r="Y152" s="87">
        <v>44.0</v>
      </c>
      <c r="Z152" s="87">
        <v>458.0</v>
      </c>
      <c r="AA152" s="87">
        <v>2016.0</v>
      </c>
      <c r="AB152" s="87">
        <v>753.0</v>
      </c>
      <c r="AC152" s="87">
        <v>976.0</v>
      </c>
      <c r="AD152" s="87">
        <v>1756.0</v>
      </c>
      <c r="AE152" s="87">
        <v>2723.0</v>
      </c>
      <c r="AF152" s="87">
        <v>3306.0</v>
      </c>
      <c r="AG152" s="87">
        <v>3.0</v>
      </c>
      <c r="AH152" s="87">
        <v>1669.0</v>
      </c>
      <c r="AI152" s="87">
        <v>11908.0</v>
      </c>
      <c r="AJ152" s="87">
        <v>535.0</v>
      </c>
      <c r="AK152" s="87">
        <v>23.0</v>
      </c>
      <c r="AL152" s="87">
        <v>851.0</v>
      </c>
      <c r="AM152" s="87">
        <v>21.0</v>
      </c>
      <c r="AN152" s="87">
        <v>816.0</v>
      </c>
      <c r="AO152" s="87">
        <v>9614.0</v>
      </c>
      <c r="AP152" s="87">
        <v>539.0</v>
      </c>
      <c r="AQ152" s="87">
        <v>1885.0</v>
      </c>
      <c r="AR152" s="87">
        <v>363.0</v>
      </c>
      <c r="AS152" s="87">
        <v>11175.0</v>
      </c>
      <c r="AT152" s="87">
        <v>238.0</v>
      </c>
      <c r="AU152" s="87">
        <v>166.0</v>
      </c>
      <c r="AV152" s="87">
        <v>362.0</v>
      </c>
      <c r="AW152" s="87">
        <v>17.0</v>
      </c>
      <c r="AX152" s="87">
        <v>81.0</v>
      </c>
      <c r="AY152" s="87"/>
      <c r="AZ152" s="87"/>
      <c r="BA152" s="87">
        <v>2.0</v>
      </c>
      <c r="BB152" s="87">
        <v>2.0</v>
      </c>
      <c r="BC152" s="87">
        <v>2069.0</v>
      </c>
      <c r="BD152" s="87"/>
      <c r="BE152" s="87">
        <v>6708.0</v>
      </c>
      <c r="BF152" s="87">
        <v>7.0</v>
      </c>
      <c r="BG152" s="87">
        <v>7397.0</v>
      </c>
      <c r="BH152" s="87"/>
      <c r="BI152" s="87">
        <v>54882.0</v>
      </c>
      <c r="BJ152" s="87">
        <v>6585.0</v>
      </c>
      <c r="BK152" s="87">
        <v>464.0</v>
      </c>
      <c r="BL152" s="87">
        <v>4989.0</v>
      </c>
      <c r="BM152" s="87">
        <v>2069.0</v>
      </c>
      <c r="BN152" s="87"/>
      <c r="BO152" s="87">
        <v>5.0</v>
      </c>
      <c r="BP152" s="87">
        <v>7966.0</v>
      </c>
      <c r="BQ152" s="87">
        <v>186.0</v>
      </c>
      <c r="BR152" s="87">
        <v>407.0</v>
      </c>
      <c r="BS152" s="87">
        <v>1530.0</v>
      </c>
      <c r="BT152" s="87">
        <v>32.0</v>
      </c>
      <c r="BU152" s="87"/>
      <c r="BV152" s="87">
        <v>146.0</v>
      </c>
      <c r="BW152" s="87">
        <v>431.0</v>
      </c>
      <c r="BX152" s="87">
        <v>3150.0</v>
      </c>
      <c r="BY152" s="87"/>
      <c r="BZ152" s="87">
        <v>4.0</v>
      </c>
      <c r="CA152" s="87">
        <v>240.0</v>
      </c>
      <c r="CB152" s="87">
        <v>16.0</v>
      </c>
      <c r="CC152" s="87"/>
      <c r="CD152" s="87">
        <v>4.0</v>
      </c>
      <c r="CE152" s="87"/>
      <c r="CF152" s="87"/>
      <c r="CG152" s="87">
        <v>414.0</v>
      </c>
      <c r="CH152" s="87">
        <v>13698.0</v>
      </c>
      <c r="CI152" s="87"/>
      <c r="CJ152" s="87">
        <v>6318.0</v>
      </c>
      <c r="CK152" s="87">
        <v>1102.0</v>
      </c>
      <c r="CL152" s="87">
        <v>6441.0</v>
      </c>
      <c r="CM152" s="87">
        <v>50.0</v>
      </c>
      <c r="CN152" s="87"/>
      <c r="CO152" s="87">
        <v>57.0</v>
      </c>
      <c r="CP152" s="87"/>
      <c r="CQ152" s="87">
        <v>144.0</v>
      </c>
      <c r="CR152" s="87"/>
      <c r="CS152" s="87"/>
      <c r="CT152" s="87">
        <v>1324.0</v>
      </c>
      <c r="CU152" s="87">
        <v>989.0</v>
      </c>
      <c r="CV152" s="87">
        <v>66.0</v>
      </c>
      <c r="CW152" s="87">
        <v>285.0</v>
      </c>
      <c r="CX152" s="87">
        <v>100.0</v>
      </c>
      <c r="CY152" s="87">
        <v>279.0</v>
      </c>
      <c r="CZ152" s="87">
        <v>13.0</v>
      </c>
      <c r="DA152" s="87">
        <v>12.0</v>
      </c>
      <c r="DB152" s="87">
        <v>1718.0</v>
      </c>
      <c r="DC152" s="87">
        <v>501.0</v>
      </c>
      <c r="DD152" s="87">
        <v>1031.0</v>
      </c>
      <c r="DE152" s="87">
        <v>149.0</v>
      </c>
      <c r="DF152" s="87">
        <v>1745.0</v>
      </c>
      <c r="DG152" s="87">
        <v>488.0</v>
      </c>
      <c r="DH152" s="87">
        <v>2138.0</v>
      </c>
      <c r="DI152" s="87">
        <v>2072.0</v>
      </c>
      <c r="DJ152" s="87">
        <v>28.0</v>
      </c>
      <c r="DK152" s="87">
        <v>143.0</v>
      </c>
      <c r="DL152" s="87">
        <v>911.0</v>
      </c>
      <c r="DM152" s="87">
        <v>120.0</v>
      </c>
      <c r="DN152" s="87"/>
      <c r="DO152" s="87">
        <v>1023.0</v>
      </c>
      <c r="DP152" s="87">
        <v>2050.0</v>
      </c>
      <c r="DQ152" s="87">
        <v>1220.0</v>
      </c>
      <c r="DR152" s="87">
        <v>1084.0</v>
      </c>
      <c r="DS152" s="87">
        <v>9.0</v>
      </c>
      <c r="DT152" s="87">
        <v>99.0</v>
      </c>
      <c r="DU152" s="87">
        <v>11.0</v>
      </c>
      <c r="DV152" s="87">
        <v>688.0</v>
      </c>
      <c r="DW152" s="87">
        <v>65.0</v>
      </c>
      <c r="DX152" s="87">
        <v>196.0</v>
      </c>
      <c r="DY152" s="87">
        <v>2034.0</v>
      </c>
      <c r="DZ152" s="87">
        <v>396.0</v>
      </c>
      <c r="EA152" s="87">
        <v>87.0</v>
      </c>
      <c r="EB152" s="87">
        <v>402.0</v>
      </c>
      <c r="EC152" s="87">
        <v>251.0</v>
      </c>
      <c r="ED152" s="87">
        <v>4366.0</v>
      </c>
      <c r="EE152" s="87">
        <v>131.0</v>
      </c>
      <c r="EF152" s="87">
        <v>7.0</v>
      </c>
      <c r="EG152" s="87">
        <v>312.0</v>
      </c>
      <c r="EH152" s="87">
        <v>21.0</v>
      </c>
      <c r="EI152" s="87">
        <v>228.0</v>
      </c>
      <c r="EJ152" s="87">
        <v>13544.0</v>
      </c>
      <c r="EK152" s="88"/>
      <c r="EL152" s="88"/>
      <c r="EM152" s="88"/>
      <c r="EN152" s="88"/>
      <c r="EO152" s="88"/>
      <c r="EP152" s="88"/>
      <c r="EQ152" s="90"/>
    </row>
    <row r="153" ht="12.0" customHeight="1">
      <c r="A153" s="89">
        <v>1.06190758E8</v>
      </c>
      <c r="B153" s="89" t="s">
        <v>1279</v>
      </c>
      <c r="C153" s="89" t="s">
        <v>865</v>
      </c>
      <c r="D153" s="89" t="s">
        <v>1280</v>
      </c>
      <c r="E153" s="89" t="s">
        <v>1281</v>
      </c>
      <c r="F153" s="89" t="s">
        <v>1282</v>
      </c>
      <c r="G153" s="89" t="s">
        <v>1283</v>
      </c>
      <c r="H153" s="89" t="s">
        <v>447</v>
      </c>
      <c r="I153" s="89" t="s">
        <v>456</v>
      </c>
      <c r="J153" s="89" t="s">
        <v>448</v>
      </c>
      <c r="K153" s="89" t="s">
        <v>504</v>
      </c>
      <c r="L153" s="89" t="s">
        <v>978</v>
      </c>
      <c r="M153" s="89" t="s">
        <v>1284</v>
      </c>
      <c r="N153" s="89" t="s">
        <v>441</v>
      </c>
      <c r="O153" s="87">
        <v>17038.0</v>
      </c>
      <c r="P153" s="87">
        <v>29.0</v>
      </c>
      <c r="Q153" s="87"/>
      <c r="R153" s="87"/>
      <c r="S153" s="87">
        <v>216.0</v>
      </c>
      <c r="T153" s="87"/>
      <c r="U153" s="87">
        <v>7556.0</v>
      </c>
      <c r="V153" s="87">
        <v>9724.0</v>
      </c>
      <c r="W153" s="87">
        <v>3.0</v>
      </c>
      <c r="X153" s="87">
        <v>2145.0</v>
      </c>
      <c r="Y153" s="87">
        <v>83.0</v>
      </c>
      <c r="Z153" s="87">
        <v>1244.0</v>
      </c>
      <c r="AA153" s="87">
        <v>1968.0</v>
      </c>
      <c r="AB153" s="87">
        <v>1285.0</v>
      </c>
      <c r="AC153" s="87">
        <v>1672.0</v>
      </c>
      <c r="AD153" s="87">
        <v>2429.0</v>
      </c>
      <c r="AE153" s="87">
        <v>2910.0</v>
      </c>
      <c r="AF153" s="87">
        <v>3538.0</v>
      </c>
      <c r="AG153" s="87">
        <v>9.0</v>
      </c>
      <c r="AH153" s="87">
        <v>5111.0</v>
      </c>
      <c r="AI153" s="87">
        <v>11967.0</v>
      </c>
      <c r="AJ153" s="87">
        <v>205.0</v>
      </c>
      <c r="AK153" s="87">
        <v>12.0</v>
      </c>
      <c r="AL153" s="87">
        <v>660.0</v>
      </c>
      <c r="AM153" s="87">
        <v>36.0</v>
      </c>
      <c r="AN153" s="87">
        <v>687.0</v>
      </c>
      <c r="AO153" s="87">
        <v>9904.0</v>
      </c>
      <c r="AP153" s="87">
        <v>204.0</v>
      </c>
      <c r="AQ153" s="87">
        <v>5271.0</v>
      </c>
      <c r="AR153" s="87">
        <v>509.0</v>
      </c>
      <c r="AS153" s="87">
        <v>14167.0</v>
      </c>
      <c r="AT153" s="87">
        <v>180.0</v>
      </c>
      <c r="AU153" s="87">
        <v>224.0</v>
      </c>
      <c r="AV153" s="87">
        <v>261.0</v>
      </c>
      <c r="AW153" s="87">
        <v>4.0</v>
      </c>
      <c r="AX153" s="87">
        <v>382.0</v>
      </c>
      <c r="AY153" s="87">
        <v>1.0</v>
      </c>
      <c r="AZ153" s="87">
        <v>1.0</v>
      </c>
      <c r="BA153" s="87">
        <v>4.0</v>
      </c>
      <c r="BB153" s="87">
        <v>1.0</v>
      </c>
      <c r="BC153" s="87">
        <v>2058.0</v>
      </c>
      <c r="BD153" s="87"/>
      <c r="BE153" s="87">
        <v>11271.0</v>
      </c>
      <c r="BF153" s="87">
        <v>10.0</v>
      </c>
      <c r="BG153" s="87">
        <v>6002.0</v>
      </c>
      <c r="BH153" s="87"/>
      <c r="BI153" s="87">
        <v>74933.0</v>
      </c>
      <c r="BJ153" s="87">
        <v>11250.0</v>
      </c>
      <c r="BK153" s="87">
        <v>884.0</v>
      </c>
      <c r="BL153" s="87">
        <v>3075.0</v>
      </c>
      <c r="BM153" s="87">
        <v>2058.0</v>
      </c>
      <c r="BN153" s="87"/>
      <c r="BO153" s="87">
        <v>16.0</v>
      </c>
      <c r="BP153" s="87">
        <v>10925.0</v>
      </c>
      <c r="BQ153" s="87">
        <v>295.0</v>
      </c>
      <c r="BR153" s="87">
        <v>177.0</v>
      </c>
      <c r="BS153" s="87">
        <v>2159.0</v>
      </c>
      <c r="BT153" s="87">
        <v>39.0</v>
      </c>
      <c r="BU153" s="87">
        <v>3.0</v>
      </c>
      <c r="BV153" s="87">
        <v>231.0</v>
      </c>
      <c r="BW153" s="87">
        <v>697.0</v>
      </c>
      <c r="BX153" s="87">
        <v>2371.0</v>
      </c>
      <c r="BY153" s="87"/>
      <c r="BZ153" s="87">
        <v>7.0</v>
      </c>
      <c r="CA153" s="87">
        <v>366.0</v>
      </c>
      <c r="CB153" s="87">
        <v>9.0</v>
      </c>
      <c r="CC153" s="87">
        <v>2.0</v>
      </c>
      <c r="CD153" s="87">
        <v>1.0</v>
      </c>
      <c r="CE153" s="87"/>
      <c r="CF153" s="87">
        <v>1.0</v>
      </c>
      <c r="CG153" s="87">
        <v>510.0</v>
      </c>
      <c r="CH153" s="87">
        <v>16773.0</v>
      </c>
      <c r="CI153" s="87"/>
      <c r="CJ153" s="87">
        <v>7515.0</v>
      </c>
      <c r="CK153" s="87">
        <v>4980.0</v>
      </c>
      <c r="CL153" s="87">
        <v>4415.0</v>
      </c>
      <c r="CM153" s="87">
        <v>23.0</v>
      </c>
      <c r="CN153" s="87"/>
      <c r="CO153" s="87">
        <v>96.0</v>
      </c>
      <c r="CP153" s="87"/>
      <c r="CQ153" s="87">
        <v>249.0</v>
      </c>
      <c r="CR153" s="87">
        <v>5.0</v>
      </c>
      <c r="CS153" s="87"/>
      <c r="CT153" s="87">
        <v>2406.0</v>
      </c>
      <c r="CU153" s="87">
        <v>736.0</v>
      </c>
      <c r="CV153" s="87">
        <v>142.0</v>
      </c>
      <c r="CW153" s="87">
        <v>708.0</v>
      </c>
      <c r="CX153" s="87">
        <v>144.0</v>
      </c>
      <c r="CY153" s="87">
        <v>451.0</v>
      </c>
      <c r="CZ153" s="87">
        <v>6.0</v>
      </c>
      <c r="DA153" s="87">
        <v>28.0</v>
      </c>
      <c r="DB153" s="87">
        <v>2478.0</v>
      </c>
      <c r="DC153" s="87">
        <v>875.0</v>
      </c>
      <c r="DD153" s="87">
        <v>1807.0</v>
      </c>
      <c r="DE153" s="87">
        <v>228.0</v>
      </c>
      <c r="DF153" s="87">
        <v>440.0</v>
      </c>
      <c r="DG153" s="87">
        <v>867.0</v>
      </c>
      <c r="DH153" s="87">
        <v>2192.0</v>
      </c>
      <c r="DI153" s="87">
        <v>2127.0</v>
      </c>
      <c r="DJ153" s="87">
        <v>13.0</v>
      </c>
      <c r="DK153" s="87">
        <v>265.0</v>
      </c>
      <c r="DL153" s="87">
        <v>1186.0</v>
      </c>
      <c r="DM153" s="87">
        <v>182.0</v>
      </c>
      <c r="DN153" s="87">
        <v>2.0</v>
      </c>
      <c r="DO153" s="87">
        <v>1888.0</v>
      </c>
      <c r="DP153" s="87">
        <v>2033.0</v>
      </c>
      <c r="DQ153" s="87">
        <v>1637.0</v>
      </c>
      <c r="DR153" s="87">
        <v>2057.0</v>
      </c>
      <c r="DS153" s="87">
        <v>11.0</v>
      </c>
      <c r="DT153" s="87">
        <v>8.0</v>
      </c>
      <c r="DU153" s="87"/>
      <c r="DV153" s="87">
        <v>536.0</v>
      </c>
      <c r="DW153" s="87">
        <v>59.0</v>
      </c>
      <c r="DX153" s="87">
        <v>225.0</v>
      </c>
      <c r="DY153" s="87">
        <v>792.0</v>
      </c>
      <c r="DZ153" s="87">
        <v>179.0</v>
      </c>
      <c r="EA153" s="87">
        <v>28.0</v>
      </c>
      <c r="EB153" s="87">
        <v>337.0</v>
      </c>
      <c r="EC153" s="87">
        <v>270.0</v>
      </c>
      <c r="ED153" s="87">
        <v>6938.0</v>
      </c>
      <c r="EE153" s="87">
        <v>285.0</v>
      </c>
      <c r="EF153" s="87">
        <v>11.0</v>
      </c>
      <c r="EG153" s="87">
        <v>266.0</v>
      </c>
      <c r="EH153" s="87">
        <v>10.0</v>
      </c>
      <c r="EI153" s="87">
        <v>151.0</v>
      </c>
      <c r="EJ153" s="87">
        <v>16845.0</v>
      </c>
      <c r="EK153" s="88"/>
      <c r="EL153" s="88"/>
      <c r="EM153" s="88"/>
      <c r="EN153" s="88"/>
      <c r="EO153" s="88"/>
      <c r="EP153" s="88"/>
      <c r="EQ153" s="90"/>
    </row>
    <row r="154" ht="12.0" customHeight="1">
      <c r="A154" s="89">
        <v>1.06190766E8</v>
      </c>
      <c r="B154" s="89" t="s">
        <v>1285</v>
      </c>
      <c r="C154" s="89" t="s">
        <v>865</v>
      </c>
      <c r="D154" s="89" t="s">
        <v>1286</v>
      </c>
      <c r="E154" s="89" t="s">
        <v>1287</v>
      </c>
      <c r="F154" s="89" t="s">
        <v>1206</v>
      </c>
      <c r="G154" s="89" t="s">
        <v>1207</v>
      </c>
      <c r="H154" s="89" t="s">
        <v>475</v>
      </c>
      <c r="I154" s="89" t="s">
        <v>456</v>
      </c>
      <c r="J154" s="89" t="s">
        <v>437</v>
      </c>
      <c r="K154" s="89" t="s">
        <v>777</v>
      </c>
      <c r="L154" s="89" t="s">
        <v>1079</v>
      </c>
      <c r="M154" s="89" t="s">
        <v>1208</v>
      </c>
      <c r="N154" s="89" t="s">
        <v>441</v>
      </c>
      <c r="O154" s="87">
        <v>2022.0</v>
      </c>
      <c r="P154" s="87"/>
      <c r="Q154" s="87"/>
      <c r="R154" s="87"/>
      <c r="S154" s="87"/>
      <c r="T154" s="87"/>
      <c r="U154" s="87">
        <v>1026.0</v>
      </c>
      <c r="V154" s="87">
        <v>996.0</v>
      </c>
      <c r="W154" s="87"/>
      <c r="X154" s="87"/>
      <c r="Y154" s="87"/>
      <c r="Z154" s="87">
        <v>84.0</v>
      </c>
      <c r="AA154" s="87">
        <v>136.0</v>
      </c>
      <c r="AB154" s="87">
        <v>186.0</v>
      </c>
      <c r="AC154" s="87">
        <v>335.0</v>
      </c>
      <c r="AD154" s="87">
        <v>425.0</v>
      </c>
      <c r="AE154" s="87">
        <v>408.0</v>
      </c>
      <c r="AF154" s="87">
        <v>443.0</v>
      </c>
      <c r="AG154" s="87">
        <v>5.0</v>
      </c>
      <c r="AH154" s="87">
        <v>988.0</v>
      </c>
      <c r="AI154" s="87">
        <v>1028.0</v>
      </c>
      <c r="AJ154" s="87">
        <v>6.0</v>
      </c>
      <c r="AK154" s="87"/>
      <c r="AL154" s="87">
        <v>158.0</v>
      </c>
      <c r="AM154" s="87">
        <v>17.0</v>
      </c>
      <c r="AN154" s="87">
        <v>218.0</v>
      </c>
      <c r="AO154" s="87">
        <v>905.0</v>
      </c>
      <c r="AP154" s="87">
        <v>15.0</v>
      </c>
      <c r="AQ154" s="87">
        <v>709.0</v>
      </c>
      <c r="AR154" s="87"/>
      <c r="AS154" s="87">
        <v>1896.0</v>
      </c>
      <c r="AT154" s="87">
        <v>2.0</v>
      </c>
      <c r="AU154" s="87">
        <v>28.0</v>
      </c>
      <c r="AV154" s="87">
        <v>73.0</v>
      </c>
      <c r="AW154" s="87"/>
      <c r="AX154" s="87"/>
      <c r="AY154" s="87">
        <v>12.0</v>
      </c>
      <c r="AZ154" s="87"/>
      <c r="BA154" s="87">
        <v>1.0</v>
      </c>
      <c r="BB154" s="87">
        <v>10.0</v>
      </c>
      <c r="BC154" s="87"/>
      <c r="BD154" s="87"/>
      <c r="BE154" s="87">
        <v>1934.0</v>
      </c>
      <c r="BF154" s="87">
        <v>8.0</v>
      </c>
      <c r="BG154" s="87">
        <v>80.0</v>
      </c>
      <c r="BH154" s="87"/>
      <c r="BI154" s="87">
        <v>10079.0</v>
      </c>
      <c r="BJ154" s="87">
        <v>1947.0</v>
      </c>
      <c r="BK154" s="87"/>
      <c r="BL154" s="87">
        <v>75.0</v>
      </c>
      <c r="BM154" s="87"/>
      <c r="BN154" s="87"/>
      <c r="BO154" s="87"/>
      <c r="BP154" s="87">
        <v>721.0</v>
      </c>
      <c r="BQ154" s="87">
        <v>123.0</v>
      </c>
      <c r="BR154" s="87">
        <v>2.0</v>
      </c>
      <c r="BS154" s="87">
        <v>543.0</v>
      </c>
      <c r="BT154" s="87">
        <v>88.0</v>
      </c>
      <c r="BU154" s="87"/>
      <c r="BV154" s="87">
        <v>127.0</v>
      </c>
      <c r="BW154" s="87">
        <v>132.0</v>
      </c>
      <c r="BX154" s="87">
        <v>206.0</v>
      </c>
      <c r="BY154" s="87"/>
      <c r="BZ154" s="87"/>
      <c r="CA154" s="87">
        <v>31.0</v>
      </c>
      <c r="CB154" s="87">
        <v>48.0</v>
      </c>
      <c r="CC154" s="87">
        <v>1.0</v>
      </c>
      <c r="CD154" s="87"/>
      <c r="CE154" s="87"/>
      <c r="CF154" s="87"/>
      <c r="CG154" s="87">
        <v>95.0</v>
      </c>
      <c r="CH154" s="87">
        <v>1927.0</v>
      </c>
      <c r="CI154" s="87"/>
      <c r="CJ154" s="87">
        <v>1060.0</v>
      </c>
      <c r="CK154" s="87">
        <v>722.0</v>
      </c>
      <c r="CL154" s="87">
        <v>168.0</v>
      </c>
      <c r="CM154" s="87">
        <v>34.0</v>
      </c>
      <c r="CN154" s="87">
        <v>14.0</v>
      </c>
      <c r="CO154" s="87">
        <v>10.0</v>
      </c>
      <c r="CP154" s="87">
        <v>1.0</v>
      </c>
      <c r="CQ154" s="87">
        <v>13.0</v>
      </c>
      <c r="CR154" s="87"/>
      <c r="CS154" s="87"/>
      <c r="CT154" s="87">
        <v>613.0</v>
      </c>
      <c r="CU154" s="87">
        <v>18.0</v>
      </c>
      <c r="CV154" s="87">
        <v>33.0</v>
      </c>
      <c r="CW154" s="87">
        <v>151.0</v>
      </c>
      <c r="CX154" s="87">
        <v>51.0</v>
      </c>
      <c r="CY154" s="87">
        <v>101.0</v>
      </c>
      <c r="CZ154" s="87"/>
      <c r="DA154" s="87"/>
      <c r="DB154" s="87">
        <v>313.0</v>
      </c>
      <c r="DC154" s="87">
        <v>121.0</v>
      </c>
      <c r="DD154" s="87">
        <v>210.0</v>
      </c>
      <c r="DE154" s="87">
        <v>25.0</v>
      </c>
      <c r="DF154" s="87">
        <v>49.0</v>
      </c>
      <c r="DG154" s="87">
        <v>141.0</v>
      </c>
      <c r="DH154" s="87"/>
      <c r="DI154" s="87"/>
      <c r="DJ154" s="87"/>
      <c r="DK154" s="87">
        <v>61.0</v>
      </c>
      <c r="DL154" s="87">
        <v>126.0</v>
      </c>
      <c r="DM154" s="87">
        <v>4.0</v>
      </c>
      <c r="DN154" s="87">
        <v>5.0</v>
      </c>
      <c r="DO154" s="87">
        <v>334.0</v>
      </c>
      <c r="DP154" s="87">
        <v>1.0</v>
      </c>
      <c r="DQ154" s="87">
        <v>244.0</v>
      </c>
      <c r="DR154" s="87">
        <v>184.0</v>
      </c>
      <c r="DS154" s="87"/>
      <c r="DT154" s="87">
        <v>1.0</v>
      </c>
      <c r="DU154" s="87"/>
      <c r="DV154" s="87">
        <v>5.0</v>
      </c>
      <c r="DW154" s="87"/>
      <c r="DX154" s="87">
        <v>48.0</v>
      </c>
      <c r="DY154" s="87">
        <v>83.0</v>
      </c>
      <c r="DZ154" s="87">
        <v>21.0</v>
      </c>
      <c r="EA154" s="87">
        <v>1.0</v>
      </c>
      <c r="EB154" s="87">
        <v>33.0</v>
      </c>
      <c r="EC154" s="87">
        <v>6.0</v>
      </c>
      <c r="ED154" s="87">
        <v>1037.0</v>
      </c>
      <c r="EE154" s="87">
        <v>24.0</v>
      </c>
      <c r="EF154" s="87">
        <v>8.0</v>
      </c>
      <c r="EG154" s="87">
        <v>26.0</v>
      </c>
      <c r="EH154" s="87"/>
      <c r="EI154" s="87">
        <v>4.0</v>
      </c>
      <c r="EJ154" s="87">
        <v>1984.0</v>
      </c>
      <c r="EK154" s="88"/>
      <c r="EL154" s="88"/>
      <c r="EM154" s="88"/>
      <c r="EN154" s="88"/>
      <c r="EO154" s="88"/>
      <c r="EP154" s="88"/>
      <c r="EQ154" s="90"/>
    </row>
    <row r="155" ht="12.0" customHeight="1">
      <c r="A155" s="89">
        <v>1.06190782E8</v>
      </c>
      <c r="B155" s="89" t="s">
        <v>1288</v>
      </c>
      <c r="C155" s="89" t="s">
        <v>865</v>
      </c>
      <c r="D155" s="89" t="s">
        <v>1289</v>
      </c>
      <c r="E155" s="89" t="s">
        <v>1290</v>
      </c>
      <c r="F155" s="89" t="s">
        <v>1157</v>
      </c>
      <c r="G155" s="89" t="s">
        <v>1158</v>
      </c>
      <c r="H155" s="89" t="s">
        <v>447</v>
      </c>
      <c r="I155" s="89" t="s">
        <v>456</v>
      </c>
      <c r="J155" s="89" t="s">
        <v>463</v>
      </c>
      <c r="K155" s="89" t="s">
        <v>1041</v>
      </c>
      <c r="L155" s="89" t="s">
        <v>1042</v>
      </c>
      <c r="M155" s="89" t="s">
        <v>1291</v>
      </c>
      <c r="N155" s="89" t="s">
        <v>441</v>
      </c>
      <c r="O155" s="87"/>
      <c r="P155" s="87"/>
      <c r="Q155" s="87">
        <v>3544.0</v>
      </c>
      <c r="R155" s="87"/>
      <c r="S155" s="87"/>
      <c r="T155" s="87"/>
      <c r="U155" s="87">
        <v>2774.0</v>
      </c>
      <c r="V155" s="87">
        <v>770.0</v>
      </c>
      <c r="W155" s="87"/>
      <c r="X155" s="87"/>
      <c r="Y155" s="87">
        <v>25.0</v>
      </c>
      <c r="Z155" s="87">
        <v>714.0</v>
      </c>
      <c r="AA155" s="87">
        <v>1188.0</v>
      </c>
      <c r="AB155" s="87">
        <v>732.0</v>
      </c>
      <c r="AC155" s="87">
        <v>520.0</v>
      </c>
      <c r="AD155" s="87">
        <v>322.0</v>
      </c>
      <c r="AE155" s="87">
        <v>41.0</v>
      </c>
      <c r="AF155" s="87"/>
      <c r="AG155" s="87">
        <v>2.0</v>
      </c>
      <c r="AH155" s="87">
        <v>1592.0</v>
      </c>
      <c r="AI155" s="87">
        <v>1904.0</v>
      </c>
      <c r="AJ155" s="87">
        <v>48.0</v>
      </c>
      <c r="AK155" s="87">
        <v>27.0</v>
      </c>
      <c r="AL155" s="87">
        <v>38.0</v>
      </c>
      <c r="AM155" s="87">
        <v>21.0</v>
      </c>
      <c r="AN155" s="87">
        <v>484.0</v>
      </c>
      <c r="AO155" s="87">
        <v>1630.0</v>
      </c>
      <c r="AP155" s="87">
        <v>21.0</v>
      </c>
      <c r="AQ155" s="87">
        <v>1295.0</v>
      </c>
      <c r="AR155" s="87">
        <v>28.0</v>
      </c>
      <c r="AS155" s="87">
        <v>3491.0</v>
      </c>
      <c r="AT155" s="87"/>
      <c r="AU155" s="87">
        <v>52.0</v>
      </c>
      <c r="AV155" s="87"/>
      <c r="AW155" s="87"/>
      <c r="AX155" s="87"/>
      <c r="AY155" s="87"/>
      <c r="AZ155" s="87"/>
      <c r="BA155" s="87">
        <v>1.0</v>
      </c>
      <c r="BB155" s="87"/>
      <c r="BC155" s="87"/>
      <c r="BD155" s="87"/>
      <c r="BE155" s="87"/>
      <c r="BF155" s="87"/>
      <c r="BG155" s="87">
        <v>3544.0</v>
      </c>
      <c r="BH155" s="87"/>
      <c r="BI155" s="87">
        <v>18160.0</v>
      </c>
      <c r="BJ155" s="87"/>
      <c r="BK155" s="87"/>
      <c r="BL155" s="87">
        <v>3544.0</v>
      </c>
      <c r="BM155" s="87"/>
      <c r="BN155" s="87"/>
      <c r="BO155" s="87"/>
      <c r="BP155" s="87">
        <v>1912.0</v>
      </c>
      <c r="BQ155" s="87">
        <v>65.0</v>
      </c>
      <c r="BR155" s="87">
        <v>822.0</v>
      </c>
      <c r="BS155" s="87"/>
      <c r="BT155" s="87"/>
      <c r="BU155" s="87">
        <v>1.0</v>
      </c>
      <c r="BV155" s="87">
        <v>722.0</v>
      </c>
      <c r="BW155" s="87">
        <v>1.0</v>
      </c>
      <c r="BX155" s="87"/>
      <c r="BY155" s="87"/>
      <c r="BZ155" s="87"/>
      <c r="CA155" s="87"/>
      <c r="CB155" s="87">
        <v>10.0</v>
      </c>
      <c r="CC155" s="87"/>
      <c r="CD155" s="87">
        <v>7.0</v>
      </c>
      <c r="CE155" s="87">
        <v>4.0</v>
      </c>
      <c r="CF155" s="87"/>
      <c r="CG155" s="87"/>
      <c r="CH155" s="87">
        <v>3544.0</v>
      </c>
      <c r="CI155" s="87"/>
      <c r="CJ155" s="87">
        <v>199.0</v>
      </c>
      <c r="CK155" s="87">
        <v>2704.0</v>
      </c>
      <c r="CL155" s="87">
        <v>511.0</v>
      </c>
      <c r="CM155" s="87"/>
      <c r="CN155" s="87">
        <v>101.0</v>
      </c>
      <c r="CO155" s="87"/>
      <c r="CP155" s="87"/>
      <c r="CQ155" s="87">
        <v>29.0</v>
      </c>
      <c r="CR155" s="87"/>
      <c r="CS155" s="87"/>
      <c r="CT155" s="87"/>
      <c r="CU155" s="87"/>
      <c r="CV155" s="87"/>
      <c r="CW155" s="87"/>
      <c r="CX155" s="87">
        <v>3544.0</v>
      </c>
      <c r="CY155" s="87"/>
      <c r="CZ155" s="87"/>
      <c r="DA155" s="87"/>
      <c r="DB155" s="87"/>
      <c r="DC155" s="87"/>
      <c r="DD155" s="87"/>
      <c r="DE155" s="87"/>
      <c r="DF155" s="87"/>
      <c r="DG155" s="87"/>
      <c r="DH155" s="87"/>
      <c r="DI155" s="87"/>
      <c r="DJ155" s="87"/>
      <c r="DK155" s="87"/>
      <c r="DL155" s="87"/>
      <c r="DM155" s="87"/>
      <c r="DN155" s="87"/>
      <c r="DO155" s="87">
        <v>3544.0</v>
      </c>
      <c r="DP155" s="87"/>
      <c r="DQ155" s="87"/>
      <c r="DR155" s="87"/>
      <c r="DS155" s="87"/>
      <c r="DT155" s="87"/>
      <c r="DU155" s="87"/>
      <c r="DV155" s="87"/>
      <c r="DW155" s="87"/>
      <c r="DX155" s="87"/>
      <c r="DY155" s="87"/>
      <c r="DZ155" s="87"/>
      <c r="EA155" s="87"/>
      <c r="EB155" s="87"/>
      <c r="EC155" s="87"/>
      <c r="ED155" s="87"/>
      <c r="EE155" s="87"/>
      <c r="EF155" s="87"/>
      <c r="EG155" s="87">
        <v>1503.0</v>
      </c>
      <c r="EH155" s="87"/>
      <c r="EI155" s="87">
        <v>3.0</v>
      </c>
      <c r="EJ155" s="87">
        <v>2038.0</v>
      </c>
      <c r="EK155" s="88"/>
      <c r="EL155" s="88"/>
      <c r="EM155" s="88"/>
      <c r="EN155" s="88"/>
      <c r="EO155" s="88"/>
      <c r="EP155" s="88"/>
      <c r="EQ155" s="90"/>
    </row>
    <row r="156" ht="12.0" customHeight="1">
      <c r="A156" s="89">
        <v>1.06190796E8</v>
      </c>
      <c r="B156" s="89" t="s">
        <v>1292</v>
      </c>
      <c r="C156" s="89" t="s">
        <v>865</v>
      </c>
      <c r="D156" s="89" t="s">
        <v>1293</v>
      </c>
      <c r="E156" s="89" t="s">
        <v>1294</v>
      </c>
      <c r="F156" s="89" t="s">
        <v>865</v>
      </c>
      <c r="G156" s="89" t="s">
        <v>1295</v>
      </c>
      <c r="H156" s="89" t="s">
        <v>1256</v>
      </c>
      <c r="I156" s="89" t="s">
        <v>456</v>
      </c>
      <c r="J156" s="89" t="s">
        <v>448</v>
      </c>
      <c r="K156" s="89" t="s">
        <v>763</v>
      </c>
      <c r="L156" s="89" t="s">
        <v>934</v>
      </c>
      <c r="M156" s="89" t="s">
        <v>967</v>
      </c>
      <c r="N156" s="89" t="s">
        <v>441</v>
      </c>
      <c r="O156" s="87">
        <v>22972.0</v>
      </c>
      <c r="P156" s="87"/>
      <c r="Q156" s="87">
        <v>5.0</v>
      </c>
      <c r="R156" s="87"/>
      <c r="S156" s="87"/>
      <c r="T156" s="87"/>
      <c r="U156" s="87">
        <v>11161.0</v>
      </c>
      <c r="V156" s="87">
        <v>11807.0</v>
      </c>
      <c r="W156" s="87">
        <v>9.0</v>
      </c>
      <c r="X156" s="87">
        <v>3031.0</v>
      </c>
      <c r="Y156" s="87">
        <v>925.0</v>
      </c>
      <c r="Z156" s="87">
        <v>1829.0</v>
      </c>
      <c r="AA156" s="87">
        <v>3015.0</v>
      </c>
      <c r="AB156" s="87">
        <v>2359.0</v>
      </c>
      <c r="AC156" s="87">
        <v>2920.0</v>
      </c>
      <c r="AD156" s="87">
        <v>3717.0</v>
      </c>
      <c r="AE156" s="87">
        <v>3093.0</v>
      </c>
      <c r="AF156" s="87">
        <v>2086.0</v>
      </c>
      <c r="AG156" s="87">
        <v>2.0</v>
      </c>
      <c r="AH156" s="87">
        <v>6770.0</v>
      </c>
      <c r="AI156" s="87">
        <v>15154.0</v>
      </c>
      <c r="AJ156" s="87">
        <v>1053.0</v>
      </c>
      <c r="AK156" s="87">
        <v>103.0</v>
      </c>
      <c r="AL156" s="87">
        <v>2498.0</v>
      </c>
      <c r="AM156" s="87">
        <v>78.0</v>
      </c>
      <c r="AN156" s="87">
        <v>2139.0</v>
      </c>
      <c r="AO156" s="87">
        <v>11051.0</v>
      </c>
      <c r="AP156" s="87">
        <v>2061.0</v>
      </c>
      <c r="AQ156" s="87">
        <v>4432.0</v>
      </c>
      <c r="AR156" s="87">
        <v>615.0</v>
      </c>
      <c r="AS156" s="87">
        <v>18377.0</v>
      </c>
      <c r="AT156" s="87">
        <v>837.0</v>
      </c>
      <c r="AU156" s="87">
        <v>1926.0</v>
      </c>
      <c r="AV156" s="87">
        <v>67.0</v>
      </c>
      <c r="AW156" s="87">
        <v>96.0</v>
      </c>
      <c r="AX156" s="87"/>
      <c r="AY156" s="87"/>
      <c r="AZ156" s="87">
        <v>16.0</v>
      </c>
      <c r="BA156" s="87">
        <v>1.0</v>
      </c>
      <c r="BB156" s="87">
        <v>6.0</v>
      </c>
      <c r="BC156" s="87">
        <v>1651.0</v>
      </c>
      <c r="BD156" s="87"/>
      <c r="BE156" s="87">
        <v>11196.0</v>
      </c>
      <c r="BF156" s="87">
        <v>507.0</v>
      </c>
      <c r="BG156" s="87">
        <v>11266.0</v>
      </c>
      <c r="BH156" s="87">
        <v>8.0</v>
      </c>
      <c r="BI156" s="87">
        <v>168826.0</v>
      </c>
      <c r="BJ156" s="87">
        <v>10568.0</v>
      </c>
      <c r="BK156" s="87">
        <v>4528.0</v>
      </c>
      <c r="BL156" s="87">
        <v>5586.0</v>
      </c>
      <c r="BM156" s="87">
        <v>1651.0</v>
      </c>
      <c r="BN156" s="87">
        <v>641.0</v>
      </c>
      <c r="BO156" s="87">
        <v>3.0</v>
      </c>
      <c r="BP156" s="87">
        <v>14814.0</v>
      </c>
      <c r="BQ156" s="87">
        <v>794.0</v>
      </c>
      <c r="BR156" s="87">
        <v>754.0</v>
      </c>
      <c r="BS156" s="87">
        <v>831.0</v>
      </c>
      <c r="BT156" s="87">
        <v>90.0</v>
      </c>
      <c r="BU156" s="87">
        <v>5.0</v>
      </c>
      <c r="BV156" s="87">
        <v>285.0</v>
      </c>
      <c r="BW156" s="87">
        <v>624.0</v>
      </c>
      <c r="BX156" s="87">
        <v>4315.0</v>
      </c>
      <c r="BY156" s="87"/>
      <c r="BZ156" s="87">
        <v>36.0</v>
      </c>
      <c r="CA156" s="87">
        <v>231.0</v>
      </c>
      <c r="CB156" s="87">
        <v>186.0</v>
      </c>
      <c r="CC156" s="87"/>
      <c r="CD156" s="87">
        <v>12.0</v>
      </c>
      <c r="CE156" s="87"/>
      <c r="CF156" s="87"/>
      <c r="CG156" s="87">
        <v>745.0</v>
      </c>
      <c r="CH156" s="87">
        <v>22232.0</v>
      </c>
      <c r="CI156" s="87"/>
      <c r="CJ156" s="87">
        <v>8138.0</v>
      </c>
      <c r="CK156" s="87">
        <v>5340.0</v>
      </c>
      <c r="CL156" s="87">
        <v>8974.0</v>
      </c>
      <c r="CM156" s="87">
        <v>62.0</v>
      </c>
      <c r="CN156" s="87"/>
      <c r="CO156" s="87">
        <v>206.0</v>
      </c>
      <c r="CP156" s="87"/>
      <c r="CQ156" s="87">
        <v>243.0</v>
      </c>
      <c r="CR156" s="87">
        <v>14.0</v>
      </c>
      <c r="CS156" s="87"/>
      <c r="CT156" s="87">
        <v>1948.0</v>
      </c>
      <c r="CU156" s="87">
        <v>2600.0</v>
      </c>
      <c r="CV156" s="87">
        <v>261.0</v>
      </c>
      <c r="CW156" s="87">
        <v>1011.0</v>
      </c>
      <c r="CX156" s="87">
        <v>274.0</v>
      </c>
      <c r="CY156" s="87">
        <v>1124.0</v>
      </c>
      <c r="CZ156" s="87">
        <v>123.0</v>
      </c>
      <c r="DA156" s="87">
        <v>81.0</v>
      </c>
      <c r="DB156" s="87">
        <v>3015.0</v>
      </c>
      <c r="DC156" s="87">
        <v>945.0</v>
      </c>
      <c r="DD156" s="87">
        <v>2122.0</v>
      </c>
      <c r="DE156" s="87">
        <v>184.0</v>
      </c>
      <c r="DF156" s="87">
        <v>426.0</v>
      </c>
      <c r="DG156" s="87">
        <v>955.0</v>
      </c>
      <c r="DH156" s="87">
        <v>1819.0</v>
      </c>
      <c r="DI156" s="87">
        <v>1722.0</v>
      </c>
      <c r="DJ156" s="87">
        <v>440.0</v>
      </c>
      <c r="DK156" s="87">
        <v>383.0</v>
      </c>
      <c r="DL156" s="87">
        <v>3079.0</v>
      </c>
      <c r="DM156" s="87">
        <v>462.0</v>
      </c>
      <c r="DN156" s="87">
        <v>3.0</v>
      </c>
      <c r="DO156" s="87">
        <v>4600.0</v>
      </c>
      <c r="DP156" s="87">
        <v>1634.0</v>
      </c>
      <c r="DQ156" s="87">
        <v>3338.0</v>
      </c>
      <c r="DR156" s="87">
        <v>2515.0</v>
      </c>
      <c r="DS156" s="87">
        <v>91.0</v>
      </c>
      <c r="DT156" s="87">
        <v>175.0</v>
      </c>
      <c r="DU156" s="87">
        <v>105.0</v>
      </c>
      <c r="DV156" s="87">
        <v>374.0</v>
      </c>
      <c r="DW156" s="87">
        <v>374.0</v>
      </c>
      <c r="DX156" s="87">
        <v>541.0</v>
      </c>
      <c r="DY156" s="87">
        <v>890.0</v>
      </c>
      <c r="DZ156" s="87">
        <v>1152.0</v>
      </c>
      <c r="EA156" s="87">
        <v>273.0</v>
      </c>
      <c r="EB156" s="87">
        <v>711.0</v>
      </c>
      <c r="EC156" s="87">
        <v>996.0</v>
      </c>
      <c r="ED156" s="87">
        <v>4401.0</v>
      </c>
      <c r="EE156" s="87">
        <v>807.0</v>
      </c>
      <c r="EF156" s="87">
        <v>2.0</v>
      </c>
      <c r="EG156" s="87">
        <v>453.0</v>
      </c>
      <c r="EH156" s="87">
        <v>26.0</v>
      </c>
      <c r="EI156" s="87">
        <v>784.0</v>
      </c>
      <c r="EJ156" s="87">
        <v>21712.0</v>
      </c>
      <c r="EK156" s="88"/>
      <c r="EL156" s="88"/>
      <c r="EM156" s="88"/>
      <c r="EN156" s="88"/>
      <c r="EO156" s="88"/>
      <c r="EP156" s="88"/>
      <c r="EQ156" s="90"/>
    </row>
    <row r="157" ht="12.0" customHeight="1">
      <c r="A157" s="89">
        <v>1.06190812E8</v>
      </c>
      <c r="B157" s="89" t="s">
        <v>1296</v>
      </c>
      <c r="C157" s="89" t="s">
        <v>865</v>
      </c>
      <c r="D157" s="89" t="s">
        <v>1297</v>
      </c>
      <c r="E157" s="89" t="s">
        <v>1298</v>
      </c>
      <c r="F157" s="89" t="s">
        <v>1299</v>
      </c>
      <c r="G157" s="89" t="s">
        <v>1300</v>
      </c>
      <c r="H157" s="89" t="s">
        <v>447</v>
      </c>
      <c r="I157" s="89" t="s">
        <v>456</v>
      </c>
      <c r="J157" s="89" t="s">
        <v>448</v>
      </c>
      <c r="K157" s="89" t="s">
        <v>439</v>
      </c>
      <c r="L157" s="89" t="s">
        <v>1127</v>
      </c>
      <c r="M157" s="89" t="s">
        <v>1128</v>
      </c>
      <c r="N157" s="89" t="s">
        <v>441</v>
      </c>
      <c r="O157" s="87">
        <v>14893.0</v>
      </c>
      <c r="P157" s="87"/>
      <c r="Q157" s="87"/>
      <c r="R157" s="87"/>
      <c r="S157" s="87">
        <v>334.0</v>
      </c>
      <c r="T157" s="87"/>
      <c r="U157" s="87">
        <v>6404.0</v>
      </c>
      <c r="V157" s="87">
        <v>8816.0</v>
      </c>
      <c r="W157" s="87">
        <v>7.0</v>
      </c>
      <c r="X157" s="87">
        <v>3162.0</v>
      </c>
      <c r="Y157" s="87">
        <v>497.0</v>
      </c>
      <c r="Z157" s="87">
        <v>1839.0</v>
      </c>
      <c r="AA157" s="87">
        <v>2029.0</v>
      </c>
      <c r="AB157" s="87">
        <v>1234.0</v>
      </c>
      <c r="AC157" s="87">
        <v>1850.0</v>
      </c>
      <c r="AD157" s="87">
        <v>2097.0</v>
      </c>
      <c r="AE157" s="87">
        <v>1321.0</v>
      </c>
      <c r="AF157" s="87">
        <v>1198.0</v>
      </c>
      <c r="AG157" s="87"/>
      <c r="AH157" s="87">
        <v>9781.0</v>
      </c>
      <c r="AI157" s="87">
        <v>5341.0</v>
      </c>
      <c r="AJ157" s="87">
        <v>105.0</v>
      </c>
      <c r="AK157" s="87">
        <v>29.0</v>
      </c>
      <c r="AL157" s="87">
        <v>720.0</v>
      </c>
      <c r="AM157" s="87"/>
      <c r="AN157" s="87">
        <v>835.0</v>
      </c>
      <c r="AO157" s="87">
        <v>13077.0</v>
      </c>
      <c r="AP157" s="87">
        <v>30.0</v>
      </c>
      <c r="AQ157" s="87">
        <v>461.0</v>
      </c>
      <c r="AR157" s="87">
        <v>75.0</v>
      </c>
      <c r="AS157" s="87">
        <v>9351.0</v>
      </c>
      <c r="AT157" s="87">
        <v>1075.0</v>
      </c>
      <c r="AU157" s="87">
        <v>1848.0</v>
      </c>
      <c r="AV157" s="87">
        <v>309.0</v>
      </c>
      <c r="AW157" s="87">
        <v>31.0</v>
      </c>
      <c r="AX157" s="87">
        <v>161.0</v>
      </c>
      <c r="AY157" s="87">
        <v>1.0</v>
      </c>
      <c r="AZ157" s="87"/>
      <c r="BA157" s="87">
        <v>2.0</v>
      </c>
      <c r="BB157" s="87">
        <v>32.0</v>
      </c>
      <c r="BC157" s="87">
        <v>2417.0</v>
      </c>
      <c r="BD157" s="87"/>
      <c r="BE157" s="87">
        <v>7310.0</v>
      </c>
      <c r="BF157" s="87">
        <v>1203.0</v>
      </c>
      <c r="BG157" s="87">
        <v>6714.0</v>
      </c>
      <c r="BH157" s="87"/>
      <c r="BI157" s="87">
        <v>71421.0</v>
      </c>
      <c r="BJ157" s="87">
        <v>3536.0</v>
      </c>
      <c r="BK157" s="87">
        <v>7514.0</v>
      </c>
      <c r="BL157" s="87">
        <v>1759.0</v>
      </c>
      <c r="BM157" s="87">
        <v>2417.0</v>
      </c>
      <c r="BN157" s="87"/>
      <c r="BO157" s="87">
        <v>1.0</v>
      </c>
      <c r="BP157" s="87">
        <v>10931.0</v>
      </c>
      <c r="BQ157" s="87">
        <v>211.0</v>
      </c>
      <c r="BR157" s="87">
        <v>194.0</v>
      </c>
      <c r="BS157" s="87">
        <v>1007.0</v>
      </c>
      <c r="BT157" s="87">
        <v>110.0</v>
      </c>
      <c r="BU157" s="87"/>
      <c r="BV157" s="87">
        <v>514.0</v>
      </c>
      <c r="BW157" s="87">
        <v>324.0</v>
      </c>
      <c r="BX157" s="87">
        <v>1736.0</v>
      </c>
      <c r="BY157" s="87"/>
      <c r="BZ157" s="87">
        <v>38.0</v>
      </c>
      <c r="CA157" s="87">
        <v>134.0</v>
      </c>
      <c r="CB157" s="87">
        <v>28.0</v>
      </c>
      <c r="CC157" s="87"/>
      <c r="CD157" s="87"/>
      <c r="CE157" s="87"/>
      <c r="CF157" s="87"/>
      <c r="CG157" s="87">
        <v>186.0</v>
      </c>
      <c r="CH157" s="87">
        <v>15041.0</v>
      </c>
      <c r="CI157" s="87"/>
      <c r="CJ157" s="87">
        <v>2983.0</v>
      </c>
      <c r="CK157" s="87">
        <v>10830.0</v>
      </c>
      <c r="CL157" s="87">
        <v>1094.0</v>
      </c>
      <c r="CM157" s="87">
        <v>125.0</v>
      </c>
      <c r="CN157" s="87"/>
      <c r="CO157" s="87"/>
      <c r="CP157" s="87">
        <v>8.0</v>
      </c>
      <c r="CQ157" s="87">
        <v>138.0</v>
      </c>
      <c r="CR157" s="87">
        <v>49.0</v>
      </c>
      <c r="CS157" s="87"/>
      <c r="CT157" s="87">
        <v>1588.0</v>
      </c>
      <c r="CU157" s="87">
        <v>295.0</v>
      </c>
      <c r="CV157" s="87">
        <v>137.0</v>
      </c>
      <c r="CW157" s="87">
        <v>542.0</v>
      </c>
      <c r="CX157" s="87">
        <v>161.0</v>
      </c>
      <c r="CY157" s="87">
        <v>375.0</v>
      </c>
      <c r="CZ157" s="87">
        <v>12.0</v>
      </c>
      <c r="DA157" s="87">
        <v>18.0</v>
      </c>
      <c r="DB157" s="87">
        <v>1520.0</v>
      </c>
      <c r="DC157" s="87">
        <v>734.0</v>
      </c>
      <c r="DD157" s="87">
        <v>1609.0</v>
      </c>
      <c r="DE157" s="87">
        <v>245.0</v>
      </c>
      <c r="DF157" s="87">
        <v>725.0</v>
      </c>
      <c r="DG157" s="87">
        <v>646.0</v>
      </c>
      <c r="DH157" s="87">
        <v>2851.0</v>
      </c>
      <c r="DI157" s="87">
        <v>2473.0</v>
      </c>
      <c r="DJ157" s="87">
        <v>17.0</v>
      </c>
      <c r="DK157" s="87">
        <v>434.0</v>
      </c>
      <c r="DL157" s="87">
        <v>763.0</v>
      </c>
      <c r="DM157" s="87">
        <v>79.0</v>
      </c>
      <c r="DN157" s="87">
        <v>3.0</v>
      </c>
      <c r="DO157" s="87">
        <v>2911.0</v>
      </c>
      <c r="DP157" s="87">
        <v>2435.0</v>
      </c>
      <c r="DQ157" s="87">
        <v>897.0</v>
      </c>
      <c r="DR157" s="87">
        <v>1386.0</v>
      </c>
      <c r="DS157" s="87">
        <v>6.0</v>
      </c>
      <c r="DT157" s="87">
        <v>9.0</v>
      </c>
      <c r="DU157" s="87">
        <v>1.0</v>
      </c>
      <c r="DV157" s="87">
        <v>205.0</v>
      </c>
      <c r="DW157" s="87">
        <v>23.0</v>
      </c>
      <c r="DX157" s="87">
        <v>357.0</v>
      </c>
      <c r="DY157" s="87">
        <v>1000.0</v>
      </c>
      <c r="DZ157" s="87">
        <v>172.0</v>
      </c>
      <c r="EA157" s="87">
        <v>21.0</v>
      </c>
      <c r="EB157" s="87">
        <v>285.0</v>
      </c>
      <c r="EC157" s="87">
        <v>170.0</v>
      </c>
      <c r="ED157" s="87">
        <v>5178.0</v>
      </c>
      <c r="EE157" s="87">
        <v>171.0</v>
      </c>
      <c r="EF157" s="87">
        <v>9.0</v>
      </c>
      <c r="EG157" s="87">
        <v>397.0</v>
      </c>
      <c r="EH157" s="87">
        <v>1.0</v>
      </c>
      <c r="EI157" s="87">
        <v>47.0</v>
      </c>
      <c r="EJ157" s="87">
        <v>14773.0</v>
      </c>
      <c r="EK157" s="88"/>
      <c r="EL157" s="88"/>
      <c r="EM157" s="88"/>
      <c r="EN157" s="88"/>
      <c r="EO157" s="88"/>
      <c r="EP157" s="88"/>
      <c r="EQ157" s="90"/>
    </row>
    <row r="158" ht="12.0" customHeight="1">
      <c r="A158" s="89">
        <v>1.06190818E8</v>
      </c>
      <c r="B158" s="89" t="s">
        <v>1301</v>
      </c>
      <c r="C158" s="89" t="s">
        <v>865</v>
      </c>
      <c r="D158" s="89" t="s">
        <v>1302</v>
      </c>
      <c r="E158" s="89" t="s">
        <v>1303</v>
      </c>
      <c r="F158" s="89" t="s">
        <v>1067</v>
      </c>
      <c r="G158" s="89" t="s">
        <v>1304</v>
      </c>
      <c r="H158" s="89" t="s">
        <v>447</v>
      </c>
      <c r="I158" s="89" t="s">
        <v>456</v>
      </c>
      <c r="J158" s="89" t="s">
        <v>457</v>
      </c>
      <c r="K158" s="89" t="s">
        <v>504</v>
      </c>
      <c r="L158" s="89" t="s">
        <v>978</v>
      </c>
      <c r="M158" s="89" t="s">
        <v>1305</v>
      </c>
      <c r="N158" s="89" t="s">
        <v>441</v>
      </c>
      <c r="O158" s="87">
        <v>5695.0</v>
      </c>
      <c r="P158" s="87"/>
      <c r="Q158" s="87">
        <v>397.0</v>
      </c>
      <c r="R158" s="87"/>
      <c r="S158" s="87"/>
      <c r="T158" s="87"/>
      <c r="U158" s="87">
        <v>2623.0</v>
      </c>
      <c r="V158" s="87">
        <v>3467.0</v>
      </c>
      <c r="W158" s="87">
        <v>2.0</v>
      </c>
      <c r="X158" s="87">
        <v>641.0</v>
      </c>
      <c r="Y158" s="87">
        <v>17.0</v>
      </c>
      <c r="Z158" s="87">
        <v>211.0</v>
      </c>
      <c r="AA158" s="87">
        <v>700.0</v>
      </c>
      <c r="AB158" s="87">
        <v>349.0</v>
      </c>
      <c r="AC158" s="87">
        <v>507.0</v>
      </c>
      <c r="AD158" s="87">
        <v>948.0</v>
      </c>
      <c r="AE158" s="87">
        <v>1242.0</v>
      </c>
      <c r="AF158" s="87">
        <v>1477.0</v>
      </c>
      <c r="AG158" s="87"/>
      <c r="AH158" s="87">
        <v>1034.0</v>
      </c>
      <c r="AI158" s="87">
        <v>4903.0</v>
      </c>
      <c r="AJ158" s="87">
        <v>155.0</v>
      </c>
      <c r="AK158" s="87">
        <v>16.0</v>
      </c>
      <c r="AL158" s="87">
        <v>425.0</v>
      </c>
      <c r="AM158" s="87"/>
      <c r="AN158" s="87">
        <v>241.0</v>
      </c>
      <c r="AO158" s="87">
        <v>3988.0</v>
      </c>
      <c r="AP158" s="87">
        <v>66.0</v>
      </c>
      <c r="AQ158" s="87">
        <v>1135.0</v>
      </c>
      <c r="AR158" s="87">
        <v>221.0</v>
      </c>
      <c r="AS158" s="87">
        <v>4574.0</v>
      </c>
      <c r="AT158" s="87">
        <v>38.0</v>
      </c>
      <c r="AU158" s="87">
        <v>174.0</v>
      </c>
      <c r="AV158" s="87">
        <v>499.0</v>
      </c>
      <c r="AW158" s="87">
        <v>18.0</v>
      </c>
      <c r="AX158" s="87">
        <v>158.0</v>
      </c>
      <c r="AY158" s="87"/>
      <c r="AZ158" s="87">
        <v>1.0</v>
      </c>
      <c r="BA158" s="87">
        <v>5.0</v>
      </c>
      <c r="BB158" s="87">
        <v>1.0</v>
      </c>
      <c r="BC158" s="87">
        <v>623.0</v>
      </c>
      <c r="BD158" s="87">
        <v>1.0</v>
      </c>
      <c r="BE158" s="87">
        <v>4012.0</v>
      </c>
      <c r="BF158" s="87">
        <v>12.0</v>
      </c>
      <c r="BG158" s="87">
        <v>2068.0</v>
      </c>
      <c r="BH158" s="87"/>
      <c r="BI158" s="87">
        <v>30850.0</v>
      </c>
      <c r="BJ158" s="87">
        <v>1694.0</v>
      </c>
      <c r="BK158" s="87">
        <v>2895.0</v>
      </c>
      <c r="BL158" s="87">
        <v>880.0</v>
      </c>
      <c r="BM158" s="87">
        <v>623.0</v>
      </c>
      <c r="BN158" s="87"/>
      <c r="BO158" s="87"/>
      <c r="BP158" s="87">
        <v>3317.0</v>
      </c>
      <c r="BQ158" s="87">
        <v>382.0</v>
      </c>
      <c r="BR158" s="87">
        <v>33.0</v>
      </c>
      <c r="BS158" s="87">
        <v>766.0</v>
      </c>
      <c r="BT158" s="87">
        <v>96.0</v>
      </c>
      <c r="BU158" s="87"/>
      <c r="BV158" s="87">
        <v>94.0</v>
      </c>
      <c r="BW158" s="87">
        <v>147.0</v>
      </c>
      <c r="BX158" s="87">
        <v>1080.0</v>
      </c>
      <c r="BY158" s="87"/>
      <c r="BZ158" s="87">
        <v>1.0</v>
      </c>
      <c r="CA158" s="87">
        <v>101.0</v>
      </c>
      <c r="CB158" s="87">
        <v>71.0</v>
      </c>
      <c r="CC158" s="87"/>
      <c r="CD158" s="87">
        <v>2.0</v>
      </c>
      <c r="CE158" s="87">
        <v>2.0</v>
      </c>
      <c r="CF158" s="87"/>
      <c r="CG158" s="87">
        <v>357.0</v>
      </c>
      <c r="CH158" s="87">
        <v>5735.0</v>
      </c>
      <c r="CI158" s="87"/>
      <c r="CJ158" s="87">
        <v>3294.0</v>
      </c>
      <c r="CK158" s="87">
        <v>579.0</v>
      </c>
      <c r="CL158" s="87">
        <v>2132.0</v>
      </c>
      <c r="CM158" s="87">
        <v>4.0</v>
      </c>
      <c r="CN158" s="87"/>
      <c r="CO158" s="87">
        <v>27.0</v>
      </c>
      <c r="CP158" s="87"/>
      <c r="CQ158" s="87">
        <v>54.0</v>
      </c>
      <c r="CR158" s="87">
        <v>2.0</v>
      </c>
      <c r="CS158" s="87"/>
      <c r="CT158" s="87">
        <v>939.0</v>
      </c>
      <c r="CU158" s="87">
        <v>319.0</v>
      </c>
      <c r="CV158" s="87">
        <v>56.0</v>
      </c>
      <c r="CW158" s="87">
        <v>211.0</v>
      </c>
      <c r="CX158" s="87">
        <v>346.0</v>
      </c>
      <c r="CY158" s="87">
        <v>238.0</v>
      </c>
      <c r="CZ158" s="87">
        <v>7.0</v>
      </c>
      <c r="DA158" s="87">
        <v>13.0</v>
      </c>
      <c r="DB158" s="87">
        <v>600.0</v>
      </c>
      <c r="DC158" s="87">
        <v>341.0</v>
      </c>
      <c r="DD158" s="87">
        <v>604.0</v>
      </c>
      <c r="DE158" s="87">
        <v>87.0</v>
      </c>
      <c r="DF158" s="87">
        <v>114.0</v>
      </c>
      <c r="DG158" s="87">
        <v>366.0</v>
      </c>
      <c r="DH158" s="87">
        <v>662.0</v>
      </c>
      <c r="DI158" s="87">
        <v>638.0</v>
      </c>
      <c r="DJ158" s="87">
        <v>5.0</v>
      </c>
      <c r="DK158" s="87">
        <v>126.0</v>
      </c>
      <c r="DL158" s="87">
        <v>378.0</v>
      </c>
      <c r="DM158" s="87">
        <v>41.0</v>
      </c>
      <c r="DN158" s="87">
        <v>1.0</v>
      </c>
      <c r="DO158" s="87">
        <v>1170.0</v>
      </c>
      <c r="DP158" s="87">
        <v>618.0</v>
      </c>
      <c r="DQ158" s="87">
        <v>190.0</v>
      </c>
      <c r="DR158" s="87">
        <v>508.0</v>
      </c>
      <c r="DS158" s="87">
        <v>1.0</v>
      </c>
      <c r="DT158" s="87">
        <v>4.0</v>
      </c>
      <c r="DU158" s="87"/>
      <c r="DV158" s="87">
        <v>312.0</v>
      </c>
      <c r="DW158" s="87">
        <v>28.0</v>
      </c>
      <c r="DX158" s="87">
        <v>118.0</v>
      </c>
      <c r="DY158" s="87">
        <v>218.0</v>
      </c>
      <c r="DZ158" s="87">
        <v>47.0</v>
      </c>
      <c r="EA158" s="87">
        <v>12.0</v>
      </c>
      <c r="EB158" s="87">
        <v>113.0</v>
      </c>
      <c r="EC158" s="87">
        <v>186.0</v>
      </c>
      <c r="ED158" s="87">
        <v>2325.0</v>
      </c>
      <c r="EE158" s="87">
        <v>242.0</v>
      </c>
      <c r="EF158" s="87">
        <v>13.0</v>
      </c>
      <c r="EG158" s="87">
        <v>47.0</v>
      </c>
      <c r="EH158" s="87">
        <v>88.0</v>
      </c>
      <c r="EI158" s="87">
        <v>35.0</v>
      </c>
      <c r="EJ158" s="87">
        <v>5909.0</v>
      </c>
      <c r="EK158" s="88"/>
      <c r="EL158" s="88"/>
      <c r="EM158" s="88"/>
      <c r="EN158" s="88"/>
      <c r="EO158" s="88"/>
      <c r="EP158" s="88"/>
      <c r="EQ158" s="90"/>
    </row>
    <row r="159" ht="12.0" customHeight="1">
      <c r="A159" s="89">
        <v>1.06190857E8</v>
      </c>
      <c r="B159" s="89" t="s">
        <v>1306</v>
      </c>
      <c r="C159" s="89" t="s">
        <v>865</v>
      </c>
      <c r="D159" s="89" t="s">
        <v>1307</v>
      </c>
      <c r="E159" s="89" t="s">
        <v>1308</v>
      </c>
      <c r="F159" s="89" t="s">
        <v>1230</v>
      </c>
      <c r="G159" s="89" t="s">
        <v>1231</v>
      </c>
      <c r="H159" s="89" t="s">
        <v>475</v>
      </c>
      <c r="I159" s="89" t="s">
        <v>456</v>
      </c>
      <c r="J159" s="89" t="s">
        <v>499</v>
      </c>
      <c r="K159" s="89" t="s">
        <v>870</v>
      </c>
      <c r="L159" s="89" t="s">
        <v>899</v>
      </c>
      <c r="M159" s="89" t="s">
        <v>1232</v>
      </c>
      <c r="N159" s="89" t="s">
        <v>441</v>
      </c>
      <c r="O159" s="87">
        <v>245.0</v>
      </c>
      <c r="P159" s="87">
        <v>67.0</v>
      </c>
      <c r="Q159" s="87"/>
      <c r="R159" s="87"/>
      <c r="S159" s="87"/>
      <c r="T159" s="87"/>
      <c r="U159" s="87">
        <v>158.0</v>
      </c>
      <c r="V159" s="87">
        <v>154.0</v>
      </c>
      <c r="W159" s="87"/>
      <c r="X159" s="87"/>
      <c r="Y159" s="87"/>
      <c r="Z159" s="87"/>
      <c r="AA159" s="87"/>
      <c r="AB159" s="87">
        <v>23.0</v>
      </c>
      <c r="AC159" s="87">
        <v>44.0</v>
      </c>
      <c r="AD159" s="87">
        <v>101.0</v>
      </c>
      <c r="AE159" s="87">
        <v>71.0</v>
      </c>
      <c r="AF159" s="87">
        <v>65.0</v>
      </c>
      <c r="AG159" s="87">
        <v>8.0</v>
      </c>
      <c r="AH159" s="87">
        <v>118.0</v>
      </c>
      <c r="AI159" s="87">
        <v>144.0</v>
      </c>
      <c r="AJ159" s="87">
        <v>50.0</v>
      </c>
      <c r="AK159" s="87"/>
      <c r="AL159" s="87"/>
      <c r="AM159" s="87">
        <v>19.0</v>
      </c>
      <c r="AN159" s="87">
        <v>22.0</v>
      </c>
      <c r="AO159" s="87">
        <v>100.0</v>
      </c>
      <c r="AP159" s="87">
        <v>32.0</v>
      </c>
      <c r="AQ159" s="87">
        <v>108.0</v>
      </c>
      <c r="AR159" s="87">
        <v>31.0</v>
      </c>
      <c r="AS159" s="87">
        <v>99.0</v>
      </c>
      <c r="AT159" s="87">
        <v>1.0</v>
      </c>
      <c r="AU159" s="87">
        <v>65.0</v>
      </c>
      <c r="AV159" s="87">
        <v>147.0</v>
      </c>
      <c r="AW159" s="87"/>
      <c r="AX159" s="87"/>
      <c r="AY159" s="87"/>
      <c r="AZ159" s="87"/>
      <c r="BA159" s="87"/>
      <c r="BB159" s="87"/>
      <c r="BC159" s="87"/>
      <c r="BD159" s="87"/>
      <c r="BE159" s="87"/>
      <c r="BF159" s="87"/>
      <c r="BG159" s="87">
        <v>312.0</v>
      </c>
      <c r="BH159" s="87"/>
      <c r="BI159" s="87">
        <v>7506.0</v>
      </c>
      <c r="BJ159" s="87">
        <v>2.0</v>
      </c>
      <c r="BK159" s="87">
        <v>59.0</v>
      </c>
      <c r="BL159" s="87">
        <v>251.0</v>
      </c>
      <c r="BM159" s="87"/>
      <c r="BN159" s="87"/>
      <c r="BO159" s="87"/>
      <c r="BP159" s="87">
        <v>95.0</v>
      </c>
      <c r="BQ159" s="87">
        <v>49.0</v>
      </c>
      <c r="BR159" s="87"/>
      <c r="BS159" s="87">
        <v>152.0</v>
      </c>
      <c r="BT159" s="87">
        <v>2.0</v>
      </c>
      <c r="BU159" s="87"/>
      <c r="BV159" s="87"/>
      <c r="BW159" s="87">
        <v>10.0</v>
      </c>
      <c r="BX159" s="87">
        <v>1.0</v>
      </c>
      <c r="BY159" s="87"/>
      <c r="BZ159" s="87">
        <v>1.0</v>
      </c>
      <c r="CA159" s="87"/>
      <c r="CB159" s="87"/>
      <c r="CC159" s="87"/>
      <c r="CD159" s="87">
        <v>2.0</v>
      </c>
      <c r="CE159" s="87"/>
      <c r="CF159" s="87"/>
      <c r="CG159" s="87">
        <v>106.0</v>
      </c>
      <c r="CH159" s="87">
        <v>206.0</v>
      </c>
      <c r="CI159" s="87"/>
      <c r="CJ159" s="87">
        <v>211.0</v>
      </c>
      <c r="CK159" s="87">
        <v>35.0</v>
      </c>
      <c r="CL159" s="87">
        <v>31.0</v>
      </c>
      <c r="CM159" s="87">
        <v>22.0</v>
      </c>
      <c r="CN159" s="87"/>
      <c r="CO159" s="87"/>
      <c r="CP159" s="87"/>
      <c r="CQ159" s="87">
        <v>13.0</v>
      </c>
      <c r="CR159" s="87"/>
      <c r="CS159" s="87"/>
      <c r="CT159" s="87">
        <v>4.0</v>
      </c>
      <c r="CU159" s="87">
        <v>2.0</v>
      </c>
      <c r="CV159" s="87">
        <v>2.0</v>
      </c>
      <c r="CW159" s="87">
        <v>9.0</v>
      </c>
      <c r="CX159" s="87">
        <v>1.0</v>
      </c>
      <c r="CY159" s="87">
        <v>6.0</v>
      </c>
      <c r="CZ159" s="87"/>
      <c r="DA159" s="87"/>
      <c r="DB159" s="87">
        <v>4.0</v>
      </c>
      <c r="DC159" s="87">
        <v>90.0</v>
      </c>
      <c r="DD159" s="87">
        <v>36.0</v>
      </c>
      <c r="DE159" s="87">
        <v>11.0</v>
      </c>
      <c r="DF159" s="87">
        <v>47.0</v>
      </c>
      <c r="DG159" s="87">
        <v>40.0</v>
      </c>
      <c r="DH159" s="87"/>
      <c r="DI159" s="87"/>
      <c r="DJ159" s="87"/>
      <c r="DK159" s="87">
        <v>37.0</v>
      </c>
      <c r="DL159" s="87">
        <v>16.0</v>
      </c>
      <c r="DM159" s="87">
        <v>6.0</v>
      </c>
      <c r="DN159" s="87">
        <v>1.0</v>
      </c>
      <c r="DO159" s="87">
        <v>27.0</v>
      </c>
      <c r="DP159" s="87"/>
      <c r="DQ159" s="87">
        <v>4.0</v>
      </c>
      <c r="DR159" s="87">
        <v>7.0</v>
      </c>
      <c r="DS159" s="87"/>
      <c r="DT159" s="87"/>
      <c r="DU159" s="87"/>
      <c r="DV159" s="87">
        <v>2.0</v>
      </c>
      <c r="DW159" s="87"/>
      <c r="DX159" s="87"/>
      <c r="DY159" s="87">
        <v>43.0</v>
      </c>
      <c r="DZ159" s="87"/>
      <c r="EA159" s="87"/>
      <c r="EB159" s="87"/>
      <c r="EC159" s="87">
        <v>1.0</v>
      </c>
      <c r="ED159" s="87">
        <v>228.0</v>
      </c>
      <c r="EE159" s="87"/>
      <c r="EF159" s="87">
        <v>2.0</v>
      </c>
      <c r="EG159" s="87"/>
      <c r="EH159" s="87"/>
      <c r="EI159" s="87">
        <v>1.0</v>
      </c>
      <c r="EJ159" s="87">
        <v>309.0</v>
      </c>
      <c r="EK159" s="88"/>
      <c r="EL159" s="88"/>
      <c r="EM159" s="88"/>
      <c r="EN159" s="88"/>
      <c r="EO159" s="88"/>
      <c r="EP159" s="88"/>
      <c r="EQ159" s="90"/>
    </row>
    <row r="160" ht="12.0" customHeight="1">
      <c r="A160" s="89">
        <v>1.06190859E8</v>
      </c>
      <c r="B160" s="89" t="s">
        <v>1309</v>
      </c>
      <c r="C160" s="89" t="s">
        <v>865</v>
      </c>
      <c r="D160" s="89" t="s">
        <v>1310</v>
      </c>
      <c r="E160" s="89" t="s">
        <v>1311</v>
      </c>
      <c r="F160" s="89" t="s">
        <v>1312</v>
      </c>
      <c r="G160" s="89" t="s">
        <v>1313</v>
      </c>
      <c r="H160" s="89" t="s">
        <v>503</v>
      </c>
      <c r="I160" s="89" t="s">
        <v>456</v>
      </c>
      <c r="J160" s="89" t="s">
        <v>469</v>
      </c>
      <c r="K160" s="89" t="s">
        <v>1041</v>
      </c>
      <c r="L160" s="89" t="s">
        <v>1042</v>
      </c>
      <c r="M160" s="89" t="s">
        <v>1314</v>
      </c>
      <c r="N160" s="89" t="s">
        <v>441</v>
      </c>
      <c r="O160" s="87">
        <v>7602.0</v>
      </c>
      <c r="P160" s="87"/>
      <c r="Q160" s="87"/>
      <c r="R160" s="87"/>
      <c r="S160" s="87"/>
      <c r="T160" s="87"/>
      <c r="U160" s="87">
        <v>3841.0</v>
      </c>
      <c r="V160" s="87">
        <v>3760.0</v>
      </c>
      <c r="W160" s="87">
        <v>1.0</v>
      </c>
      <c r="X160" s="87">
        <v>40.0</v>
      </c>
      <c r="Y160" s="87">
        <v>34.0</v>
      </c>
      <c r="Z160" s="87">
        <v>255.0</v>
      </c>
      <c r="AA160" s="87">
        <v>475.0</v>
      </c>
      <c r="AB160" s="87">
        <v>575.0</v>
      </c>
      <c r="AC160" s="87">
        <v>903.0</v>
      </c>
      <c r="AD160" s="87">
        <v>1413.0</v>
      </c>
      <c r="AE160" s="87">
        <v>1696.0</v>
      </c>
      <c r="AF160" s="87">
        <v>2211.0</v>
      </c>
      <c r="AG160" s="87"/>
      <c r="AH160" s="87">
        <v>1170.0</v>
      </c>
      <c r="AI160" s="87">
        <v>6300.0</v>
      </c>
      <c r="AJ160" s="87">
        <v>132.0</v>
      </c>
      <c r="AK160" s="87"/>
      <c r="AL160" s="87">
        <v>401.0</v>
      </c>
      <c r="AM160" s="87"/>
      <c r="AN160" s="87">
        <v>297.0</v>
      </c>
      <c r="AO160" s="87">
        <v>4104.0</v>
      </c>
      <c r="AP160" s="87">
        <v>55.0</v>
      </c>
      <c r="AQ160" s="87">
        <v>2299.0</v>
      </c>
      <c r="AR160" s="87">
        <v>446.0</v>
      </c>
      <c r="AS160" s="87">
        <v>6904.0</v>
      </c>
      <c r="AT160" s="87">
        <v>575.0</v>
      </c>
      <c r="AU160" s="87">
        <v>36.0</v>
      </c>
      <c r="AV160" s="87">
        <v>48.0</v>
      </c>
      <c r="AW160" s="87">
        <v>39.0</v>
      </c>
      <c r="AX160" s="87"/>
      <c r="AY160" s="87"/>
      <c r="AZ160" s="87"/>
      <c r="BA160" s="87"/>
      <c r="BB160" s="87"/>
      <c r="BC160" s="87"/>
      <c r="BD160" s="87"/>
      <c r="BE160" s="87">
        <v>6946.0</v>
      </c>
      <c r="BF160" s="87"/>
      <c r="BG160" s="87">
        <v>656.0</v>
      </c>
      <c r="BH160" s="87"/>
      <c r="BI160" s="87">
        <v>39285.0</v>
      </c>
      <c r="BJ160" s="87">
        <v>7036.0</v>
      </c>
      <c r="BK160" s="87">
        <v>88.0</v>
      </c>
      <c r="BL160" s="87">
        <v>475.0</v>
      </c>
      <c r="BM160" s="87"/>
      <c r="BN160" s="87">
        <v>3.0</v>
      </c>
      <c r="BO160" s="87"/>
      <c r="BP160" s="87">
        <v>3232.0</v>
      </c>
      <c r="BQ160" s="87">
        <v>221.0</v>
      </c>
      <c r="BR160" s="87">
        <v>112.0</v>
      </c>
      <c r="BS160" s="87">
        <v>1293.0</v>
      </c>
      <c r="BT160" s="87">
        <v>129.0</v>
      </c>
      <c r="BU160" s="87">
        <v>5.0</v>
      </c>
      <c r="BV160" s="87">
        <v>304.0</v>
      </c>
      <c r="BW160" s="87">
        <v>357.0</v>
      </c>
      <c r="BX160" s="87">
        <v>1593.0</v>
      </c>
      <c r="BY160" s="87"/>
      <c r="BZ160" s="87"/>
      <c r="CA160" s="87">
        <v>304.0</v>
      </c>
      <c r="CB160" s="87">
        <v>28.0</v>
      </c>
      <c r="CC160" s="87"/>
      <c r="CD160" s="87">
        <v>23.0</v>
      </c>
      <c r="CE160" s="87"/>
      <c r="CF160" s="87">
        <v>1.0</v>
      </c>
      <c r="CG160" s="87">
        <v>688.0</v>
      </c>
      <c r="CH160" s="87">
        <v>6914.0</v>
      </c>
      <c r="CI160" s="87"/>
      <c r="CJ160" s="87">
        <v>4488.0</v>
      </c>
      <c r="CK160" s="87">
        <v>1437.0</v>
      </c>
      <c r="CL160" s="87">
        <v>1188.0</v>
      </c>
      <c r="CM160" s="87">
        <v>41.0</v>
      </c>
      <c r="CN160" s="87"/>
      <c r="CO160" s="87">
        <v>41.0</v>
      </c>
      <c r="CP160" s="87">
        <v>46.0</v>
      </c>
      <c r="CQ160" s="87">
        <v>60.0</v>
      </c>
      <c r="CR160" s="87">
        <v>301.0</v>
      </c>
      <c r="CS160" s="87"/>
      <c r="CT160" s="87">
        <v>1280.0</v>
      </c>
      <c r="CU160" s="87">
        <v>277.0</v>
      </c>
      <c r="CV160" s="87">
        <v>127.0</v>
      </c>
      <c r="CW160" s="87">
        <v>357.0</v>
      </c>
      <c r="CX160" s="87">
        <v>154.0</v>
      </c>
      <c r="CY160" s="87">
        <v>282.0</v>
      </c>
      <c r="CZ160" s="87">
        <v>11.0</v>
      </c>
      <c r="DA160" s="87">
        <v>10.0</v>
      </c>
      <c r="DB160" s="87">
        <v>1477.0</v>
      </c>
      <c r="DC160" s="87">
        <v>429.0</v>
      </c>
      <c r="DD160" s="87">
        <v>958.0</v>
      </c>
      <c r="DE160" s="87">
        <v>135.0</v>
      </c>
      <c r="DF160" s="87">
        <v>255.0</v>
      </c>
      <c r="DG160" s="87">
        <v>536.0</v>
      </c>
      <c r="DH160" s="87"/>
      <c r="DI160" s="87"/>
      <c r="DJ160" s="87">
        <v>9.0</v>
      </c>
      <c r="DK160" s="87">
        <v>175.0</v>
      </c>
      <c r="DL160" s="87">
        <v>953.0</v>
      </c>
      <c r="DM160" s="87">
        <v>168.0</v>
      </c>
      <c r="DN160" s="87">
        <v>9.0</v>
      </c>
      <c r="DO160" s="87">
        <v>593.0</v>
      </c>
      <c r="DP160" s="87"/>
      <c r="DQ160" s="87">
        <v>1256.0</v>
      </c>
      <c r="DR160" s="87">
        <v>907.0</v>
      </c>
      <c r="DS160" s="87">
        <v>1.0</v>
      </c>
      <c r="DT160" s="87">
        <v>1.0</v>
      </c>
      <c r="DU160" s="87">
        <v>2.0</v>
      </c>
      <c r="DV160" s="87">
        <v>28.0</v>
      </c>
      <c r="DW160" s="87">
        <v>31.0</v>
      </c>
      <c r="DX160" s="87">
        <v>328.0</v>
      </c>
      <c r="DY160" s="87">
        <v>448.0</v>
      </c>
      <c r="DZ160" s="87">
        <v>131.0</v>
      </c>
      <c r="EA160" s="87">
        <v>1.0</v>
      </c>
      <c r="EB160" s="87">
        <v>165.0</v>
      </c>
      <c r="EC160" s="87">
        <v>58.0</v>
      </c>
      <c r="ED160" s="87">
        <v>3496.0</v>
      </c>
      <c r="EE160" s="87">
        <v>156.0</v>
      </c>
      <c r="EF160" s="87">
        <v>7.0</v>
      </c>
      <c r="EG160" s="87">
        <v>106.0</v>
      </c>
      <c r="EH160" s="87">
        <v>2.0</v>
      </c>
      <c r="EI160" s="87">
        <v>156.0</v>
      </c>
      <c r="EJ160" s="87">
        <v>7331.0</v>
      </c>
      <c r="EK160" s="88"/>
      <c r="EL160" s="88"/>
      <c r="EM160" s="88"/>
      <c r="EN160" s="88"/>
      <c r="EO160" s="88"/>
      <c r="EP160" s="88"/>
      <c r="EQ160" s="90"/>
    </row>
    <row r="161" ht="12.0" customHeight="1">
      <c r="A161" s="89">
        <v>1.06190878E8</v>
      </c>
      <c r="B161" s="89" t="s">
        <v>1315</v>
      </c>
      <c r="C161" s="89" t="s">
        <v>865</v>
      </c>
      <c r="D161" s="89" t="s">
        <v>1316</v>
      </c>
      <c r="E161" s="89" t="s">
        <v>1317</v>
      </c>
      <c r="F161" s="89" t="s">
        <v>865</v>
      </c>
      <c r="G161" s="89" t="s">
        <v>1318</v>
      </c>
      <c r="H161" s="89" t="s">
        <v>447</v>
      </c>
      <c r="I161" s="89" t="s">
        <v>456</v>
      </c>
      <c r="J161" s="89" t="s">
        <v>448</v>
      </c>
      <c r="K161" s="89" t="s">
        <v>905</v>
      </c>
      <c r="L161" s="89" t="s">
        <v>940</v>
      </c>
      <c r="M161" s="89" t="s">
        <v>941</v>
      </c>
      <c r="N161" s="89" t="s">
        <v>441</v>
      </c>
      <c r="O161" s="87">
        <v>18894.0</v>
      </c>
      <c r="P161" s="87">
        <v>150.0</v>
      </c>
      <c r="Q161" s="87">
        <v>2020.0</v>
      </c>
      <c r="R161" s="87"/>
      <c r="S161" s="87">
        <v>171.0</v>
      </c>
      <c r="T161" s="87"/>
      <c r="U161" s="87">
        <v>8852.0</v>
      </c>
      <c r="V161" s="87">
        <v>12375.0</v>
      </c>
      <c r="W161" s="87">
        <v>8.0</v>
      </c>
      <c r="X161" s="87">
        <v>4501.0</v>
      </c>
      <c r="Y161" s="87">
        <v>609.0</v>
      </c>
      <c r="Z161" s="87">
        <v>3327.0</v>
      </c>
      <c r="AA161" s="87">
        <v>3163.0</v>
      </c>
      <c r="AB161" s="87">
        <v>1720.0</v>
      </c>
      <c r="AC161" s="87">
        <v>2188.0</v>
      </c>
      <c r="AD161" s="87">
        <v>2471.0</v>
      </c>
      <c r="AE161" s="87">
        <v>1734.0</v>
      </c>
      <c r="AF161" s="87">
        <v>1498.0</v>
      </c>
      <c r="AG161" s="87">
        <v>24.0</v>
      </c>
      <c r="AH161" s="87">
        <v>17725.0</v>
      </c>
      <c r="AI161" s="87">
        <v>3160.0</v>
      </c>
      <c r="AJ161" s="87">
        <v>350.0</v>
      </c>
      <c r="AK161" s="87">
        <v>91.0</v>
      </c>
      <c r="AL161" s="87">
        <v>397.0</v>
      </c>
      <c r="AM161" s="87">
        <v>31.0</v>
      </c>
      <c r="AN161" s="87">
        <v>983.0</v>
      </c>
      <c r="AO161" s="87">
        <v>16691.0</v>
      </c>
      <c r="AP161" s="87">
        <v>588.0</v>
      </c>
      <c r="AQ161" s="87">
        <v>2454.0</v>
      </c>
      <c r="AR161" s="87"/>
      <c r="AS161" s="87">
        <v>13815.0</v>
      </c>
      <c r="AT161" s="87">
        <v>944.0</v>
      </c>
      <c r="AU161" s="87">
        <v>1788.0</v>
      </c>
      <c r="AV161" s="87">
        <v>293.0</v>
      </c>
      <c r="AW161" s="87">
        <v>22.0</v>
      </c>
      <c r="AX161" s="87">
        <v>360.0</v>
      </c>
      <c r="AY161" s="87">
        <v>14.0</v>
      </c>
      <c r="AZ161" s="87"/>
      <c r="BA161" s="87">
        <v>139.0</v>
      </c>
      <c r="BB161" s="87">
        <v>1.0</v>
      </c>
      <c r="BC161" s="87">
        <v>3859.0</v>
      </c>
      <c r="BD161" s="87"/>
      <c r="BE161" s="87">
        <v>9872.0</v>
      </c>
      <c r="BF161" s="87">
        <v>1313.0</v>
      </c>
      <c r="BG161" s="87">
        <v>10046.0</v>
      </c>
      <c r="BH161" s="87">
        <v>4.0</v>
      </c>
      <c r="BI161" s="87">
        <v>90883.0</v>
      </c>
      <c r="BJ161" s="87">
        <v>3429.0</v>
      </c>
      <c r="BK161" s="87">
        <v>10789.0</v>
      </c>
      <c r="BL161" s="87">
        <v>3145.0</v>
      </c>
      <c r="BM161" s="87">
        <v>3859.0</v>
      </c>
      <c r="BN161" s="87">
        <v>5.0</v>
      </c>
      <c r="BO161" s="87">
        <v>8.0</v>
      </c>
      <c r="BP161" s="87">
        <v>16568.0</v>
      </c>
      <c r="BQ161" s="87">
        <v>268.0</v>
      </c>
      <c r="BR161" s="87">
        <v>148.0</v>
      </c>
      <c r="BS161" s="87">
        <v>996.0</v>
      </c>
      <c r="BT161" s="87">
        <v>14.0</v>
      </c>
      <c r="BU161" s="87">
        <v>110.0</v>
      </c>
      <c r="BV161" s="87">
        <v>426.0</v>
      </c>
      <c r="BW161" s="87">
        <v>287.0</v>
      </c>
      <c r="BX161" s="87">
        <v>2100.0</v>
      </c>
      <c r="BY161" s="87"/>
      <c r="BZ161" s="87">
        <v>34.0</v>
      </c>
      <c r="CA161" s="87">
        <v>115.0</v>
      </c>
      <c r="CB161" s="87">
        <v>90.0</v>
      </c>
      <c r="CC161" s="87"/>
      <c r="CD161" s="87">
        <v>65.0</v>
      </c>
      <c r="CE161" s="87">
        <v>14.0</v>
      </c>
      <c r="CF161" s="87"/>
      <c r="CG161" s="87">
        <v>934.0</v>
      </c>
      <c r="CH161" s="87">
        <v>20301.0</v>
      </c>
      <c r="CI161" s="87"/>
      <c r="CJ161" s="87">
        <v>4619.0</v>
      </c>
      <c r="CK161" s="87">
        <v>11874.0</v>
      </c>
      <c r="CL161" s="87">
        <v>3545.0</v>
      </c>
      <c r="CM161" s="87">
        <v>44.0</v>
      </c>
      <c r="CN161" s="87"/>
      <c r="CO161" s="87">
        <v>699.0</v>
      </c>
      <c r="CP161" s="87"/>
      <c r="CQ161" s="87">
        <v>453.0</v>
      </c>
      <c r="CR161" s="87">
        <v>1.0</v>
      </c>
      <c r="CS161" s="87"/>
      <c r="CT161" s="87">
        <v>1623.0</v>
      </c>
      <c r="CU161" s="87">
        <v>454.0</v>
      </c>
      <c r="CV161" s="87">
        <v>134.0</v>
      </c>
      <c r="CW161" s="87">
        <v>905.0</v>
      </c>
      <c r="CX161" s="87">
        <v>2132.0</v>
      </c>
      <c r="CY161" s="87">
        <v>439.0</v>
      </c>
      <c r="CZ161" s="87">
        <v>26.0</v>
      </c>
      <c r="DA161" s="87">
        <v>31.0</v>
      </c>
      <c r="DB161" s="87">
        <v>2000.0</v>
      </c>
      <c r="DC161" s="87">
        <v>638.0</v>
      </c>
      <c r="DD161" s="87">
        <v>1647.0</v>
      </c>
      <c r="DE161" s="87">
        <v>238.0</v>
      </c>
      <c r="DF161" s="87">
        <v>656.0</v>
      </c>
      <c r="DG161" s="87">
        <v>735.0</v>
      </c>
      <c r="DH161" s="87">
        <v>4226.0</v>
      </c>
      <c r="DI161" s="87">
        <v>3974.0</v>
      </c>
      <c r="DJ161" s="87">
        <v>45.0</v>
      </c>
      <c r="DK161" s="87">
        <v>310.0</v>
      </c>
      <c r="DL161" s="87">
        <v>833.0</v>
      </c>
      <c r="DM161" s="87">
        <v>187.0</v>
      </c>
      <c r="DN161" s="87">
        <v>2.0</v>
      </c>
      <c r="DO161" s="87">
        <v>5655.0</v>
      </c>
      <c r="DP161" s="87">
        <v>3949.0</v>
      </c>
      <c r="DQ161" s="87">
        <v>1514.0</v>
      </c>
      <c r="DR161" s="87">
        <v>1683.0</v>
      </c>
      <c r="DS161" s="87">
        <v>3.0</v>
      </c>
      <c r="DT161" s="87">
        <v>35.0</v>
      </c>
      <c r="DU161" s="87">
        <v>7.0</v>
      </c>
      <c r="DV161" s="87">
        <v>221.0</v>
      </c>
      <c r="DW161" s="87">
        <v>27.0</v>
      </c>
      <c r="DX161" s="87">
        <v>311.0</v>
      </c>
      <c r="DY161" s="87">
        <v>1021.0</v>
      </c>
      <c r="DZ161" s="87">
        <v>185.0</v>
      </c>
      <c r="EA161" s="87">
        <v>36.0</v>
      </c>
      <c r="EB161" s="87">
        <v>395.0</v>
      </c>
      <c r="EC161" s="87">
        <v>168.0</v>
      </c>
      <c r="ED161" s="87">
        <v>5810.0</v>
      </c>
      <c r="EE161" s="87">
        <v>215.0</v>
      </c>
      <c r="EF161" s="87">
        <v>180.0</v>
      </c>
      <c r="EG161" s="87">
        <v>989.0</v>
      </c>
      <c r="EH161" s="87"/>
      <c r="EI161" s="87">
        <v>40.0</v>
      </c>
      <c r="EJ161" s="87">
        <v>20026.0</v>
      </c>
      <c r="EK161" s="88"/>
      <c r="EL161" s="88"/>
      <c r="EM161" s="88"/>
      <c r="EN161" s="88"/>
      <c r="EO161" s="88"/>
      <c r="EP161" s="88"/>
      <c r="EQ161" s="90"/>
    </row>
    <row r="162" ht="12.0" customHeight="1">
      <c r="A162" s="89">
        <v>1.06190883E8</v>
      </c>
      <c r="B162" s="89" t="s">
        <v>1319</v>
      </c>
      <c r="C162" s="89" t="s">
        <v>865</v>
      </c>
      <c r="D162" s="89" t="s">
        <v>1320</v>
      </c>
      <c r="E162" s="89" t="s">
        <v>1321</v>
      </c>
      <c r="F162" s="89" t="s">
        <v>1224</v>
      </c>
      <c r="G162" s="89" t="s">
        <v>1322</v>
      </c>
      <c r="H162" s="89" t="s">
        <v>503</v>
      </c>
      <c r="I162" s="89" t="s">
        <v>456</v>
      </c>
      <c r="J162" s="89" t="s">
        <v>457</v>
      </c>
      <c r="K162" s="89" t="s">
        <v>777</v>
      </c>
      <c r="L162" s="89" t="s">
        <v>1079</v>
      </c>
      <c r="M162" s="89" t="s">
        <v>1226</v>
      </c>
      <c r="N162" s="89" t="s">
        <v>441</v>
      </c>
      <c r="O162" s="87">
        <v>6415.0</v>
      </c>
      <c r="P162" s="87">
        <v>50.0</v>
      </c>
      <c r="Q162" s="87"/>
      <c r="R162" s="87"/>
      <c r="S162" s="87"/>
      <c r="T162" s="87"/>
      <c r="U162" s="87">
        <v>2619.0</v>
      </c>
      <c r="V162" s="87">
        <v>3846.0</v>
      </c>
      <c r="W162" s="87"/>
      <c r="X162" s="87">
        <v>1092.0</v>
      </c>
      <c r="Y162" s="87">
        <v>107.0</v>
      </c>
      <c r="Z162" s="87">
        <v>675.0</v>
      </c>
      <c r="AA162" s="87">
        <v>850.0</v>
      </c>
      <c r="AB162" s="87">
        <v>528.0</v>
      </c>
      <c r="AC162" s="87">
        <v>725.0</v>
      </c>
      <c r="AD162" s="87">
        <v>847.0</v>
      </c>
      <c r="AE162" s="87">
        <v>699.0</v>
      </c>
      <c r="AF162" s="87">
        <v>942.0</v>
      </c>
      <c r="AG162" s="87"/>
      <c r="AH162" s="87">
        <v>3505.0</v>
      </c>
      <c r="AI162" s="87">
        <v>2860.0</v>
      </c>
      <c r="AJ162" s="87">
        <v>100.0</v>
      </c>
      <c r="AK162" s="87"/>
      <c r="AL162" s="87">
        <v>1334.0</v>
      </c>
      <c r="AM162" s="87">
        <v>12.0</v>
      </c>
      <c r="AN162" s="87">
        <v>143.0</v>
      </c>
      <c r="AO162" s="87">
        <v>1831.0</v>
      </c>
      <c r="AP162" s="87">
        <v>88.0</v>
      </c>
      <c r="AQ162" s="87">
        <v>3004.0</v>
      </c>
      <c r="AR162" s="87">
        <v>53.0</v>
      </c>
      <c r="AS162" s="87">
        <v>4663.0</v>
      </c>
      <c r="AT162" s="87">
        <v>4.0</v>
      </c>
      <c r="AU162" s="87">
        <v>440.0</v>
      </c>
      <c r="AV162" s="87">
        <v>273.0</v>
      </c>
      <c r="AW162" s="87">
        <v>1.0</v>
      </c>
      <c r="AX162" s="87"/>
      <c r="AY162" s="87"/>
      <c r="AZ162" s="87">
        <v>15.0</v>
      </c>
      <c r="BA162" s="87"/>
      <c r="BB162" s="87">
        <v>1.0</v>
      </c>
      <c r="BC162" s="87">
        <v>1068.0</v>
      </c>
      <c r="BD162" s="87"/>
      <c r="BE162" s="87">
        <v>3604.0</v>
      </c>
      <c r="BF162" s="87">
        <v>272.0</v>
      </c>
      <c r="BG162" s="87">
        <v>2589.0</v>
      </c>
      <c r="BH162" s="87"/>
      <c r="BI162" s="87">
        <v>29380.0</v>
      </c>
      <c r="BJ162" s="87">
        <v>3588.0</v>
      </c>
      <c r="BK162" s="87">
        <v>1263.0</v>
      </c>
      <c r="BL162" s="87">
        <v>546.0</v>
      </c>
      <c r="BM162" s="87">
        <v>1068.0</v>
      </c>
      <c r="BN162" s="87"/>
      <c r="BO162" s="87"/>
      <c r="BP162" s="87">
        <v>4447.0</v>
      </c>
      <c r="BQ162" s="87">
        <v>311.0</v>
      </c>
      <c r="BR162" s="87">
        <v>7.0</v>
      </c>
      <c r="BS162" s="87">
        <v>695.0</v>
      </c>
      <c r="BT162" s="87">
        <v>25.0</v>
      </c>
      <c r="BU162" s="87">
        <v>1.0</v>
      </c>
      <c r="BV162" s="87">
        <v>215.0</v>
      </c>
      <c r="BW162" s="87">
        <v>160.0</v>
      </c>
      <c r="BX162" s="87">
        <v>460.0</v>
      </c>
      <c r="BY162" s="87"/>
      <c r="BZ162" s="87">
        <v>28.0</v>
      </c>
      <c r="CA162" s="87">
        <v>103.0</v>
      </c>
      <c r="CB162" s="87">
        <v>13.0</v>
      </c>
      <c r="CC162" s="87"/>
      <c r="CD162" s="87"/>
      <c r="CE162" s="87"/>
      <c r="CF162" s="87"/>
      <c r="CG162" s="87">
        <v>127.0</v>
      </c>
      <c r="CH162" s="87">
        <v>6338.0</v>
      </c>
      <c r="CI162" s="87"/>
      <c r="CJ162" s="87">
        <v>1830.0</v>
      </c>
      <c r="CK162" s="87">
        <v>3165.0</v>
      </c>
      <c r="CL162" s="87">
        <v>1187.0</v>
      </c>
      <c r="CM162" s="87">
        <v>5.0</v>
      </c>
      <c r="CN162" s="87"/>
      <c r="CO162" s="87">
        <v>11.0</v>
      </c>
      <c r="CP162" s="87">
        <v>14.0</v>
      </c>
      <c r="CQ162" s="87">
        <v>248.0</v>
      </c>
      <c r="CR162" s="87">
        <v>5.0</v>
      </c>
      <c r="CS162" s="87"/>
      <c r="CT162" s="87">
        <v>650.0</v>
      </c>
      <c r="CU162" s="87">
        <v>164.0</v>
      </c>
      <c r="CV162" s="87">
        <v>71.0</v>
      </c>
      <c r="CW162" s="87">
        <v>298.0</v>
      </c>
      <c r="CX162" s="87">
        <v>84.0</v>
      </c>
      <c r="CY162" s="87">
        <v>177.0</v>
      </c>
      <c r="CZ162" s="87">
        <v>6.0</v>
      </c>
      <c r="DA162" s="87">
        <v>1.0</v>
      </c>
      <c r="DB162" s="87">
        <v>561.0</v>
      </c>
      <c r="DC162" s="87">
        <v>282.0</v>
      </c>
      <c r="DD162" s="87">
        <v>856.0</v>
      </c>
      <c r="DE162" s="87">
        <v>118.0</v>
      </c>
      <c r="DF162" s="87">
        <v>132.0</v>
      </c>
      <c r="DG162" s="87">
        <v>387.0</v>
      </c>
      <c r="DH162" s="87">
        <v>1138.0</v>
      </c>
      <c r="DI162" s="87">
        <v>1071.0</v>
      </c>
      <c r="DJ162" s="87">
        <v>5.0</v>
      </c>
      <c r="DK162" s="87">
        <v>154.0</v>
      </c>
      <c r="DL162" s="87">
        <v>299.0</v>
      </c>
      <c r="DM162" s="87">
        <v>10.0</v>
      </c>
      <c r="DN162" s="87">
        <v>1.0</v>
      </c>
      <c r="DO162" s="87">
        <v>1432.0</v>
      </c>
      <c r="DP162" s="87">
        <v>1072.0</v>
      </c>
      <c r="DQ162" s="87">
        <v>400.0</v>
      </c>
      <c r="DR162" s="87">
        <v>750.0</v>
      </c>
      <c r="DS162" s="87"/>
      <c r="DT162" s="87"/>
      <c r="DU162" s="87">
        <v>1.0</v>
      </c>
      <c r="DV162" s="87">
        <v>140.0</v>
      </c>
      <c r="DW162" s="87">
        <v>13.0</v>
      </c>
      <c r="DX162" s="87">
        <v>96.0</v>
      </c>
      <c r="DY162" s="87">
        <v>242.0</v>
      </c>
      <c r="DZ162" s="87">
        <v>17.0</v>
      </c>
      <c r="EA162" s="87">
        <v>16.0</v>
      </c>
      <c r="EB162" s="87">
        <v>109.0</v>
      </c>
      <c r="EC162" s="87">
        <v>69.0</v>
      </c>
      <c r="ED162" s="87">
        <v>2055.0</v>
      </c>
      <c r="EE162" s="87">
        <v>53.0</v>
      </c>
      <c r="EF162" s="87">
        <v>20.0</v>
      </c>
      <c r="EG162" s="87">
        <v>123.0</v>
      </c>
      <c r="EH162" s="87">
        <v>49.0</v>
      </c>
      <c r="EI162" s="87">
        <v>30.0</v>
      </c>
      <c r="EJ162" s="87">
        <v>6243.0</v>
      </c>
      <c r="EK162" s="88"/>
      <c r="EL162" s="88"/>
      <c r="EM162" s="88"/>
      <c r="EN162" s="88"/>
      <c r="EO162" s="88"/>
      <c r="EP162" s="88"/>
      <c r="EQ162" s="90"/>
    </row>
    <row r="163" ht="12.0" customHeight="1">
      <c r="A163" s="89">
        <v>1.0619093E8</v>
      </c>
      <c r="B163" s="89" t="s">
        <v>1323</v>
      </c>
      <c r="C163" s="89" t="s">
        <v>865</v>
      </c>
      <c r="D163" s="89" t="s">
        <v>1324</v>
      </c>
      <c r="E163" s="89" t="s">
        <v>1325</v>
      </c>
      <c r="F163" s="89" t="s">
        <v>865</v>
      </c>
      <c r="G163" s="89" t="s">
        <v>1295</v>
      </c>
      <c r="H163" s="89" t="s">
        <v>1256</v>
      </c>
      <c r="I163" s="89" t="s">
        <v>456</v>
      </c>
      <c r="J163" s="89" t="s">
        <v>463</v>
      </c>
      <c r="K163" s="89" t="s">
        <v>763</v>
      </c>
      <c r="L163" s="89" t="s">
        <v>934</v>
      </c>
      <c r="M163" s="89" t="s">
        <v>967</v>
      </c>
      <c r="N163" s="89" t="s">
        <v>441</v>
      </c>
      <c r="O163" s="87">
        <v>7.0</v>
      </c>
      <c r="P163" s="87"/>
      <c r="Q163" s="87">
        <v>1650.0</v>
      </c>
      <c r="R163" s="87"/>
      <c r="S163" s="87"/>
      <c r="T163" s="87"/>
      <c r="U163" s="87">
        <v>723.0</v>
      </c>
      <c r="V163" s="87">
        <v>932.0</v>
      </c>
      <c r="W163" s="87">
        <v>2.0</v>
      </c>
      <c r="X163" s="87">
        <v>11.0</v>
      </c>
      <c r="Y163" s="87">
        <v>477.0</v>
      </c>
      <c r="Z163" s="87">
        <v>466.0</v>
      </c>
      <c r="AA163" s="87">
        <v>186.0</v>
      </c>
      <c r="AB163" s="87">
        <v>134.0</v>
      </c>
      <c r="AC163" s="87">
        <v>115.0</v>
      </c>
      <c r="AD163" s="87">
        <v>105.0</v>
      </c>
      <c r="AE163" s="87">
        <v>110.0</v>
      </c>
      <c r="AF163" s="87">
        <v>53.0</v>
      </c>
      <c r="AG163" s="87"/>
      <c r="AH163" s="87">
        <v>242.0</v>
      </c>
      <c r="AI163" s="87">
        <v>1372.0</v>
      </c>
      <c r="AJ163" s="87">
        <v>43.0</v>
      </c>
      <c r="AK163" s="87"/>
      <c r="AL163" s="87">
        <v>151.0</v>
      </c>
      <c r="AM163" s="87"/>
      <c r="AN163" s="87">
        <v>162.0</v>
      </c>
      <c r="AO163" s="87">
        <v>991.0</v>
      </c>
      <c r="AP163" s="87">
        <v>96.0</v>
      </c>
      <c r="AQ163" s="87">
        <v>202.0</v>
      </c>
      <c r="AR163" s="87">
        <v>55.0</v>
      </c>
      <c r="AS163" s="87">
        <v>10.0</v>
      </c>
      <c r="AT163" s="87">
        <v>2.0</v>
      </c>
      <c r="AU163" s="87">
        <v>1637.0</v>
      </c>
      <c r="AV163" s="87">
        <v>1.0</v>
      </c>
      <c r="AW163" s="87">
        <v>4.0</v>
      </c>
      <c r="AX163" s="87"/>
      <c r="AY163" s="87"/>
      <c r="AZ163" s="87"/>
      <c r="BA163" s="87"/>
      <c r="BB163" s="87">
        <v>3.0</v>
      </c>
      <c r="BC163" s="87"/>
      <c r="BD163" s="87"/>
      <c r="BE163" s="87"/>
      <c r="BF163" s="87">
        <v>1456.0</v>
      </c>
      <c r="BG163" s="87">
        <v>201.0</v>
      </c>
      <c r="BH163" s="87"/>
      <c r="BI163" s="87">
        <v>24279.0</v>
      </c>
      <c r="BJ163" s="87">
        <v>1442.0</v>
      </c>
      <c r="BK163" s="87">
        <v>166.0</v>
      </c>
      <c r="BL163" s="87">
        <v>49.0</v>
      </c>
      <c r="BM163" s="87"/>
      <c r="BN163" s="87"/>
      <c r="BO163" s="87"/>
      <c r="BP163" s="87">
        <v>1556.0</v>
      </c>
      <c r="BQ163" s="87">
        <v>46.0</v>
      </c>
      <c r="BR163" s="87">
        <v>1.0</v>
      </c>
      <c r="BS163" s="87">
        <v>26.0</v>
      </c>
      <c r="BT163" s="87">
        <v>1.0</v>
      </c>
      <c r="BU163" s="87">
        <v>2.0</v>
      </c>
      <c r="BV163" s="87">
        <v>10.0</v>
      </c>
      <c r="BW163" s="87">
        <v>1.0</v>
      </c>
      <c r="BX163" s="87">
        <v>11.0</v>
      </c>
      <c r="BY163" s="87"/>
      <c r="BZ163" s="87"/>
      <c r="CA163" s="87">
        <v>1.0</v>
      </c>
      <c r="CB163" s="87">
        <v>1.0</v>
      </c>
      <c r="CC163" s="87"/>
      <c r="CD163" s="87">
        <v>1.0</v>
      </c>
      <c r="CE163" s="87"/>
      <c r="CF163" s="87"/>
      <c r="CG163" s="87">
        <v>15.0</v>
      </c>
      <c r="CH163" s="87">
        <v>1642.0</v>
      </c>
      <c r="CI163" s="87"/>
      <c r="CJ163" s="87">
        <v>305.0</v>
      </c>
      <c r="CK163" s="87">
        <v>219.0</v>
      </c>
      <c r="CL163" s="87">
        <v>1019.0</v>
      </c>
      <c r="CM163" s="87"/>
      <c r="CN163" s="87"/>
      <c r="CO163" s="87">
        <v>9.0</v>
      </c>
      <c r="CP163" s="87">
        <v>99.0</v>
      </c>
      <c r="CQ163" s="87">
        <v>2.0</v>
      </c>
      <c r="CR163" s="87">
        <v>4.0</v>
      </c>
      <c r="CS163" s="87"/>
      <c r="CT163" s="87"/>
      <c r="CU163" s="87"/>
      <c r="CV163" s="87"/>
      <c r="CW163" s="87"/>
      <c r="CX163" s="87">
        <v>1594.0</v>
      </c>
      <c r="CY163" s="87">
        <v>42.0</v>
      </c>
      <c r="CZ163" s="87"/>
      <c r="DA163" s="87"/>
      <c r="DB163" s="87"/>
      <c r="DC163" s="87"/>
      <c r="DD163" s="87"/>
      <c r="DE163" s="87"/>
      <c r="DF163" s="87"/>
      <c r="DG163" s="87">
        <v>2.0</v>
      </c>
      <c r="DH163" s="87">
        <v>15.0</v>
      </c>
      <c r="DI163" s="87"/>
      <c r="DJ163" s="87"/>
      <c r="DK163" s="87">
        <v>1.0</v>
      </c>
      <c r="DL163" s="87">
        <v>1.0</v>
      </c>
      <c r="DM163" s="87">
        <v>1.0</v>
      </c>
      <c r="DN163" s="87">
        <v>1.0</v>
      </c>
      <c r="DO163" s="87">
        <v>97.0</v>
      </c>
      <c r="DP163" s="87"/>
      <c r="DQ163" s="87">
        <v>5.0</v>
      </c>
      <c r="DR163" s="87">
        <v>2.0</v>
      </c>
      <c r="DS163" s="87">
        <v>1.0</v>
      </c>
      <c r="DT163" s="87"/>
      <c r="DU163" s="87"/>
      <c r="DV163" s="87">
        <v>2.0</v>
      </c>
      <c r="DW163" s="87"/>
      <c r="DX163" s="87">
        <v>5.0</v>
      </c>
      <c r="DY163" s="87">
        <v>2.0</v>
      </c>
      <c r="DZ163" s="87">
        <v>4.0</v>
      </c>
      <c r="EA163" s="87">
        <v>2.0</v>
      </c>
      <c r="EB163" s="87"/>
      <c r="EC163" s="87"/>
      <c r="ED163" s="87">
        <v>1523.0</v>
      </c>
      <c r="EE163" s="87">
        <v>14.0</v>
      </c>
      <c r="EF163" s="87">
        <v>1.0</v>
      </c>
      <c r="EG163" s="87">
        <v>172.0</v>
      </c>
      <c r="EH163" s="87">
        <v>1.0</v>
      </c>
      <c r="EI163" s="87">
        <v>60.0</v>
      </c>
      <c r="EJ163" s="87">
        <v>1423.0</v>
      </c>
      <c r="EK163" s="88"/>
      <c r="EL163" s="88"/>
      <c r="EM163" s="88"/>
      <c r="EN163" s="88"/>
      <c r="EO163" s="88"/>
      <c r="EP163" s="88"/>
      <c r="EQ163" s="90"/>
    </row>
    <row r="164" ht="12.0" customHeight="1">
      <c r="A164" s="89">
        <v>1.06190949E8</v>
      </c>
      <c r="B164" s="89" t="s">
        <v>1326</v>
      </c>
      <c r="C164" s="89" t="s">
        <v>865</v>
      </c>
      <c r="D164" s="89" t="s">
        <v>1327</v>
      </c>
      <c r="E164" s="89" t="s">
        <v>1328</v>
      </c>
      <c r="F164" s="89" t="s">
        <v>1329</v>
      </c>
      <c r="G164" s="89" t="s">
        <v>1330</v>
      </c>
      <c r="H164" s="89" t="s">
        <v>447</v>
      </c>
      <c r="I164" s="89" t="s">
        <v>456</v>
      </c>
      <c r="J164" s="89" t="s">
        <v>448</v>
      </c>
      <c r="K164" s="89" t="s">
        <v>1041</v>
      </c>
      <c r="L164" s="89" t="s">
        <v>1331</v>
      </c>
      <c r="M164" s="89" t="s">
        <v>1332</v>
      </c>
      <c r="N164" s="89" t="s">
        <v>441</v>
      </c>
      <c r="O164" s="87">
        <v>11359.0</v>
      </c>
      <c r="P164" s="87"/>
      <c r="Q164" s="87">
        <v>851.0</v>
      </c>
      <c r="R164" s="87"/>
      <c r="S164" s="87">
        <v>305.0</v>
      </c>
      <c r="T164" s="87"/>
      <c r="U164" s="87">
        <v>5500.0</v>
      </c>
      <c r="V164" s="87">
        <v>7012.0</v>
      </c>
      <c r="W164" s="87">
        <v>3.0</v>
      </c>
      <c r="X164" s="87">
        <v>1534.0</v>
      </c>
      <c r="Y164" s="87">
        <v>146.0</v>
      </c>
      <c r="Z164" s="87">
        <v>1117.0</v>
      </c>
      <c r="AA164" s="87">
        <v>1795.0</v>
      </c>
      <c r="AB164" s="87">
        <v>945.0</v>
      </c>
      <c r="AC164" s="87">
        <v>1260.0</v>
      </c>
      <c r="AD164" s="87">
        <v>1769.0</v>
      </c>
      <c r="AE164" s="87">
        <v>1929.0</v>
      </c>
      <c r="AF164" s="87">
        <v>2020.0</v>
      </c>
      <c r="AG164" s="87"/>
      <c r="AH164" s="87">
        <v>2301.0</v>
      </c>
      <c r="AI164" s="87">
        <v>10023.0</v>
      </c>
      <c r="AJ164" s="87">
        <v>191.0</v>
      </c>
      <c r="AK164" s="87">
        <v>18.0</v>
      </c>
      <c r="AL164" s="87">
        <v>733.0</v>
      </c>
      <c r="AM164" s="87">
        <v>23.0</v>
      </c>
      <c r="AN164" s="87">
        <v>621.0</v>
      </c>
      <c r="AO164" s="87">
        <v>8965.0</v>
      </c>
      <c r="AP164" s="87">
        <v>224.0</v>
      </c>
      <c r="AQ164" s="87">
        <v>1931.0</v>
      </c>
      <c r="AR164" s="87"/>
      <c r="AS164" s="87">
        <v>10364.0</v>
      </c>
      <c r="AT164" s="87">
        <v>87.0</v>
      </c>
      <c r="AU164" s="87">
        <v>187.0</v>
      </c>
      <c r="AV164" s="87">
        <v>24.0</v>
      </c>
      <c r="AW164" s="87">
        <v>23.0</v>
      </c>
      <c r="AX164" s="87">
        <v>290.0</v>
      </c>
      <c r="AY164" s="87"/>
      <c r="AZ164" s="87"/>
      <c r="BA164" s="87">
        <v>26.0</v>
      </c>
      <c r="BB164" s="87">
        <v>5.0</v>
      </c>
      <c r="BC164" s="87">
        <v>1509.0</v>
      </c>
      <c r="BD164" s="87"/>
      <c r="BE164" s="87">
        <v>8454.0</v>
      </c>
      <c r="BF164" s="87">
        <v>54.0</v>
      </c>
      <c r="BG164" s="87">
        <v>4007.0</v>
      </c>
      <c r="BH164" s="87"/>
      <c r="BI164" s="87">
        <v>55747.0</v>
      </c>
      <c r="BJ164" s="87">
        <v>2951.0</v>
      </c>
      <c r="BK164" s="87">
        <v>5702.0</v>
      </c>
      <c r="BL164" s="87">
        <v>2179.0</v>
      </c>
      <c r="BM164" s="87">
        <v>1509.0</v>
      </c>
      <c r="BN164" s="87">
        <v>172.0</v>
      </c>
      <c r="BO164" s="87">
        <v>2.0</v>
      </c>
      <c r="BP164" s="87">
        <v>8633.0</v>
      </c>
      <c r="BQ164" s="87">
        <v>446.0</v>
      </c>
      <c r="BR164" s="87">
        <v>276.0</v>
      </c>
      <c r="BS164" s="87">
        <v>825.0</v>
      </c>
      <c r="BT164" s="87">
        <v>85.0</v>
      </c>
      <c r="BU164" s="87">
        <v>60.0</v>
      </c>
      <c r="BV164" s="87">
        <v>221.0</v>
      </c>
      <c r="BW164" s="87">
        <v>326.0</v>
      </c>
      <c r="BX164" s="87">
        <v>1584.0</v>
      </c>
      <c r="BY164" s="87"/>
      <c r="BZ164" s="87"/>
      <c r="CA164" s="87">
        <v>3.0</v>
      </c>
      <c r="CB164" s="87">
        <v>56.0</v>
      </c>
      <c r="CC164" s="87"/>
      <c r="CD164" s="87"/>
      <c r="CE164" s="87"/>
      <c r="CF164" s="87"/>
      <c r="CG164" s="87">
        <v>437.0</v>
      </c>
      <c r="CH164" s="87">
        <v>12078.0</v>
      </c>
      <c r="CI164" s="87"/>
      <c r="CJ164" s="87">
        <v>4860.0</v>
      </c>
      <c r="CK164" s="87">
        <v>2211.0</v>
      </c>
      <c r="CL164" s="87">
        <v>4883.0</v>
      </c>
      <c r="CM164" s="87">
        <v>71.0</v>
      </c>
      <c r="CN164" s="87"/>
      <c r="CO164" s="87">
        <v>184.0</v>
      </c>
      <c r="CP164" s="87">
        <v>117.0</v>
      </c>
      <c r="CQ164" s="87">
        <v>189.0</v>
      </c>
      <c r="CR164" s="87"/>
      <c r="CS164" s="87"/>
      <c r="CT164" s="87">
        <v>1160.0</v>
      </c>
      <c r="CU164" s="87">
        <v>334.0</v>
      </c>
      <c r="CV164" s="87">
        <v>47.0</v>
      </c>
      <c r="CW164" s="87">
        <v>380.0</v>
      </c>
      <c r="CX164" s="87">
        <v>1040.0</v>
      </c>
      <c r="CY164" s="87">
        <v>311.0</v>
      </c>
      <c r="CZ164" s="87">
        <v>14.0</v>
      </c>
      <c r="DA164" s="87">
        <v>8.0</v>
      </c>
      <c r="DB164" s="87">
        <v>1582.0</v>
      </c>
      <c r="DC164" s="87">
        <v>628.0</v>
      </c>
      <c r="DD164" s="87">
        <v>1194.0</v>
      </c>
      <c r="DE164" s="87">
        <v>131.0</v>
      </c>
      <c r="DF164" s="87">
        <v>335.0</v>
      </c>
      <c r="DG164" s="87">
        <v>622.0</v>
      </c>
      <c r="DH164" s="87">
        <v>1620.0</v>
      </c>
      <c r="DI164" s="87">
        <v>1532.0</v>
      </c>
      <c r="DJ164" s="87">
        <v>2.0</v>
      </c>
      <c r="DK164" s="87">
        <v>169.0</v>
      </c>
      <c r="DL164" s="87">
        <v>1372.0</v>
      </c>
      <c r="DM164" s="87">
        <v>31.0</v>
      </c>
      <c r="DN164" s="87">
        <v>3.0</v>
      </c>
      <c r="DO164" s="87">
        <v>2166.0</v>
      </c>
      <c r="DP164" s="87">
        <v>1535.0</v>
      </c>
      <c r="DQ164" s="87">
        <v>961.0</v>
      </c>
      <c r="DR164" s="87">
        <v>1016.0</v>
      </c>
      <c r="DS164" s="87">
        <v>6.0</v>
      </c>
      <c r="DT164" s="87">
        <v>2.0</v>
      </c>
      <c r="DU164" s="87">
        <v>2.0</v>
      </c>
      <c r="DV164" s="87">
        <v>545.0</v>
      </c>
      <c r="DW164" s="87">
        <v>38.0</v>
      </c>
      <c r="DX164" s="87">
        <v>241.0</v>
      </c>
      <c r="DY164" s="87">
        <v>713.0</v>
      </c>
      <c r="DZ164" s="87">
        <v>171.0</v>
      </c>
      <c r="EA164" s="87">
        <v>24.0</v>
      </c>
      <c r="EB164" s="87">
        <v>471.0</v>
      </c>
      <c r="EC164" s="87">
        <v>239.0</v>
      </c>
      <c r="ED164" s="87">
        <v>4137.0</v>
      </c>
      <c r="EE164" s="87">
        <v>248.0</v>
      </c>
      <c r="EF164" s="87">
        <v>20.0</v>
      </c>
      <c r="EG164" s="87">
        <v>189.0</v>
      </c>
      <c r="EH164" s="87"/>
      <c r="EI164" s="87">
        <v>118.0</v>
      </c>
      <c r="EJ164" s="87">
        <v>12188.0</v>
      </c>
      <c r="EK164" s="88"/>
      <c r="EL164" s="88"/>
      <c r="EM164" s="88"/>
      <c r="EN164" s="88"/>
      <c r="EO164" s="88"/>
      <c r="EP164" s="88"/>
      <c r="EQ164" s="90"/>
    </row>
    <row r="165" ht="12.0" customHeight="1">
      <c r="A165" s="89">
        <v>1.06191216E8</v>
      </c>
      <c r="B165" s="89" t="s">
        <v>1333</v>
      </c>
      <c r="C165" s="89" t="s">
        <v>865</v>
      </c>
      <c r="D165" s="89" t="s">
        <v>1334</v>
      </c>
      <c r="E165" s="89" t="s">
        <v>1335</v>
      </c>
      <c r="F165" s="89" t="s">
        <v>865</v>
      </c>
      <c r="G165" s="89" t="s">
        <v>1318</v>
      </c>
      <c r="H165" s="89" t="s">
        <v>447</v>
      </c>
      <c r="I165" s="89" t="s">
        <v>456</v>
      </c>
      <c r="J165" s="89" t="s">
        <v>463</v>
      </c>
      <c r="K165" s="89" t="s">
        <v>905</v>
      </c>
      <c r="L165" s="89" t="s">
        <v>906</v>
      </c>
      <c r="M165" s="89" t="s">
        <v>941</v>
      </c>
      <c r="N165" s="89" t="s">
        <v>441</v>
      </c>
      <c r="O165" s="87">
        <v>1465.0</v>
      </c>
      <c r="P165" s="87"/>
      <c r="Q165" s="87"/>
      <c r="R165" s="87"/>
      <c r="S165" s="87"/>
      <c r="T165" s="87"/>
      <c r="U165" s="87">
        <v>841.0</v>
      </c>
      <c r="V165" s="87">
        <v>624.0</v>
      </c>
      <c r="W165" s="87"/>
      <c r="X165" s="87"/>
      <c r="Y165" s="87"/>
      <c r="Z165" s="87">
        <v>135.0</v>
      </c>
      <c r="AA165" s="87">
        <v>128.0</v>
      </c>
      <c r="AB165" s="87">
        <v>158.0</v>
      </c>
      <c r="AC165" s="87">
        <v>259.0</v>
      </c>
      <c r="AD165" s="87">
        <v>415.0</v>
      </c>
      <c r="AE165" s="87">
        <v>260.0</v>
      </c>
      <c r="AF165" s="87">
        <v>105.0</v>
      </c>
      <c r="AG165" s="87">
        <v>5.0</v>
      </c>
      <c r="AH165" s="87">
        <v>561.0</v>
      </c>
      <c r="AI165" s="87">
        <v>890.0</v>
      </c>
      <c r="AJ165" s="87">
        <v>14.0</v>
      </c>
      <c r="AK165" s="87"/>
      <c r="AL165" s="87">
        <v>217.0</v>
      </c>
      <c r="AM165" s="87"/>
      <c r="AN165" s="87">
        <v>69.0</v>
      </c>
      <c r="AO165" s="87">
        <v>717.0</v>
      </c>
      <c r="AP165" s="87">
        <v>15.0</v>
      </c>
      <c r="AQ165" s="87">
        <v>317.0</v>
      </c>
      <c r="AR165" s="87">
        <v>130.0</v>
      </c>
      <c r="AS165" s="87">
        <v>854.0</v>
      </c>
      <c r="AT165" s="87">
        <v>367.0</v>
      </c>
      <c r="AU165" s="87">
        <v>241.0</v>
      </c>
      <c r="AV165" s="87">
        <v>2.0</v>
      </c>
      <c r="AW165" s="87">
        <v>1.0</v>
      </c>
      <c r="AX165" s="87"/>
      <c r="AY165" s="87"/>
      <c r="AZ165" s="87"/>
      <c r="BA165" s="87"/>
      <c r="BB165" s="87"/>
      <c r="BC165" s="87"/>
      <c r="BD165" s="87"/>
      <c r="BE165" s="87"/>
      <c r="BF165" s="87">
        <v>38.0</v>
      </c>
      <c r="BG165" s="87">
        <v>1425.0</v>
      </c>
      <c r="BH165" s="87">
        <v>2.0</v>
      </c>
      <c r="BI165" s="87">
        <v>13127.0</v>
      </c>
      <c r="BJ165" s="87">
        <v>21.0</v>
      </c>
      <c r="BK165" s="87">
        <v>794.0</v>
      </c>
      <c r="BL165" s="87">
        <v>650.0</v>
      </c>
      <c r="BM165" s="87"/>
      <c r="BN165" s="87"/>
      <c r="BO165" s="87"/>
      <c r="BP165" s="87">
        <v>909.0</v>
      </c>
      <c r="BQ165" s="87">
        <v>68.0</v>
      </c>
      <c r="BR165" s="87">
        <v>9.0</v>
      </c>
      <c r="BS165" s="87">
        <v>33.0</v>
      </c>
      <c r="BT165" s="87"/>
      <c r="BU165" s="87"/>
      <c r="BV165" s="87">
        <v>8.0</v>
      </c>
      <c r="BW165" s="87">
        <v>63.0</v>
      </c>
      <c r="BX165" s="87">
        <v>312.0</v>
      </c>
      <c r="BY165" s="87"/>
      <c r="BZ165" s="87">
        <v>1.0</v>
      </c>
      <c r="CA165" s="87">
        <v>62.0</v>
      </c>
      <c r="CB165" s="87"/>
      <c r="CC165" s="87"/>
      <c r="CD165" s="87"/>
      <c r="CE165" s="87"/>
      <c r="CF165" s="87"/>
      <c r="CG165" s="87">
        <v>132.0</v>
      </c>
      <c r="CH165" s="87">
        <v>1333.0</v>
      </c>
      <c r="CI165" s="87"/>
      <c r="CJ165" s="87">
        <v>521.0</v>
      </c>
      <c r="CK165" s="87">
        <v>204.0</v>
      </c>
      <c r="CL165" s="87">
        <v>325.0</v>
      </c>
      <c r="CM165" s="87"/>
      <c r="CN165" s="87"/>
      <c r="CO165" s="87">
        <v>3.0</v>
      </c>
      <c r="CP165" s="87"/>
      <c r="CQ165" s="87"/>
      <c r="CR165" s="87">
        <v>412.0</v>
      </c>
      <c r="CS165" s="87"/>
      <c r="CT165" s="87">
        <v>77.0</v>
      </c>
      <c r="CU165" s="87">
        <v>439.0</v>
      </c>
      <c r="CV165" s="87">
        <v>79.0</v>
      </c>
      <c r="CW165" s="87">
        <v>36.0</v>
      </c>
      <c r="CX165" s="87">
        <v>1.0</v>
      </c>
      <c r="CY165" s="87">
        <v>16.0</v>
      </c>
      <c r="CZ165" s="87">
        <v>1.0</v>
      </c>
      <c r="DA165" s="87"/>
      <c r="DB165" s="87">
        <v>25.0</v>
      </c>
      <c r="DC165" s="87">
        <v>32.0</v>
      </c>
      <c r="DD165" s="87">
        <v>104.0</v>
      </c>
      <c r="DE165" s="87">
        <v>12.0</v>
      </c>
      <c r="DF165" s="87">
        <v>13.0</v>
      </c>
      <c r="DG165" s="87">
        <v>100.0</v>
      </c>
      <c r="DH165" s="87"/>
      <c r="DI165" s="87"/>
      <c r="DJ165" s="87"/>
      <c r="DK165" s="87">
        <v>30.0</v>
      </c>
      <c r="DL165" s="87">
        <v>68.0</v>
      </c>
      <c r="DM165" s="87">
        <v>431.0</v>
      </c>
      <c r="DN165" s="87">
        <v>1.0</v>
      </c>
      <c r="DO165" s="87">
        <v>672.0</v>
      </c>
      <c r="DP165" s="87"/>
      <c r="DQ165" s="87">
        <v>54.0</v>
      </c>
      <c r="DR165" s="87">
        <v>86.0</v>
      </c>
      <c r="DS165" s="87">
        <v>4.0</v>
      </c>
      <c r="DT165" s="87"/>
      <c r="DU165" s="87"/>
      <c r="DV165" s="87">
        <v>14.0</v>
      </c>
      <c r="DW165" s="87">
        <v>176.0</v>
      </c>
      <c r="DX165" s="87">
        <v>25.0</v>
      </c>
      <c r="DY165" s="87">
        <v>5.0</v>
      </c>
      <c r="DZ165" s="87">
        <v>15.0</v>
      </c>
      <c r="EA165" s="87">
        <v>5.0</v>
      </c>
      <c r="EB165" s="87">
        <v>43.0</v>
      </c>
      <c r="EC165" s="87">
        <v>93.0</v>
      </c>
      <c r="ED165" s="87">
        <v>252.0</v>
      </c>
      <c r="EE165" s="87">
        <v>21.0</v>
      </c>
      <c r="EF165" s="87"/>
      <c r="EG165" s="87"/>
      <c r="EH165" s="87"/>
      <c r="EI165" s="87">
        <v>92.0</v>
      </c>
      <c r="EJ165" s="87">
        <v>1373.0</v>
      </c>
      <c r="EK165" s="88"/>
      <c r="EL165" s="88"/>
      <c r="EM165" s="88"/>
      <c r="EN165" s="88"/>
      <c r="EO165" s="88"/>
      <c r="EP165" s="88"/>
      <c r="EQ165" s="90"/>
    </row>
    <row r="166" ht="12.0" customHeight="1">
      <c r="A166" s="89">
        <v>1.06191225E8</v>
      </c>
      <c r="B166" s="89" t="s">
        <v>1336</v>
      </c>
      <c r="C166" s="89" t="s">
        <v>865</v>
      </c>
      <c r="D166" s="89" t="s">
        <v>1337</v>
      </c>
      <c r="E166" s="89" t="s">
        <v>1338</v>
      </c>
      <c r="F166" s="89" t="s">
        <v>911</v>
      </c>
      <c r="G166" s="89" t="s">
        <v>912</v>
      </c>
      <c r="H166" s="89" t="s">
        <v>447</v>
      </c>
      <c r="I166" s="89" t="s">
        <v>456</v>
      </c>
      <c r="J166" s="89" t="s">
        <v>463</v>
      </c>
      <c r="K166" s="89" t="s">
        <v>913</v>
      </c>
      <c r="L166" s="89" t="s">
        <v>892</v>
      </c>
      <c r="M166" s="89" t="s">
        <v>1339</v>
      </c>
      <c r="N166" s="89" t="s">
        <v>441</v>
      </c>
      <c r="O166" s="87"/>
      <c r="P166" s="87"/>
      <c r="Q166" s="87"/>
      <c r="R166" s="87">
        <v>672.0</v>
      </c>
      <c r="S166" s="87"/>
      <c r="T166" s="87"/>
      <c r="U166" s="87">
        <v>487.0</v>
      </c>
      <c r="V166" s="87">
        <v>185.0</v>
      </c>
      <c r="W166" s="87"/>
      <c r="X166" s="87"/>
      <c r="Y166" s="87"/>
      <c r="Z166" s="87">
        <v>129.0</v>
      </c>
      <c r="AA166" s="87">
        <v>234.0</v>
      </c>
      <c r="AB166" s="87">
        <v>137.0</v>
      </c>
      <c r="AC166" s="87">
        <v>130.0</v>
      </c>
      <c r="AD166" s="87">
        <v>33.0</v>
      </c>
      <c r="AE166" s="87"/>
      <c r="AF166" s="87"/>
      <c r="AG166" s="87">
        <v>9.0</v>
      </c>
      <c r="AH166" s="87">
        <v>295.0</v>
      </c>
      <c r="AI166" s="87">
        <v>376.0</v>
      </c>
      <c r="AJ166" s="87">
        <v>1.0</v>
      </c>
      <c r="AK166" s="87"/>
      <c r="AL166" s="87"/>
      <c r="AM166" s="87"/>
      <c r="AN166" s="87">
        <v>127.0</v>
      </c>
      <c r="AO166" s="87">
        <v>507.0</v>
      </c>
      <c r="AP166" s="87">
        <v>18.0</v>
      </c>
      <c r="AQ166" s="87">
        <v>20.0</v>
      </c>
      <c r="AR166" s="87"/>
      <c r="AS166" s="87">
        <v>672.0</v>
      </c>
      <c r="AT166" s="87"/>
      <c r="AU166" s="87"/>
      <c r="AV166" s="87"/>
      <c r="AW166" s="87"/>
      <c r="AX166" s="87"/>
      <c r="AY166" s="87"/>
      <c r="AZ166" s="87"/>
      <c r="BA166" s="87"/>
      <c r="BB166" s="87"/>
      <c r="BC166" s="87"/>
      <c r="BD166" s="87"/>
      <c r="BE166" s="87"/>
      <c r="BF166" s="87"/>
      <c r="BG166" s="87">
        <v>672.0</v>
      </c>
      <c r="BH166" s="87"/>
      <c r="BI166" s="87">
        <v>13901.0</v>
      </c>
      <c r="BJ166" s="87"/>
      <c r="BK166" s="87"/>
      <c r="BL166" s="87">
        <v>672.0</v>
      </c>
      <c r="BM166" s="87"/>
      <c r="BN166" s="87"/>
      <c r="BO166" s="87"/>
      <c r="BP166" s="87">
        <v>333.0</v>
      </c>
      <c r="BQ166" s="87">
        <v>11.0</v>
      </c>
      <c r="BR166" s="87"/>
      <c r="BS166" s="87"/>
      <c r="BT166" s="87"/>
      <c r="BU166" s="87">
        <v>1.0</v>
      </c>
      <c r="BV166" s="87">
        <v>327.0</v>
      </c>
      <c r="BW166" s="87"/>
      <c r="BX166" s="87"/>
      <c r="BY166" s="87"/>
      <c r="BZ166" s="87"/>
      <c r="CA166" s="87"/>
      <c r="CB166" s="87"/>
      <c r="CC166" s="87"/>
      <c r="CD166" s="87"/>
      <c r="CE166" s="87"/>
      <c r="CF166" s="87"/>
      <c r="CG166" s="87"/>
      <c r="CH166" s="87">
        <v>672.0</v>
      </c>
      <c r="CI166" s="87"/>
      <c r="CJ166" s="87"/>
      <c r="CK166" s="87"/>
      <c r="CL166" s="87"/>
      <c r="CM166" s="87"/>
      <c r="CN166" s="87"/>
      <c r="CO166" s="87">
        <v>672.0</v>
      </c>
      <c r="CP166" s="87"/>
      <c r="CQ166" s="87"/>
      <c r="CR166" s="87"/>
      <c r="CS166" s="87"/>
      <c r="CT166" s="87"/>
      <c r="CU166" s="87"/>
      <c r="CV166" s="87"/>
      <c r="CW166" s="87"/>
      <c r="CX166" s="87">
        <v>672.0</v>
      </c>
      <c r="CY166" s="87"/>
      <c r="CZ166" s="87"/>
      <c r="DA166" s="87"/>
      <c r="DB166" s="87"/>
      <c r="DC166" s="87"/>
      <c r="DD166" s="87"/>
      <c r="DE166" s="87"/>
      <c r="DF166" s="87"/>
      <c r="DG166" s="87"/>
      <c r="DH166" s="87"/>
      <c r="DI166" s="87"/>
      <c r="DJ166" s="87"/>
      <c r="DK166" s="87"/>
      <c r="DL166" s="87"/>
      <c r="DM166" s="87"/>
      <c r="DN166" s="87"/>
      <c r="DO166" s="87">
        <v>672.0</v>
      </c>
      <c r="DP166" s="87"/>
      <c r="DQ166" s="87"/>
      <c r="DR166" s="87"/>
      <c r="DS166" s="87"/>
      <c r="DT166" s="87"/>
      <c r="DU166" s="87"/>
      <c r="DV166" s="87"/>
      <c r="DW166" s="87"/>
      <c r="DX166" s="87"/>
      <c r="DY166" s="87"/>
      <c r="DZ166" s="87"/>
      <c r="EA166" s="87"/>
      <c r="EB166" s="87"/>
      <c r="EC166" s="87"/>
      <c r="ED166" s="87"/>
      <c r="EE166" s="87"/>
      <c r="EF166" s="87">
        <v>3.0</v>
      </c>
      <c r="EG166" s="87">
        <v>376.0</v>
      </c>
      <c r="EH166" s="87"/>
      <c r="EI166" s="87"/>
      <c r="EJ166" s="87">
        <v>293.0</v>
      </c>
      <c r="EK166" s="88"/>
      <c r="EL166" s="88"/>
      <c r="EM166" s="88"/>
      <c r="EN166" s="88"/>
      <c r="EO166" s="88"/>
      <c r="EP166" s="88"/>
      <c r="EQ166" s="90"/>
    </row>
    <row r="167" ht="12.0" customHeight="1">
      <c r="A167" s="89">
        <v>1.06191227E8</v>
      </c>
      <c r="B167" s="89" t="s">
        <v>1340</v>
      </c>
      <c r="C167" s="89" t="s">
        <v>865</v>
      </c>
      <c r="D167" s="89" t="s">
        <v>1341</v>
      </c>
      <c r="E167" s="89" t="s">
        <v>1342</v>
      </c>
      <c r="F167" s="89" t="s">
        <v>1018</v>
      </c>
      <c r="G167" s="89" t="s">
        <v>1343</v>
      </c>
      <c r="H167" s="89" t="s">
        <v>435</v>
      </c>
      <c r="I167" s="89" t="s">
        <v>456</v>
      </c>
      <c r="J167" s="89" t="s">
        <v>448</v>
      </c>
      <c r="K167" s="89" t="s">
        <v>954</v>
      </c>
      <c r="L167" s="89" t="s">
        <v>997</v>
      </c>
      <c r="M167" s="89" t="s">
        <v>1020</v>
      </c>
      <c r="N167" s="89" t="s">
        <v>441</v>
      </c>
      <c r="O167" s="87">
        <v>19101.0</v>
      </c>
      <c r="P167" s="87"/>
      <c r="Q167" s="87">
        <v>408.0</v>
      </c>
      <c r="R167" s="87"/>
      <c r="S167" s="87"/>
      <c r="T167" s="87">
        <v>1.0</v>
      </c>
      <c r="U167" s="87">
        <v>10277.0</v>
      </c>
      <c r="V167" s="87">
        <v>9227.0</v>
      </c>
      <c r="W167" s="87">
        <v>6.0</v>
      </c>
      <c r="X167" s="87">
        <v>1993.0</v>
      </c>
      <c r="Y167" s="87">
        <v>707.0</v>
      </c>
      <c r="Z167" s="87">
        <v>1950.0</v>
      </c>
      <c r="AA167" s="87">
        <v>2435.0</v>
      </c>
      <c r="AB167" s="87">
        <v>2505.0</v>
      </c>
      <c r="AC167" s="87">
        <v>3557.0</v>
      </c>
      <c r="AD167" s="87">
        <v>3257.0</v>
      </c>
      <c r="AE167" s="87">
        <v>1807.0</v>
      </c>
      <c r="AF167" s="87">
        <v>1298.0</v>
      </c>
      <c r="AG167" s="87">
        <v>1.0</v>
      </c>
      <c r="AH167" s="87">
        <v>11141.0</v>
      </c>
      <c r="AI167" s="87">
        <v>7759.0</v>
      </c>
      <c r="AJ167" s="87">
        <v>610.0</v>
      </c>
      <c r="AK167" s="87">
        <v>90.0</v>
      </c>
      <c r="AL167" s="87">
        <v>1229.0</v>
      </c>
      <c r="AM167" s="87">
        <v>130.0</v>
      </c>
      <c r="AN167" s="87">
        <v>3679.0</v>
      </c>
      <c r="AO167" s="87">
        <v>1870.0</v>
      </c>
      <c r="AP167" s="87">
        <v>338.0</v>
      </c>
      <c r="AQ167" s="87">
        <v>11784.0</v>
      </c>
      <c r="AR167" s="87">
        <v>390.0</v>
      </c>
      <c r="AS167" s="87">
        <v>15698.0</v>
      </c>
      <c r="AT167" s="87">
        <v>1826.0</v>
      </c>
      <c r="AU167" s="87">
        <v>355.0</v>
      </c>
      <c r="AV167" s="87">
        <v>283.0</v>
      </c>
      <c r="AW167" s="87">
        <v>28.0</v>
      </c>
      <c r="AX167" s="87">
        <v>179.0</v>
      </c>
      <c r="AY167" s="87">
        <v>13.0</v>
      </c>
      <c r="AZ167" s="87"/>
      <c r="BA167" s="87">
        <v>10.0</v>
      </c>
      <c r="BB167" s="87">
        <v>68.0</v>
      </c>
      <c r="BC167" s="87">
        <v>1050.0</v>
      </c>
      <c r="BD167" s="87"/>
      <c r="BE167" s="87">
        <v>15298.0</v>
      </c>
      <c r="BF167" s="87">
        <v>1.0</v>
      </c>
      <c r="BG167" s="87">
        <v>4211.0</v>
      </c>
      <c r="BH167" s="87"/>
      <c r="BI167" s="87">
        <v>106272.0</v>
      </c>
      <c r="BJ167" s="87">
        <v>13648.0</v>
      </c>
      <c r="BK167" s="87">
        <v>868.0</v>
      </c>
      <c r="BL167" s="87">
        <v>2420.0</v>
      </c>
      <c r="BM167" s="87">
        <v>1050.0</v>
      </c>
      <c r="BN167" s="87">
        <v>1504.0</v>
      </c>
      <c r="BO167" s="87">
        <v>20.0</v>
      </c>
      <c r="BP167" s="87">
        <v>14901.0</v>
      </c>
      <c r="BQ167" s="87">
        <v>512.0</v>
      </c>
      <c r="BR167" s="87">
        <v>373.0</v>
      </c>
      <c r="BS167" s="87">
        <v>906.0</v>
      </c>
      <c r="BT167" s="87">
        <v>128.0</v>
      </c>
      <c r="BU167" s="87">
        <v>13.0</v>
      </c>
      <c r="BV167" s="87">
        <v>665.0</v>
      </c>
      <c r="BW167" s="87">
        <v>489.0</v>
      </c>
      <c r="BX167" s="87">
        <v>1183.0</v>
      </c>
      <c r="BY167" s="87">
        <v>3.0</v>
      </c>
      <c r="BZ167" s="87">
        <v>5.0</v>
      </c>
      <c r="CA167" s="87">
        <v>149.0</v>
      </c>
      <c r="CB167" s="87">
        <v>99.0</v>
      </c>
      <c r="CC167" s="87"/>
      <c r="CD167" s="87">
        <v>84.0</v>
      </c>
      <c r="CE167" s="87"/>
      <c r="CF167" s="87"/>
      <c r="CG167" s="87">
        <v>942.0</v>
      </c>
      <c r="CH167" s="87">
        <v>18562.0</v>
      </c>
      <c r="CI167" s="87">
        <v>6.0</v>
      </c>
      <c r="CJ167" s="87">
        <v>3623.0</v>
      </c>
      <c r="CK167" s="87">
        <v>13515.0</v>
      </c>
      <c r="CL167" s="87">
        <v>1017.0</v>
      </c>
      <c r="CM167" s="87">
        <v>72.0</v>
      </c>
      <c r="CN167" s="87">
        <v>489.0</v>
      </c>
      <c r="CO167" s="87">
        <v>314.0</v>
      </c>
      <c r="CP167" s="87"/>
      <c r="CQ167" s="87">
        <v>392.0</v>
      </c>
      <c r="CR167" s="87"/>
      <c r="CS167" s="87">
        <v>88.0</v>
      </c>
      <c r="CT167" s="87">
        <v>1602.0</v>
      </c>
      <c r="CU167" s="87">
        <v>972.0</v>
      </c>
      <c r="CV167" s="87">
        <v>223.0</v>
      </c>
      <c r="CW167" s="87">
        <v>1087.0</v>
      </c>
      <c r="CX167" s="87">
        <v>710.0</v>
      </c>
      <c r="CY167" s="87">
        <v>635.0</v>
      </c>
      <c r="CZ167" s="87">
        <v>65.0</v>
      </c>
      <c r="DA167" s="87">
        <v>22.0</v>
      </c>
      <c r="DB167" s="87">
        <v>2690.0</v>
      </c>
      <c r="DC167" s="87">
        <v>971.0</v>
      </c>
      <c r="DD167" s="87">
        <v>1959.0</v>
      </c>
      <c r="DE167" s="87">
        <v>352.0</v>
      </c>
      <c r="DF167" s="87">
        <v>650.0</v>
      </c>
      <c r="DG167" s="87">
        <v>955.0</v>
      </c>
      <c r="DH167" s="87">
        <v>1323.0</v>
      </c>
      <c r="DI167" s="87">
        <v>1130.0</v>
      </c>
      <c r="DJ167" s="87">
        <v>55.0</v>
      </c>
      <c r="DK167" s="87">
        <v>697.0</v>
      </c>
      <c r="DL167" s="87">
        <v>3147.0</v>
      </c>
      <c r="DM167" s="87">
        <v>265.0</v>
      </c>
      <c r="DN167" s="87"/>
      <c r="DO167" s="87">
        <v>5735.0</v>
      </c>
      <c r="DP167" s="87">
        <v>1066.0</v>
      </c>
      <c r="DQ167" s="87">
        <v>1439.0</v>
      </c>
      <c r="DR167" s="87">
        <v>1928.0</v>
      </c>
      <c r="DS167" s="87">
        <v>80.0</v>
      </c>
      <c r="DT167" s="87">
        <v>64.0</v>
      </c>
      <c r="DU167" s="87">
        <v>85.0</v>
      </c>
      <c r="DV167" s="87">
        <v>328.0</v>
      </c>
      <c r="DW167" s="87">
        <v>107.0</v>
      </c>
      <c r="DX167" s="87">
        <v>761.0</v>
      </c>
      <c r="DY167" s="87">
        <v>1672.0</v>
      </c>
      <c r="DZ167" s="87">
        <v>436.0</v>
      </c>
      <c r="EA167" s="87">
        <v>128.0</v>
      </c>
      <c r="EB167" s="87">
        <v>322.0</v>
      </c>
      <c r="EC167" s="87">
        <v>351.0</v>
      </c>
      <c r="ED167" s="87">
        <v>4141.0</v>
      </c>
      <c r="EE167" s="87">
        <v>867.0</v>
      </c>
      <c r="EF167" s="87">
        <v>61.0</v>
      </c>
      <c r="EG167" s="87">
        <v>1113.0</v>
      </c>
      <c r="EH167" s="87">
        <v>14.0</v>
      </c>
      <c r="EI167" s="87">
        <v>87.0</v>
      </c>
      <c r="EJ167" s="87">
        <v>18235.0</v>
      </c>
      <c r="EK167" s="88"/>
      <c r="EL167" s="88"/>
      <c r="EM167" s="88"/>
      <c r="EN167" s="88"/>
      <c r="EO167" s="88"/>
      <c r="EP167" s="88"/>
      <c r="EQ167" s="90"/>
    </row>
    <row r="168" ht="12.0" customHeight="1">
      <c r="A168" s="89">
        <v>1.06191228E8</v>
      </c>
      <c r="B168" s="89" t="s">
        <v>1344</v>
      </c>
      <c r="C168" s="89" t="s">
        <v>865</v>
      </c>
      <c r="D168" s="89" t="s">
        <v>1345</v>
      </c>
      <c r="E168" s="89" t="s">
        <v>1346</v>
      </c>
      <c r="F168" s="89" t="s">
        <v>865</v>
      </c>
      <c r="G168" s="89" t="s">
        <v>1318</v>
      </c>
      <c r="H168" s="89" t="s">
        <v>435</v>
      </c>
      <c r="I168" s="89" t="s">
        <v>456</v>
      </c>
      <c r="J168" s="89" t="s">
        <v>605</v>
      </c>
      <c r="K168" s="89" t="s">
        <v>905</v>
      </c>
      <c r="L168" s="89" t="s">
        <v>906</v>
      </c>
      <c r="M168" s="89" t="s">
        <v>941</v>
      </c>
      <c r="N168" s="89" t="s">
        <v>441</v>
      </c>
      <c r="O168" s="87">
        <v>29943.0</v>
      </c>
      <c r="P168" s="87"/>
      <c r="Q168" s="87">
        <v>390.0</v>
      </c>
      <c r="R168" s="87"/>
      <c r="S168" s="87"/>
      <c r="T168" s="87">
        <v>15.0</v>
      </c>
      <c r="U168" s="87">
        <v>17344.0</v>
      </c>
      <c r="V168" s="87">
        <v>12991.0</v>
      </c>
      <c r="W168" s="87">
        <v>13.0</v>
      </c>
      <c r="X168" s="87">
        <v>2350.0</v>
      </c>
      <c r="Y168" s="87">
        <v>995.0</v>
      </c>
      <c r="Z168" s="87">
        <v>3077.0</v>
      </c>
      <c r="AA168" s="87">
        <v>4366.0</v>
      </c>
      <c r="AB168" s="87">
        <v>4629.0</v>
      </c>
      <c r="AC168" s="87">
        <v>5699.0</v>
      </c>
      <c r="AD168" s="87">
        <v>5126.0</v>
      </c>
      <c r="AE168" s="87">
        <v>2380.0</v>
      </c>
      <c r="AF168" s="87">
        <v>1726.0</v>
      </c>
      <c r="AG168" s="87"/>
      <c r="AH168" s="87">
        <v>20311.0</v>
      </c>
      <c r="AI168" s="87">
        <v>8536.0</v>
      </c>
      <c r="AJ168" s="87">
        <v>1501.0</v>
      </c>
      <c r="AK168" s="87">
        <v>87.0</v>
      </c>
      <c r="AL168" s="87">
        <v>1476.0</v>
      </c>
      <c r="AM168" s="87">
        <v>20.0</v>
      </c>
      <c r="AN168" s="87">
        <v>3154.0</v>
      </c>
      <c r="AO168" s="87">
        <v>1155.0</v>
      </c>
      <c r="AP168" s="87">
        <v>880.0</v>
      </c>
      <c r="AQ168" s="87">
        <v>23321.0</v>
      </c>
      <c r="AR168" s="87">
        <v>255.0</v>
      </c>
      <c r="AS168" s="87">
        <v>23739.0</v>
      </c>
      <c r="AT168" s="87">
        <v>2248.0</v>
      </c>
      <c r="AU168" s="87">
        <v>788.0</v>
      </c>
      <c r="AV168" s="87">
        <v>297.0</v>
      </c>
      <c r="AW168" s="87">
        <v>87.0</v>
      </c>
      <c r="AX168" s="87">
        <v>117.0</v>
      </c>
      <c r="AY168" s="87">
        <v>13.0</v>
      </c>
      <c r="AZ168" s="87"/>
      <c r="BA168" s="87">
        <v>1622.0</v>
      </c>
      <c r="BB168" s="87">
        <v>206.0</v>
      </c>
      <c r="BC168" s="87">
        <v>1231.0</v>
      </c>
      <c r="BD168" s="87"/>
      <c r="BE168" s="87">
        <v>23175.0</v>
      </c>
      <c r="BF168" s="87">
        <v>35.0</v>
      </c>
      <c r="BG168" s="87">
        <v>7125.0</v>
      </c>
      <c r="BH168" s="87">
        <v>13.0</v>
      </c>
      <c r="BI168" s="87">
        <v>169189.0</v>
      </c>
      <c r="BJ168" s="87">
        <v>20483.0</v>
      </c>
      <c r="BK168" s="87">
        <v>2954.0</v>
      </c>
      <c r="BL168" s="87">
        <v>3754.0</v>
      </c>
      <c r="BM168" s="87">
        <v>1231.0</v>
      </c>
      <c r="BN168" s="87">
        <v>1884.0</v>
      </c>
      <c r="BO168" s="87">
        <v>42.0</v>
      </c>
      <c r="BP168" s="87">
        <v>23448.0</v>
      </c>
      <c r="BQ168" s="87">
        <v>740.0</v>
      </c>
      <c r="BR168" s="87">
        <v>432.0</v>
      </c>
      <c r="BS168" s="87">
        <v>1126.0</v>
      </c>
      <c r="BT168" s="87">
        <v>71.0</v>
      </c>
      <c r="BU168" s="87">
        <v>1621.0</v>
      </c>
      <c r="BV168" s="87">
        <v>1085.0</v>
      </c>
      <c r="BW168" s="87">
        <v>822.0</v>
      </c>
      <c r="BX168" s="87">
        <v>420.0</v>
      </c>
      <c r="BY168" s="87">
        <v>12.0</v>
      </c>
      <c r="BZ168" s="87">
        <v>21.0</v>
      </c>
      <c r="CA168" s="87">
        <v>165.0</v>
      </c>
      <c r="CB168" s="87">
        <v>196.0</v>
      </c>
      <c r="CC168" s="87"/>
      <c r="CD168" s="87">
        <v>165.0</v>
      </c>
      <c r="CE168" s="87"/>
      <c r="CF168" s="87">
        <v>24.0</v>
      </c>
      <c r="CG168" s="87">
        <v>1865.0</v>
      </c>
      <c r="CH168" s="87">
        <v>28447.0</v>
      </c>
      <c r="CI168" s="87">
        <v>36.0</v>
      </c>
      <c r="CJ168" s="87">
        <v>4904.0</v>
      </c>
      <c r="CK168" s="87">
        <v>21431.0</v>
      </c>
      <c r="CL168" s="87">
        <v>1177.0</v>
      </c>
      <c r="CM168" s="87">
        <v>91.0</v>
      </c>
      <c r="CN168" s="87">
        <v>816.0</v>
      </c>
      <c r="CO168" s="87">
        <v>1291.0</v>
      </c>
      <c r="CP168" s="87"/>
      <c r="CQ168" s="87">
        <v>362.0</v>
      </c>
      <c r="CR168" s="87"/>
      <c r="CS168" s="87">
        <v>276.0</v>
      </c>
      <c r="CT168" s="87">
        <v>2656.0</v>
      </c>
      <c r="CU168" s="87">
        <v>1870.0</v>
      </c>
      <c r="CV168" s="87">
        <v>419.0</v>
      </c>
      <c r="CW168" s="87">
        <v>1778.0</v>
      </c>
      <c r="CX168" s="87">
        <v>1400.0</v>
      </c>
      <c r="CY168" s="87">
        <v>1174.0</v>
      </c>
      <c r="CZ168" s="87">
        <v>211.0</v>
      </c>
      <c r="DA168" s="87">
        <v>55.0</v>
      </c>
      <c r="DB168" s="87">
        <v>3771.0</v>
      </c>
      <c r="DC168" s="87">
        <v>1426.0</v>
      </c>
      <c r="DD168" s="87">
        <v>3388.0</v>
      </c>
      <c r="DE168" s="87">
        <v>700.0</v>
      </c>
      <c r="DF168" s="87">
        <v>786.0</v>
      </c>
      <c r="DG168" s="87">
        <v>1962.0</v>
      </c>
      <c r="DH168" s="87">
        <v>1680.0</v>
      </c>
      <c r="DI168" s="87">
        <v>1333.0</v>
      </c>
      <c r="DJ168" s="87">
        <v>64.0</v>
      </c>
      <c r="DK168" s="87">
        <v>804.0</v>
      </c>
      <c r="DL168" s="87">
        <v>4483.0</v>
      </c>
      <c r="DM168" s="87">
        <v>388.0</v>
      </c>
      <c r="DN168" s="87"/>
      <c r="DO168" s="87">
        <v>5171.0</v>
      </c>
      <c r="DP168" s="87">
        <v>1282.0</v>
      </c>
      <c r="DQ168" s="87">
        <v>2059.0</v>
      </c>
      <c r="DR168" s="87">
        <v>2950.0</v>
      </c>
      <c r="DS168" s="87">
        <v>72.0</v>
      </c>
      <c r="DT168" s="87">
        <v>111.0</v>
      </c>
      <c r="DU168" s="87">
        <v>191.0</v>
      </c>
      <c r="DV168" s="87">
        <v>851.0</v>
      </c>
      <c r="DW168" s="87">
        <v>148.0</v>
      </c>
      <c r="DX168" s="87">
        <v>1193.0</v>
      </c>
      <c r="DY168" s="87">
        <v>1976.0</v>
      </c>
      <c r="DZ168" s="87">
        <v>759.0</v>
      </c>
      <c r="EA168" s="87">
        <v>218.0</v>
      </c>
      <c r="EB168" s="87">
        <v>642.0</v>
      </c>
      <c r="EC168" s="87">
        <v>560.0</v>
      </c>
      <c r="ED168" s="87">
        <v>11609.0</v>
      </c>
      <c r="EE168" s="87">
        <v>556.0</v>
      </c>
      <c r="EF168" s="87">
        <v>123.0</v>
      </c>
      <c r="EG168" s="87">
        <v>2842.0</v>
      </c>
      <c r="EH168" s="87">
        <v>14.0</v>
      </c>
      <c r="EI168" s="87">
        <v>123.0</v>
      </c>
      <c r="EJ168" s="87">
        <v>27246.0</v>
      </c>
      <c r="EK168" s="88"/>
      <c r="EL168" s="88"/>
      <c r="EM168" s="88"/>
      <c r="EN168" s="88"/>
      <c r="EO168" s="88"/>
      <c r="EP168" s="88"/>
      <c r="EQ168" s="90"/>
    </row>
    <row r="169" ht="12.0" customHeight="1">
      <c r="A169" s="89">
        <v>1.0619123E8</v>
      </c>
      <c r="B169" s="89" t="s">
        <v>1347</v>
      </c>
      <c r="C169" s="89" t="s">
        <v>865</v>
      </c>
      <c r="D169" s="89" t="s">
        <v>1348</v>
      </c>
      <c r="E169" s="89" t="s">
        <v>1349</v>
      </c>
      <c r="F169" s="89" t="s">
        <v>865</v>
      </c>
      <c r="G169" s="89" t="s">
        <v>1350</v>
      </c>
      <c r="H169" s="89" t="s">
        <v>447</v>
      </c>
      <c r="I169" s="89" t="s">
        <v>456</v>
      </c>
      <c r="J169" s="89" t="s">
        <v>437</v>
      </c>
      <c r="K169" s="89" t="s">
        <v>954</v>
      </c>
      <c r="L169" s="89" t="s">
        <v>1351</v>
      </c>
      <c r="M169" s="89" t="s">
        <v>1352</v>
      </c>
      <c r="N169" s="89" t="s">
        <v>441</v>
      </c>
      <c r="O169" s="87">
        <v>9891.0</v>
      </c>
      <c r="P169" s="87"/>
      <c r="Q169" s="87"/>
      <c r="R169" s="87"/>
      <c r="S169" s="87"/>
      <c r="T169" s="87"/>
      <c r="U169" s="87">
        <v>4912.0</v>
      </c>
      <c r="V169" s="87">
        <v>4979.0</v>
      </c>
      <c r="W169" s="87"/>
      <c r="X169" s="87">
        <v>522.0</v>
      </c>
      <c r="Y169" s="87">
        <v>113.0</v>
      </c>
      <c r="Z169" s="87">
        <v>987.0</v>
      </c>
      <c r="AA169" s="87">
        <v>1290.0</v>
      </c>
      <c r="AB169" s="87">
        <v>1339.0</v>
      </c>
      <c r="AC169" s="87">
        <v>1839.0</v>
      </c>
      <c r="AD169" s="87">
        <v>2091.0</v>
      </c>
      <c r="AE169" s="87">
        <v>1029.0</v>
      </c>
      <c r="AF169" s="87">
        <v>681.0</v>
      </c>
      <c r="AG169" s="87"/>
      <c r="AH169" s="87">
        <v>5264.0</v>
      </c>
      <c r="AI169" s="87">
        <v>4052.0</v>
      </c>
      <c r="AJ169" s="87">
        <v>575.0</v>
      </c>
      <c r="AK169" s="87"/>
      <c r="AL169" s="87">
        <v>39.0</v>
      </c>
      <c r="AM169" s="87"/>
      <c r="AN169" s="87">
        <v>3774.0</v>
      </c>
      <c r="AO169" s="87">
        <v>5394.0</v>
      </c>
      <c r="AP169" s="87">
        <v>100.0</v>
      </c>
      <c r="AQ169" s="87">
        <v>318.0</v>
      </c>
      <c r="AR169" s="87">
        <v>266.0</v>
      </c>
      <c r="AS169" s="87">
        <v>9297.0</v>
      </c>
      <c r="AT169" s="87">
        <v>20.0</v>
      </c>
      <c r="AU169" s="87">
        <v>32.0</v>
      </c>
      <c r="AV169" s="87">
        <v>26.0</v>
      </c>
      <c r="AW169" s="87">
        <v>1.0</v>
      </c>
      <c r="AX169" s="87"/>
      <c r="AY169" s="87"/>
      <c r="AZ169" s="87"/>
      <c r="BA169" s="87">
        <v>3.0</v>
      </c>
      <c r="BB169" s="87">
        <v>1.0</v>
      </c>
      <c r="BC169" s="87">
        <v>511.0</v>
      </c>
      <c r="BD169" s="87"/>
      <c r="BE169" s="87">
        <v>558.0</v>
      </c>
      <c r="BF169" s="87">
        <v>1.0</v>
      </c>
      <c r="BG169" s="87">
        <v>9313.0</v>
      </c>
      <c r="BH169" s="87">
        <v>19.0</v>
      </c>
      <c r="BI169" s="87">
        <v>54302.0</v>
      </c>
      <c r="BJ169" s="87">
        <v>8792.0</v>
      </c>
      <c r="BK169" s="87">
        <v>268.0</v>
      </c>
      <c r="BL169" s="87">
        <v>315.0</v>
      </c>
      <c r="BM169" s="87">
        <v>511.0</v>
      </c>
      <c r="BN169" s="87">
        <v>3.0</v>
      </c>
      <c r="BO169" s="87">
        <v>2.0</v>
      </c>
      <c r="BP169" s="87">
        <v>5075.0</v>
      </c>
      <c r="BQ169" s="87">
        <v>326.0</v>
      </c>
      <c r="BR169" s="87">
        <v>14.0</v>
      </c>
      <c r="BS169" s="87">
        <v>590.0</v>
      </c>
      <c r="BT169" s="87">
        <v>49.0</v>
      </c>
      <c r="BU169" s="87">
        <v>11.0</v>
      </c>
      <c r="BV169" s="87">
        <v>724.0</v>
      </c>
      <c r="BW169" s="87">
        <v>200.0</v>
      </c>
      <c r="BX169" s="87">
        <v>2717.0</v>
      </c>
      <c r="BY169" s="87"/>
      <c r="BZ169" s="87">
        <v>26.0</v>
      </c>
      <c r="CA169" s="87">
        <v>147.0</v>
      </c>
      <c r="CB169" s="87">
        <v>7.0</v>
      </c>
      <c r="CC169" s="87"/>
      <c r="CD169" s="87"/>
      <c r="CE169" s="87">
        <v>5.0</v>
      </c>
      <c r="CF169" s="87"/>
      <c r="CG169" s="87">
        <v>2.0</v>
      </c>
      <c r="CH169" s="87">
        <v>9889.0</v>
      </c>
      <c r="CI169" s="87"/>
      <c r="CJ169" s="87">
        <v>2584.0</v>
      </c>
      <c r="CK169" s="87">
        <v>6641.0</v>
      </c>
      <c r="CL169" s="87">
        <v>379.0</v>
      </c>
      <c r="CM169" s="87">
        <v>1.0</v>
      </c>
      <c r="CN169" s="87">
        <v>9.0</v>
      </c>
      <c r="CO169" s="87">
        <v>76.0</v>
      </c>
      <c r="CP169" s="87">
        <v>30.0</v>
      </c>
      <c r="CQ169" s="87">
        <v>165.0</v>
      </c>
      <c r="CR169" s="87">
        <v>5.0</v>
      </c>
      <c r="CS169" s="87">
        <v>1.0</v>
      </c>
      <c r="CT169" s="87">
        <v>1935.0</v>
      </c>
      <c r="CU169" s="87">
        <v>146.0</v>
      </c>
      <c r="CV169" s="87">
        <v>252.0</v>
      </c>
      <c r="CW169" s="87">
        <v>889.0</v>
      </c>
      <c r="CX169" s="87">
        <v>166.0</v>
      </c>
      <c r="CY169" s="87">
        <v>219.0</v>
      </c>
      <c r="CZ169" s="87">
        <v>15.0</v>
      </c>
      <c r="DA169" s="87">
        <v>7.0</v>
      </c>
      <c r="DB169" s="87">
        <v>1455.0</v>
      </c>
      <c r="DC169" s="87">
        <v>533.0</v>
      </c>
      <c r="DD169" s="87">
        <v>1413.0</v>
      </c>
      <c r="DE169" s="87">
        <v>188.0</v>
      </c>
      <c r="DF169" s="87">
        <v>101.0</v>
      </c>
      <c r="DG169" s="87">
        <v>580.0</v>
      </c>
      <c r="DH169" s="87">
        <v>673.0</v>
      </c>
      <c r="DI169" s="87">
        <v>522.0</v>
      </c>
      <c r="DJ169" s="87">
        <v>1.0</v>
      </c>
      <c r="DK169" s="87">
        <v>141.0</v>
      </c>
      <c r="DL169" s="87">
        <v>647.0</v>
      </c>
      <c r="DM169" s="87">
        <v>5.0</v>
      </c>
      <c r="DN169" s="87">
        <v>3.0</v>
      </c>
      <c r="DO169" s="87">
        <v>2633.0</v>
      </c>
      <c r="DP169" s="87">
        <v>559.0</v>
      </c>
      <c r="DQ169" s="87">
        <v>692.0</v>
      </c>
      <c r="DR169" s="87">
        <v>1122.0</v>
      </c>
      <c r="DS169" s="87">
        <v>1.0</v>
      </c>
      <c r="DT169" s="87"/>
      <c r="DU169" s="87">
        <v>1.0</v>
      </c>
      <c r="DV169" s="87">
        <v>41.0</v>
      </c>
      <c r="DW169" s="87">
        <v>31.0</v>
      </c>
      <c r="DX169" s="87">
        <v>356.0</v>
      </c>
      <c r="DY169" s="87">
        <v>314.0</v>
      </c>
      <c r="DZ169" s="87">
        <v>78.0</v>
      </c>
      <c r="EA169" s="87">
        <v>18.0</v>
      </c>
      <c r="EB169" s="87">
        <v>114.0</v>
      </c>
      <c r="EC169" s="87">
        <v>156.0</v>
      </c>
      <c r="ED169" s="87">
        <v>3562.0</v>
      </c>
      <c r="EE169" s="87">
        <v>213.0</v>
      </c>
      <c r="EF169" s="87">
        <v>99.0</v>
      </c>
      <c r="EG169" s="87">
        <v>720.0</v>
      </c>
      <c r="EH169" s="87">
        <v>1.0</v>
      </c>
      <c r="EI169" s="87">
        <v>20.0</v>
      </c>
      <c r="EJ169" s="87">
        <v>9051.0</v>
      </c>
      <c r="EK169" s="88"/>
      <c r="EL169" s="88"/>
      <c r="EM169" s="88"/>
      <c r="EN169" s="88"/>
      <c r="EO169" s="88"/>
      <c r="EP169" s="88"/>
      <c r="EQ169" s="90"/>
    </row>
    <row r="170" ht="12.0" customHeight="1">
      <c r="A170" s="89">
        <v>1.06191231E8</v>
      </c>
      <c r="B170" s="89" t="s">
        <v>1353</v>
      </c>
      <c r="C170" s="89" t="s">
        <v>865</v>
      </c>
      <c r="D170" s="89" t="s">
        <v>1354</v>
      </c>
      <c r="E170" s="89" t="s">
        <v>1355</v>
      </c>
      <c r="F170" s="89" t="s">
        <v>1356</v>
      </c>
      <c r="G170" s="89" t="s">
        <v>1357</v>
      </c>
      <c r="H170" s="89" t="s">
        <v>435</v>
      </c>
      <c r="I170" s="89" t="s">
        <v>456</v>
      </c>
      <c r="J170" s="89" t="s">
        <v>448</v>
      </c>
      <c r="K170" s="89" t="s">
        <v>439</v>
      </c>
      <c r="L170" s="89" t="s">
        <v>1094</v>
      </c>
      <c r="M170" s="89" t="s">
        <v>1358</v>
      </c>
      <c r="N170" s="89" t="s">
        <v>441</v>
      </c>
      <c r="O170" s="87">
        <v>11680.0</v>
      </c>
      <c r="P170" s="87"/>
      <c r="Q170" s="87">
        <v>548.0</v>
      </c>
      <c r="R170" s="87"/>
      <c r="S170" s="87"/>
      <c r="T170" s="87"/>
      <c r="U170" s="87">
        <v>6379.0</v>
      </c>
      <c r="V170" s="87">
        <v>5844.0</v>
      </c>
      <c r="W170" s="87">
        <v>5.0</v>
      </c>
      <c r="X170" s="87">
        <v>1113.0</v>
      </c>
      <c r="Y170" s="87">
        <v>138.0</v>
      </c>
      <c r="Z170" s="87">
        <v>1142.0</v>
      </c>
      <c r="AA170" s="87">
        <v>1836.0</v>
      </c>
      <c r="AB170" s="87">
        <v>1888.0</v>
      </c>
      <c r="AC170" s="87">
        <v>2373.0</v>
      </c>
      <c r="AD170" s="87">
        <v>2219.0</v>
      </c>
      <c r="AE170" s="87">
        <v>971.0</v>
      </c>
      <c r="AF170" s="87">
        <v>548.0</v>
      </c>
      <c r="AG170" s="87"/>
      <c r="AH170" s="87">
        <v>8361.0</v>
      </c>
      <c r="AI170" s="87">
        <v>3370.0</v>
      </c>
      <c r="AJ170" s="87">
        <v>497.0</v>
      </c>
      <c r="AK170" s="87">
        <v>26.0</v>
      </c>
      <c r="AL170" s="87">
        <v>413.0</v>
      </c>
      <c r="AM170" s="87"/>
      <c r="AN170" s="87">
        <v>641.0</v>
      </c>
      <c r="AO170" s="87">
        <v>471.0</v>
      </c>
      <c r="AP170" s="87">
        <v>273.0</v>
      </c>
      <c r="AQ170" s="87">
        <v>10315.0</v>
      </c>
      <c r="AR170" s="87">
        <v>89.0</v>
      </c>
      <c r="AS170" s="87">
        <v>9936.0</v>
      </c>
      <c r="AT170" s="87">
        <v>701.0</v>
      </c>
      <c r="AU170" s="87">
        <v>44.0</v>
      </c>
      <c r="AV170" s="87">
        <v>271.0</v>
      </c>
      <c r="AW170" s="87">
        <v>28.0</v>
      </c>
      <c r="AX170" s="87">
        <v>36.0</v>
      </c>
      <c r="AY170" s="87">
        <v>14.0</v>
      </c>
      <c r="AZ170" s="87"/>
      <c r="BA170" s="87">
        <v>125.0</v>
      </c>
      <c r="BB170" s="87">
        <v>141.0</v>
      </c>
      <c r="BC170" s="87">
        <v>932.0</v>
      </c>
      <c r="BD170" s="87"/>
      <c r="BE170" s="87">
        <v>8829.0</v>
      </c>
      <c r="BF170" s="87"/>
      <c r="BG170" s="87">
        <v>3399.0</v>
      </c>
      <c r="BH170" s="87"/>
      <c r="BI170" s="87">
        <v>69650.0</v>
      </c>
      <c r="BJ170" s="87">
        <v>1221.0</v>
      </c>
      <c r="BK170" s="87">
        <v>8192.0</v>
      </c>
      <c r="BL170" s="87">
        <v>1875.0</v>
      </c>
      <c r="BM170" s="87">
        <v>932.0</v>
      </c>
      <c r="BN170" s="87">
        <v>6.0</v>
      </c>
      <c r="BO170" s="87">
        <v>2.0</v>
      </c>
      <c r="BP170" s="87">
        <v>9725.0</v>
      </c>
      <c r="BQ170" s="87">
        <v>288.0</v>
      </c>
      <c r="BR170" s="87">
        <v>43.0</v>
      </c>
      <c r="BS170" s="87">
        <v>505.0</v>
      </c>
      <c r="BT170" s="87">
        <v>39.0</v>
      </c>
      <c r="BU170" s="87">
        <v>19.0</v>
      </c>
      <c r="BV170" s="87">
        <v>435.0</v>
      </c>
      <c r="BW170" s="87">
        <v>201.0</v>
      </c>
      <c r="BX170" s="87">
        <v>454.0</v>
      </c>
      <c r="BY170" s="87">
        <v>5.0</v>
      </c>
      <c r="BZ170" s="87"/>
      <c r="CA170" s="87">
        <v>95.0</v>
      </c>
      <c r="CB170" s="87">
        <v>53.0</v>
      </c>
      <c r="CC170" s="87"/>
      <c r="CD170" s="87">
        <v>365.0</v>
      </c>
      <c r="CE170" s="87"/>
      <c r="CF170" s="87">
        <v>1.0</v>
      </c>
      <c r="CG170" s="87">
        <v>557.0</v>
      </c>
      <c r="CH170" s="87">
        <v>11669.0</v>
      </c>
      <c r="CI170" s="87">
        <v>2.0</v>
      </c>
      <c r="CJ170" s="87">
        <v>1730.0</v>
      </c>
      <c r="CK170" s="87">
        <v>9012.0</v>
      </c>
      <c r="CL170" s="87">
        <v>247.0</v>
      </c>
      <c r="CM170" s="87">
        <v>4.0</v>
      </c>
      <c r="CN170" s="87">
        <v>644.0</v>
      </c>
      <c r="CO170" s="87">
        <v>291.0</v>
      </c>
      <c r="CP170" s="87"/>
      <c r="CQ170" s="87">
        <v>216.0</v>
      </c>
      <c r="CR170" s="87"/>
      <c r="CS170" s="87">
        <v>84.0</v>
      </c>
      <c r="CT170" s="87">
        <v>1092.0</v>
      </c>
      <c r="CU170" s="87">
        <v>725.0</v>
      </c>
      <c r="CV170" s="87">
        <v>167.0</v>
      </c>
      <c r="CW170" s="87">
        <v>743.0</v>
      </c>
      <c r="CX170" s="87">
        <v>744.0</v>
      </c>
      <c r="CY170" s="87">
        <v>297.0</v>
      </c>
      <c r="CZ170" s="87">
        <v>40.0</v>
      </c>
      <c r="DA170" s="87">
        <v>29.0</v>
      </c>
      <c r="DB170" s="87">
        <v>1598.0</v>
      </c>
      <c r="DC170" s="87">
        <v>565.0</v>
      </c>
      <c r="DD170" s="87">
        <v>1762.0</v>
      </c>
      <c r="DE170" s="87">
        <v>226.0</v>
      </c>
      <c r="DF170" s="87">
        <v>253.0</v>
      </c>
      <c r="DG170" s="87">
        <v>877.0</v>
      </c>
      <c r="DH170" s="87">
        <v>1067.0</v>
      </c>
      <c r="DI170" s="87">
        <v>979.0</v>
      </c>
      <c r="DJ170" s="87">
        <v>23.0</v>
      </c>
      <c r="DK170" s="87">
        <v>406.0</v>
      </c>
      <c r="DL170" s="87">
        <v>493.0</v>
      </c>
      <c r="DM170" s="87">
        <v>142.0</v>
      </c>
      <c r="DN170" s="87"/>
      <c r="DO170" s="87">
        <v>2628.0</v>
      </c>
      <c r="DP170" s="87">
        <v>929.0</v>
      </c>
      <c r="DQ170" s="87">
        <v>842.0</v>
      </c>
      <c r="DR170" s="87">
        <v>1417.0</v>
      </c>
      <c r="DS170" s="87">
        <v>27.0</v>
      </c>
      <c r="DT170" s="87">
        <v>71.0</v>
      </c>
      <c r="DU170" s="87">
        <v>30.0</v>
      </c>
      <c r="DV170" s="87">
        <v>275.0</v>
      </c>
      <c r="DW170" s="87">
        <v>72.0</v>
      </c>
      <c r="DX170" s="87">
        <v>345.0</v>
      </c>
      <c r="DY170" s="87">
        <v>359.0</v>
      </c>
      <c r="DZ170" s="87">
        <v>109.0</v>
      </c>
      <c r="EA170" s="87">
        <v>67.0</v>
      </c>
      <c r="EB170" s="87">
        <v>224.0</v>
      </c>
      <c r="EC170" s="87">
        <v>217.0</v>
      </c>
      <c r="ED170" s="87">
        <v>4401.0</v>
      </c>
      <c r="EE170" s="87">
        <v>215.0</v>
      </c>
      <c r="EF170" s="87">
        <v>17.0</v>
      </c>
      <c r="EG170" s="87">
        <v>745.0</v>
      </c>
      <c r="EH170" s="87">
        <v>12.0</v>
      </c>
      <c r="EI170" s="87">
        <v>14.0</v>
      </c>
      <c r="EJ170" s="87">
        <v>11440.0</v>
      </c>
      <c r="EK170" s="88"/>
      <c r="EL170" s="88"/>
      <c r="EM170" s="88"/>
      <c r="EN170" s="88"/>
      <c r="EO170" s="88"/>
      <c r="EP170" s="88"/>
      <c r="EQ170" s="90"/>
    </row>
    <row r="171" ht="12.0" customHeight="1">
      <c r="A171" s="89">
        <v>1.06191306E8</v>
      </c>
      <c r="B171" s="89" t="s">
        <v>1359</v>
      </c>
      <c r="C171" s="89" t="s">
        <v>865</v>
      </c>
      <c r="D171" s="89" t="s">
        <v>1360</v>
      </c>
      <c r="E171" s="89" t="s">
        <v>1361</v>
      </c>
      <c r="F171" s="89" t="s">
        <v>1030</v>
      </c>
      <c r="G171" s="89" t="s">
        <v>1362</v>
      </c>
      <c r="H171" s="89" t="s">
        <v>435</v>
      </c>
      <c r="I171" s="89" t="s">
        <v>456</v>
      </c>
      <c r="J171" s="89" t="s">
        <v>457</v>
      </c>
      <c r="K171" s="89" t="s">
        <v>777</v>
      </c>
      <c r="L171" s="89" t="s">
        <v>920</v>
      </c>
      <c r="M171" s="89" t="s">
        <v>1275</v>
      </c>
      <c r="N171" s="89" t="s">
        <v>441</v>
      </c>
      <c r="O171" s="87">
        <v>1392.0</v>
      </c>
      <c r="P171" s="87"/>
      <c r="Q171" s="87"/>
      <c r="R171" s="87"/>
      <c r="S171" s="87">
        <v>1200.0</v>
      </c>
      <c r="T171" s="87"/>
      <c r="U171" s="87">
        <v>1751.0</v>
      </c>
      <c r="V171" s="87">
        <v>841.0</v>
      </c>
      <c r="W171" s="87"/>
      <c r="X171" s="87"/>
      <c r="Y171" s="87">
        <v>51.0</v>
      </c>
      <c r="Z171" s="87">
        <v>219.0</v>
      </c>
      <c r="AA171" s="87">
        <v>299.0</v>
      </c>
      <c r="AB171" s="87">
        <v>448.0</v>
      </c>
      <c r="AC171" s="87">
        <v>737.0</v>
      </c>
      <c r="AD171" s="87">
        <v>565.0</v>
      </c>
      <c r="AE171" s="87">
        <v>189.0</v>
      </c>
      <c r="AF171" s="87">
        <v>79.0</v>
      </c>
      <c r="AG171" s="87">
        <v>5.0</v>
      </c>
      <c r="AH171" s="87">
        <v>1706.0</v>
      </c>
      <c r="AI171" s="87">
        <v>775.0</v>
      </c>
      <c r="AJ171" s="87">
        <v>111.0</v>
      </c>
      <c r="AK171" s="87"/>
      <c r="AL171" s="87">
        <v>137.0</v>
      </c>
      <c r="AM171" s="87">
        <v>17.0</v>
      </c>
      <c r="AN171" s="87">
        <v>302.0</v>
      </c>
      <c r="AO171" s="87">
        <v>146.0</v>
      </c>
      <c r="AP171" s="87">
        <v>95.0</v>
      </c>
      <c r="AQ171" s="87">
        <v>1866.0</v>
      </c>
      <c r="AR171" s="87">
        <v>29.0</v>
      </c>
      <c r="AS171" s="87">
        <v>183.0</v>
      </c>
      <c r="AT171" s="87">
        <v>325.0</v>
      </c>
      <c r="AU171" s="87">
        <v>1627.0</v>
      </c>
      <c r="AV171" s="87">
        <v>12.0</v>
      </c>
      <c r="AW171" s="87"/>
      <c r="AX171" s="87">
        <v>427.0</v>
      </c>
      <c r="AY171" s="87">
        <v>1.0</v>
      </c>
      <c r="AZ171" s="87"/>
      <c r="BA171" s="87">
        <v>1.0</v>
      </c>
      <c r="BB171" s="87">
        <v>16.0</v>
      </c>
      <c r="BC171" s="87"/>
      <c r="BD171" s="87"/>
      <c r="BE171" s="87"/>
      <c r="BF171" s="87">
        <v>66.0</v>
      </c>
      <c r="BG171" s="87">
        <v>2526.0</v>
      </c>
      <c r="BH171" s="87"/>
      <c r="BI171" s="87">
        <v>37465.0</v>
      </c>
      <c r="BJ171" s="87">
        <v>4.0</v>
      </c>
      <c r="BK171" s="87">
        <v>66.0</v>
      </c>
      <c r="BL171" s="87">
        <v>2520.0</v>
      </c>
      <c r="BM171" s="87"/>
      <c r="BN171" s="87"/>
      <c r="BO171" s="87">
        <v>2.0</v>
      </c>
      <c r="BP171" s="87">
        <v>1561.0</v>
      </c>
      <c r="BQ171" s="87">
        <v>350.0</v>
      </c>
      <c r="BR171" s="87">
        <v>305.0</v>
      </c>
      <c r="BS171" s="87">
        <v>162.0</v>
      </c>
      <c r="BT171" s="87">
        <v>10.0</v>
      </c>
      <c r="BU171" s="87">
        <v>1.0</v>
      </c>
      <c r="BV171" s="87">
        <v>40.0</v>
      </c>
      <c r="BW171" s="87">
        <v>28.0</v>
      </c>
      <c r="BX171" s="87">
        <v>53.0</v>
      </c>
      <c r="BY171" s="87">
        <v>4.0</v>
      </c>
      <c r="BZ171" s="87"/>
      <c r="CA171" s="87">
        <v>8.0</v>
      </c>
      <c r="CB171" s="87">
        <v>1.0</v>
      </c>
      <c r="CC171" s="87"/>
      <c r="CD171" s="87">
        <v>69.0</v>
      </c>
      <c r="CE171" s="87"/>
      <c r="CF171" s="87"/>
      <c r="CG171" s="87">
        <v>74.0</v>
      </c>
      <c r="CH171" s="87">
        <v>2518.0</v>
      </c>
      <c r="CI171" s="87"/>
      <c r="CJ171" s="87">
        <v>343.0</v>
      </c>
      <c r="CK171" s="87">
        <v>1803.0</v>
      </c>
      <c r="CL171" s="87">
        <v>128.0</v>
      </c>
      <c r="CM171" s="87">
        <v>10.0</v>
      </c>
      <c r="CN171" s="87">
        <v>268.0</v>
      </c>
      <c r="CO171" s="87">
        <v>36.0</v>
      </c>
      <c r="CP171" s="87"/>
      <c r="CQ171" s="87">
        <v>4.0</v>
      </c>
      <c r="CR171" s="87"/>
      <c r="CS171" s="87"/>
      <c r="CT171" s="87">
        <v>71.0</v>
      </c>
      <c r="CU171" s="87">
        <v>19.0</v>
      </c>
      <c r="CV171" s="87">
        <v>13.0</v>
      </c>
      <c r="CW171" s="87">
        <v>228.0</v>
      </c>
      <c r="CX171" s="87">
        <v>23.0</v>
      </c>
      <c r="CY171" s="87">
        <v>385.0</v>
      </c>
      <c r="CZ171" s="87">
        <v>3.0</v>
      </c>
      <c r="DA171" s="87">
        <v>5.0</v>
      </c>
      <c r="DB171" s="87">
        <v>671.0</v>
      </c>
      <c r="DC171" s="87">
        <v>58.0</v>
      </c>
      <c r="DD171" s="87">
        <v>39.0</v>
      </c>
      <c r="DE171" s="87">
        <v>27.0</v>
      </c>
      <c r="DF171" s="87">
        <v>174.0</v>
      </c>
      <c r="DG171" s="87">
        <v>85.0</v>
      </c>
      <c r="DH171" s="87"/>
      <c r="DI171" s="87"/>
      <c r="DJ171" s="87">
        <v>6.0</v>
      </c>
      <c r="DK171" s="87">
        <v>53.0</v>
      </c>
      <c r="DL171" s="87">
        <v>461.0</v>
      </c>
      <c r="DM171" s="87">
        <v>266.0</v>
      </c>
      <c r="DN171" s="87">
        <v>5.0</v>
      </c>
      <c r="DO171" s="87">
        <v>1795.0</v>
      </c>
      <c r="DP171" s="87"/>
      <c r="DQ171" s="87">
        <v>68.0</v>
      </c>
      <c r="DR171" s="87">
        <v>24.0</v>
      </c>
      <c r="DS171" s="87">
        <v>1.0</v>
      </c>
      <c r="DT171" s="87"/>
      <c r="DU171" s="87"/>
      <c r="DV171" s="87">
        <v>16.0</v>
      </c>
      <c r="DW171" s="87"/>
      <c r="DX171" s="87">
        <v>46.0</v>
      </c>
      <c r="DY171" s="87">
        <v>304.0</v>
      </c>
      <c r="DZ171" s="87">
        <v>27.0</v>
      </c>
      <c r="EA171" s="87">
        <v>6.0</v>
      </c>
      <c r="EB171" s="87">
        <v>26.0</v>
      </c>
      <c r="EC171" s="87">
        <v>26.0</v>
      </c>
      <c r="ED171" s="87">
        <v>237.0</v>
      </c>
      <c r="EE171" s="87">
        <v>16.0</v>
      </c>
      <c r="EF171" s="87"/>
      <c r="EG171" s="87">
        <v>109.0</v>
      </c>
      <c r="EH171" s="87"/>
      <c r="EI171" s="87">
        <v>4.0</v>
      </c>
      <c r="EJ171" s="87">
        <v>2479.0</v>
      </c>
      <c r="EK171" s="88"/>
      <c r="EL171" s="88"/>
      <c r="EM171" s="88"/>
      <c r="EN171" s="88"/>
      <c r="EO171" s="88"/>
      <c r="EP171" s="88"/>
      <c r="EQ171" s="90"/>
    </row>
    <row r="172" ht="12.0" customHeight="1">
      <c r="A172" s="89">
        <v>1.0619145E8</v>
      </c>
      <c r="B172" s="89" t="s">
        <v>1363</v>
      </c>
      <c r="C172" s="89" t="s">
        <v>865</v>
      </c>
      <c r="D172" s="89" t="s">
        <v>1364</v>
      </c>
      <c r="E172" s="89" t="s">
        <v>1365</v>
      </c>
      <c r="F172" s="89" t="s">
        <v>1191</v>
      </c>
      <c r="G172" s="89" t="s">
        <v>1366</v>
      </c>
      <c r="H172" s="89" t="s">
        <v>447</v>
      </c>
      <c r="I172" s="89" t="s">
        <v>456</v>
      </c>
      <c r="J172" s="89" t="s">
        <v>469</v>
      </c>
      <c r="K172" s="89" t="s">
        <v>1041</v>
      </c>
      <c r="L172" s="89" t="s">
        <v>1042</v>
      </c>
      <c r="M172" s="89" t="s">
        <v>1043</v>
      </c>
      <c r="N172" s="89" t="s">
        <v>441</v>
      </c>
      <c r="O172" s="87">
        <v>11020.0</v>
      </c>
      <c r="P172" s="87"/>
      <c r="Q172" s="87"/>
      <c r="R172" s="87"/>
      <c r="S172" s="87"/>
      <c r="T172" s="87"/>
      <c r="U172" s="87">
        <v>4721.0</v>
      </c>
      <c r="V172" s="87">
        <v>6299.0</v>
      </c>
      <c r="W172" s="87"/>
      <c r="X172" s="87">
        <v>1864.0</v>
      </c>
      <c r="Y172" s="87">
        <v>36.0</v>
      </c>
      <c r="Z172" s="87">
        <v>641.0</v>
      </c>
      <c r="AA172" s="87">
        <v>1595.0</v>
      </c>
      <c r="AB172" s="87">
        <v>543.0</v>
      </c>
      <c r="AC172" s="87">
        <v>815.0</v>
      </c>
      <c r="AD172" s="87">
        <v>1390.0</v>
      </c>
      <c r="AE172" s="87">
        <v>1783.0</v>
      </c>
      <c r="AF172" s="87">
        <v>2351.0</v>
      </c>
      <c r="AG172" s="87">
        <v>2.0</v>
      </c>
      <c r="AH172" s="87">
        <v>2710.0</v>
      </c>
      <c r="AI172" s="87">
        <v>8010.0</v>
      </c>
      <c r="AJ172" s="87">
        <v>300.0</v>
      </c>
      <c r="AK172" s="87">
        <v>38.0</v>
      </c>
      <c r="AL172" s="87">
        <v>1126.0</v>
      </c>
      <c r="AM172" s="87">
        <v>68.0</v>
      </c>
      <c r="AN172" s="87">
        <v>647.0</v>
      </c>
      <c r="AO172" s="87">
        <v>6208.0</v>
      </c>
      <c r="AP172" s="87">
        <v>162.0</v>
      </c>
      <c r="AQ172" s="87">
        <v>2717.0</v>
      </c>
      <c r="AR172" s="87">
        <v>54.0</v>
      </c>
      <c r="AS172" s="87">
        <v>7123.0</v>
      </c>
      <c r="AT172" s="87">
        <v>232.0</v>
      </c>
      <c r="AU172" s="87">
        <v>1711.0</v>
      </c>
      <c r="AV172" s="87">
        <v>36.0</v>
      </c>
      <c r="AW172" s="87">
        <v>73.0</v>
      </c>
      <c r="AX172" s="87"/>
      <c r="AY172" s="87">
        <v>1.0</v>
      </c>
      <c r="AZ172" s="87"/>
      <c r="BA172" s="87"/>
      <c r="BB172" s="87">
        <v>12.0</v>
      </c>
      <c r="BC172" s="87">
        <v>1832.0</v>
      </c>
      <c r="BD172" s="87"/>
      <c r="BE172" s="87">
        <v>4400.0</v>
      </c>
      <c r="BF172" s="87">
        <v>1469.0</v>
      </c>
      <c r="BG172" s="87">
        <v>5151.0</v>
      </c>
      <c r="BH172" s="87"/>
      <c r="BI172" s="87">
        <v>41002.0</v>
      </c>
      <c r="BJ172" s="87">
        <v>4273.0</v>
      </c>
      <c r="BK172" s="87">
        <v>3662.0</v>
      </c>
      <c r="BL172" s="87">
        <v>1253.0</v>
      </c>
      <c r="BM172" s="87">
        <v>1832.0</v>
      </c>
      <c r="BN172" s="87"/>
      <c r="BO172" s="87"/>
      <c r="BP172" s="87">
        <v>6636.0</v>
      </c>
      <c r="BQ172" s="87">
        <v>299.0</v>
      </c>
      <c r="BR172" s="87">
        <v>20.0</v>
      </c>
      <c r="BS172" s="87">
        <v>666.0</v>
      </c>
      <c r="BT172" s="87">
        <v>1.0</v>
      </c>
      <c r="BU172" s="87"/>
      <c r="BV172" s="87">
        <v>79.0</v>
      </c>
      <c r="BW172" s="87">
        <v>288.0</v>
      </c>
      <c r="BX172" s="87">
        <v>2750.0</v>
      </c>
      <c r="BY172" s="87"/>
      <c r="BZ172" s="87"/>
      <c r="CA172" s="87">
        <v>255.0</v>
      </c>
      <c r="CB172" s="87">
        <v>14.0</v>
      </c>
      <c r="CC172" s="87"/>
      <c r="CD172" s="87">
        <v>1.0</v>
      </c>
      <c r="CE172" s="87">
        <v>11.0</v>
      </c>
      <c r="CF172" s="87"/>
      <c r="CG172" s="87">
        <v>1306.0</v>
      </c>
      <c r="CH172" s="87">
        <v>9714.0</v>
      </c>
      <c r="CI172" s="87"/>
      <c r="CJ172" s="87">
        <v>4861.0</v>
      </c>
      <c r="CK172" s="87">
        <v>787.0</v>
      </c>
      <c r="CL172" s="87">
        <v>5289.0</v>
      </c>
      <c r="CM172" s="87">
        <v>5.0</v>
      </c>
      <c r="CN172" s="87"/>
      <c r="CO172" s="87">
        <v>2.0</v>
      </c>
      <c r="CP172" s="87"/>
      <c r="CQ172" s="87">
        <v>70.0</v>
      </c>
      <c r="CR172" s="87">
        <v>6.0</v>
      </c>
      <c r="CS172" s="87"/>
      <c r="CT172" s="87">
        <v>1838.0</v>
      </c>
      <c r="CU172" s="87">
        <v>334.0</v>
      </c>
      <c r="CV172" s="87">
        <v>76.0</v>
      </c>
      <c r="CW172" s="87">
        <v>248.0</v>
      </c>
      <c r="CX172" s="87">
        <v>87.0</v>
      </c>
      <c r="CY172" s="87">
        <v>307.0</v>
      </c>
      <c r="CZ172" s="87">
        <v>11.0</v>
      </c>
      <c r="DA172" s="87">
        <v>4.0</v>
      </c>
      <c r="DB172" s="87">
        <v>1185.0</v>
      </c>
      <c r="DC172" s="87">
        <v>503.0</v>
      </c>
      <c r="DD172" s="87">
        <v>965.0</v>
      </c>
      <c r="DE172" s="87">
        <v>67.0</v>
      </c>
      <c r="DF172" s="87">
        <v>423.0</v>
      </c>
      <c r="DG172" s="87">
        <v>356.0</v>
      </c>
      <c r="DH172" s="87">
        <v>1922.0</v>
      </c>
      <c r="DI172" s="87">
        <v>1862.0</v>
      </c>
      <c r="DJ172" s="87">
        <v>2.0</v>
      </c>
      <c r="DK172" s="87">
        <v>131.0</v>
      </c>
      <c r="DL172" s="87">
        <v>565.0</v>
      </c>
      <c r="DM172" s="87">
        <v>134.0</v>
      </c>
      <c r="DN172" s="87"/>
      <c r="DO172" s="87">
        <v>1089.0</v>
      </c>
      <c r="DP172" s="87">
        <v>1808.0</v>
      </c>
      <c r="DQ172" s="87">
        <v>658.0</v>
      </c>
      <c r="DR172" s="87">
        <v>873.0</v>
      </c>
      <c r="DS172" s="87">
        <v>4.0</v>
      </c>
      <c r="DT172" s="87">
        <v>4.0</v>
      </c>
      <c r="DU172" s="87"/>
      <c r="DV172" s="87">
        <v>423.0</v>
      </c>
      <c r="DW172" s="87">
        <v>14.0</v>
      </c>
      <c r="DX172" s="87">
        <v>175.0</v>
      </c>
      <c r="DY172" s="87">
        <v>575.0</v>
      </c>
      <c r="DZ172" s="87">
        <v>336.0</v>
      </c>
      <c r="EA172" s="87">
        <v>36.0</v>
      </c>
      <c r="EB172" s="87">
        <v>112.0</v>
      </c>
      <c r="EC172" s="87">
        <v>241.0</v>
      </c>
      <c r="ED172" s="87">
        <v>4299.0</v>
      </c>
      <c r="EE172" s="87">
        <v>373.0</v>
      </c>
      <c r="EF172" s="87">
        <v>3.0</v>
      </c>
      <c r="EG172" s="87">
        <v>48.0</v>
      </c>
      <c r="EH172" s="87"/>
      <c r="EI172" s="87">
        <v>33.0</v>
      </c>
      <c r="EJ172" s="87">
        <v>10936.0</v>
      </c>
      <c r="EK172" s="88"/>
      <c r="EL172" s="88"/>
      <c r="EM172" s="88"/>
      <c r="EN172" s="88"/>
      <c r="EO172" s="88"/>
      <c r="EP172" s="88"/>
      <c r="EQ172" s="90"/>
    </row>
    <row r="173" ht="12.0" customHeight="1">
      <c r="A173" s="89">
        <v>1.0619401E8</v>
      </c>
      <c r="B173" s="89" t="s">
        <v>1367</v>
      </c>
      <c r="C173" s="89" t="s">
        <v>865</v>
      </c>
      <c r="D173" s="89" t="s">
        <v>1368</v>
      </c>
      <c r="E173" s="89" t="s">
        <v>1369</v>
      </c>
      <c r="F173" s="89" t="s">
        <v>945</v>
      </c>
      <c r="G173" s="89" t="s">
        <v>1370</v>
      </c>
      <c r="H173" s="89" t="s">
        <v>447</v>
      </c>
      <c r="I173" s="89" t="s">
        <v>456</v>
      </c>
      <c r="J173" s="89" t="s">
        <v>499</v>
      </c>
      <c r="K173" s="89" t="s">
        <v>487</v>
      </c>
      <c r="L173" s="89" t="s">
        <v>947</v>
      </c>
      <c r="M173" s="89" t="s">
        <v>948</v>
      </c>
      <c r="N173" s="89" t="s">
        <v>441</v>
      </c>
      <c r="O173" s="87"/>
      <c r="P173" s="87"/>
      <c r="Q173" s="87"/>
      <c r="R173" s="87">
        <v>896.0</v>
      </c>
      <c r="S173" s="87"/>
      <c r="T173" s="87"/>
      <c r="U173" s="87">
        <v>630.0</v>
      </c>
      <c r="V173" s="87">
        <v>266.0</v>
      </c>
      <c r="W173" s="87"/>
      <c r="X173" s="87"/>
      <c r="Y173" s="87">
        <v>15.0</v>
      </c>
      <c r="Z173" s="87">
        <v>192.0</v>
      </c>
      <c r="AA173" s="87">
        <v>347.0</v>
      </c>
      <c r="AB173" s="87">
        <v>176.0</v>
      </c>
      <c r="AC173" s="87">
        <v>125.0</v>
      </c>
      <c r="AD173" s="87">
        <v>39.0</v>
      </c>
      <c r="AE173" s="87"/>
      <c r="AF173" s="87"/>
      <c r="AG173" s="87">
        <v>2.0</v>
      </c>
      <c r="AH173" s="87">
        <v>578.0</v>
      </c>
      <c r="AI173" s="87">
        <v>318.0</v>
      </c>
      <c r="AJ173" s="87"/>
      <c r="AK173" s="87"/>
      <c r="AL173" s="87"/>
      <c r="AM173" s="87"/>
      <c r="AN173" s="87">
        <v>102.0</v>
      </c>
      <c r="AO173" s="87">
        <v>751.0</v>
      </c>
      <c r="AP173" s="87">
        <v>14.0</v>
      </c>
      <c r="AQ173" s="87">
        <v>29.0</v>
      </c>
      <c r="AR173" s="87"/>
      <c r="AS173" s="87">
        <v>896.0</v>
      </c>
      <c r="AT173" s="87"/>
      <c r="AU173" s="87"/>
      <c r="AV173" s="87"/>
      <c r="AW173" s="87"/>
      <c r="AX173" s="87"/>
      <c r="AY173" s="87"/>
      <c r="AZ173" s="87"/>
      <c r="BA173" s="87"/>
      <c r="BB173" s="87"/>
      <c r="BC173" s="87"/>
      <c r="BD173" s="87"/>
      <c r="BE173" s="87"/>
      <c r="BF173" s="87"/>
      <c r="BG173" s="87">
        <v>896.0</v>
      </c>
      <c r="BH173" s="87"/>
      <c r="BI173" s="87">
        <v>4706.0</v>
      </c>
      <c r="BJ173" s="87"/>
      <c r="BK173" s="87"/>
      <c r="BL173" s="87">
        <v>896.0</v>
      </c>
      <c r="BM173" s="87"/>
      <c r="BN173" s="87"/>
      <c r="BO173" s="87"/>
      <c r="BP173" s="87">
        <v>440.0</v>
      </c>
      <c r="BQ173" s="87">
        <v>3.0</v>
      </c>
      <c r="BR173" s="87"/>
      <c r="BS173" s="87"/>
      <c r="BT173" s="87"/>
      <c r="BU173" s="87"/>
      <c r="BV173" s="87">
        <v>308.0</v>
      </c>
      <c r="BW173" s="87">
        <v>1.0</v>
      </c>
      <c r="BX173" s="87"/>
      <c r="BY173" s="87"/>
      <c r="BZ173" s="87"/>
      <c r="CA173" s="87"/>
      <c r="CB173" s="87"/>
      <c r="CC173" s="87"/>
      <c r="CD173" s="87">
        <v>144.0</v>
      </c>
      <c r="CE173" s="87"/>
      <c r="CF173" s="87"/>
      <c r="CG173" s="87">
        <v>10.0</v>
      </c>
      <c r="CH173" s="87">
        <v>886.0</v>
      </c>
      <c r="CI173" s="87"/>
      <c r="CJ173" s="87"/>
      <c r="CK173" s="87"/>
      <c r="CL173" s="87">
        <v>1.0</v>
      </c>
      <c r="CM173" s="87"/>
      <c r="CN173" s="87"/>
      <c r="CO173" s="87">
        <v>893.0</v>
      </c>
      <c r="CP173" s="87"/>
      <c r="CQ173" s="87">
        <v>2.0</v>
      </c>
      <c r="CR173" s="87"/>
      <c r="CS173" s="87"/>
      <c r="CT173" s="87"/>
      <c r="CU173" s="87"/>
      <c r="CV173" s="87"/>
      <c r="CW173" s="87"/>
      <c r="CX173" s="87">
        <v>896.0</v>
      </c>
      <c r="CY173" s="87"/>
      <c r="CZ173" s="87"/>
      <c r="DA173" s="87"/>
      <c r="DB173" s="87"/>
      <c r="DC173" s="87"/>
      <c r="DD173" s="87"/>
      <c r="DE173" s="87"/>
      <c r="DF173" s="87"/>
      <c r="DG173" s="87"/>
      <c r="DH173" s="87"/>
      <c r="DI173" s="87"/>
      <c r="DJ173" s="87"/>
      <c r="DK173" s="87"/>
      <c r="DL173" s="87"/>
      <c r="DM173" s="87"/>
      <c r="DN173" s="87"/>
      <c r="DO173" s="87">
        <v>895.0</v>
      </c>
      <c r="DP173" s="87"/>
      <c r="DQ173" s="87"/>
      <c r="DR173" s="87"/>
      <c r="DS173" s="87"/>
      <c r="DT173" s="87"/>
      <c r="DU173" s="87"/>
      <c r="DV173" s="87"/>
      <c r="DW173" s="87"/>
      <c r="DX173" s="87"/>
      <c r="DY173" s="87"/>
      <c r="DZ173" s="87"/>
      <c r="EA173" s="87"/>
      <c r="EB173" s="87"/>
      <c r="EC173" s="87"/>
      <c r="ED173" s="87">
        <v>1.0</v>
      </c>
      <c r="EE173" s="87"/>
      <c r="EF173" s="87"/>
      <c r="EG173" s="87">
        <v>460.0</v>
      </c>
      <c r="EH173" s="87"/>
      <c r="EI173" s="87"/>
      <c r="EJ173" s="87">
        <v>436.0</v>
      </c>
      <c r="EK173" s="88"/>
      <c r="EL173" s="88"/>
      <c r="EM173" s="88"/>
      <c r="EN173" s="88"/>
      <c r="EO173" s="88"/>
      <c r="EP173" s="88"/>
      <c r="EQ173" s="90"/>
    </row>
    <row r="174" ht="12.0" customHeight="1">
      <c r="A174" s="89">
        <v>1.06194219E8</v>
      </c>
      <c r="B174" s="89" t="s">
        <v>1371</v>
      </c>
      <c r="C174" s="89" t="s">
        <v>865</v>
      </c>
      <c r="D174" s="89" t="s">
        <v>1372</v>
      </c>
      <c r="E174" s="89" t="s">
        <v>1373</v>
      </c>
      <c r="F174" s="89" t="s">
        <v>865</v>
      </c>
      <c r="G174" s="89" t="s">
        <v>1318</v>
      </c>
      <c r="H174" s="89" t="s">
        <v>447</v>
      </c>
      <c r="I174" s="89" t="s">
        <v>456</v>
      </c>
      <c r="J174" s="89" t="s">
        <v>448</v>
      </c>
      <c r="K174" s="89" t="s">
        <v>905</v>
      </c>
      <c r="L174" s="89" t="s">
        <v>906</v>
      </c>
      <c r="M174" s="89" t="s">
        <v>941</v>
      </c>
      <c r="N174" s="89" t="s">
        <v>441</v>
      </c>
      <c r="O174" s="87">
        <v>10782.0</v>
      </c>
      <c r="P174" s="87"/>
      <c r="Q174" s="87"/>
      <c r="R174" s="87"/>
      <c r="S174" s="87">
        <v>422.0</v>
      </c>
      <c r="T174" s="87"/>
      <c r="U174" s="87">
        <v>6123.0</v>
      </c>
      <c r="V174" s="87">
        <v>5075.0</v>
      </c>
      <c r="W174" s="87">
        <v>6.0</v>
      </c>
      <c r="X174" s="87"/>
      <c r="Y174" s="87">
        <v>51.0</v>
      </c>
      <c r="Z174" s="87">
        <v>525.0</v>
      </c>
      <c r="AA174" s="87">
        <v>847.0</v>
      </c>
      <c r="AB174" s="87">
        <v>1141.0</v>
      </c>
      <c r="AC174" s="87">
        <v>2050.0</v>
      </c>
      <c r="AD174" s="87">
        <v>3087.0</v>
      </c>
      <c r="AE174" s="87">
        <v>2409.0</v>
      </c>
      <c r="AF174" s="87">
        <v>1094.0</v>
      </c>
      <c r="AG174" s="87"/>
      <c r="AH174" s="87">
        <v>3357.0</v>
      </c>
      <c r="AI174" s="87">
        <v>7552.0</v>
      </c>
      <c r="AJ174" s="87">
        <v>295.0</v>
      </c>
      <c r="AK174" s="87"/>
      <c r="AL174" s="87">
        <v>989.0</v>
      </c>
      <c r="AM174" s="87">
        <v>48.0</v>
      </c>
      <c r="AN174" s="87">
        <v>627.0</v>
      </c>
      <c r="AO174" s="87">
        <v>4807.0</v>
      </c>
      <c r="AP174" s="87">
        <v>229.0</v>
      </c>
      <c r="AQ174" s="87">
        <v>3717.0</v>
      </c>
      <c r="AR174" s="87">
        <v>787.0</v>
      </c>
      <c r="AS174" s="87">
        <v>6342.0</v>
      </c>
      <c r="AT174" s="87">
        <v>1209.0</v>
      </c>
      <c r="AU174" s="87">
        <v>3452.0</v>
      </c>
      <c r="AV174" s="87">
        <v>16.0</v>
      </c>
      <c r="AW174" s="87">
        <v>5.0</v>
      </c>
      <c r="AX174" s="87">
        <v>175.0</v>
      </c>
      <c r="AY174" s="87">
        <v>5.0</v>
      </c>
      <c r="AZ174" s="87"/>
      <c r="BA174" s="87"/>
      <c r="BB174" s="87"/>
      <c r="BC174" s="87"/>
      <c r="BD174" s="87"/>
      <c r="BE174" s="87"/>
      <c r="BF174" s="87">
        <v>1246.0</v>
      </c>
      <c r="BG174" s="87">
        <v>9958.0</v>
      </c>
      <c r="BH174" s="87"/>
      <c r="BI174" s="87">
        <v>87545.0</v>
      </c>
      <c r="BJ174" s="87">
        <v>439.0</v>
      </c>
      <c r="BK174" s="87">
        <v>5327.0</v>
      </c>
      <c r="BL174" s="87">
        <v>5437.0</v>
      </c>
      <c r="BM174" s="87"/>
      <c r="BN174" s="87"/>
      <c r="BO174" s="87">
        <v>1.0</v>
      </c>
      <c r="BP174" s="87">
        <v>6021.0</v>
      </c>
      <c r="BQ174" s="87">
        <v>501.0</v>
      </c>
      <c r="BR174" s="87">
        <v>526.0</v>
      </c>
      <c r="BS174" s="87">
        <v>584.0</v>
      </c>
      <c r="BT174" s="87">
        <v>8.0</v>
      </c>
      <c r="BU174" s="87"/>
      <c r="BV174" s="87">
        <v>50.0</v>
      </c>
      <c r="BW174" s="87">
        <v>399.0</v>
      </c>
      <c r="BX174" s="87">
        <v>3005.0</v>
      </c>
      <c r="BY174" s="87"/>
      <c r="BZ174" s="87">
        <v>13.0</v>
      </c>
      <c r="CA174" s="87">
        <v>94.0</v>
      </c>
      <c r="CB174" s="87"/>
      <c r="CC174" s="87">
        <v>1.0</v>
      </c>
      <c r="CD174" s="87">
        <v>2.0</v>
      </c>
      <c r="CE174" s="87"/>
      <c r="CF174" s="87"/>
      <c r="CG174" s="87">
        <v>348.0</v>
      </c>
      <c r="CH174" s="87">
        <v>10854.0</v>
      </c>
      <c r="CI174" s="87">
        <v>2.0</v>
      </c>
      <c r="CJ174" s="87">
        <v>5217.0</v>
      </c>
      <c r="CK174" s="87">
        <v>1110.0</v>
      </c>
      <c r="CL174" s="87">
        <v>2909.0</v>
      </c>
      <c r="CM174" s="87">
        <v>59.0</v>
      </c>
      <c r="CN174" s="87"/>
      <c r="CO174" s="87">
        <v>44.0</v>
      </c>
      <c r="CP174" s="87"/>
      <c r="CQ174" s="87">
        <v>12.0</v>
      </c>
      <c r="CR174" s="87">
        <v>1853.0</v>
      </c>
      <c r="CS174" s="87"/>
      <c r="CT174" s="87">
        <v>310.0</v>
      </c>
      <c r="CU174" s="87">
        <v>2161.0</v>
      </c>
      <c r="CV174" s="87">
        <v>57.0</v>
      </c>
      <c r="CW174" s="87">
        <v>387.0</v>
      </c>
      <c r="CX174" s="87">
        <v>35.0</v>
      </c>
      <c r="CY174" s="87">
        <v>539.0</v>
      </c>
      <c r="CZ174" s="87">
        <v>5.0</v>
      </c>
      <c r="DA174" s="87">
        <v>9.0</v>
      </c>
      <c r="DB174" s="87">
        <v>2087.0</v>
      </c>
      <c r="DC174" s="87">
        <v>293.0</v>
      </c>
      <c r="DD174" s="87">
        <v>1361.0</v>
      </c>
      <c r="DE174" s="87">
        <v>53.0</v>
      </c>
      <c r="DF174" s="87">
        <v>904.0</v>
      </c>
      <c r="DG174" s="87">
        <v>551.0</v>
      </c>
      <c r="DH174" s="87"/>
      <c r="DI174" s="87"/>
      <c r="DJ174" s="87">
        <v>133.0</v>
      </c>
      <c r="DK174" s="87">
        <v>129.0</v>
      </c>
      <c r="DL174" s="87">
        <v>1811.0</v>
      </c>
      <c r="DM174" s="87">
        <v>373.0</v>
      </c>
      <c r="DN174" s="87">
        <v>6.0</v>
      </c>
      <c r="DO174" s="87">
        <v>985.0</v>
      </c>
      <c r="DP174" s="87">
        <v>1.0</v>
      </c>
      <c r="DQ174" s="87">
        <v>2168.0</v>
      </c>
      <c r="DR174" s="87">
        <v>2084.0</v>
      </c>
      <c r="DS174" s="87">
        <v>42.0</v>
      </c>
      <c r="DT174" s="87">
        <v>131.0</v>
      </c>
      <c r="DU174" s="87">
        <v>7.0</v>
      </c>
      <c r="DV174" s="87">
        <v>321.0</v>
      </c>
      <c r="DW174" s="87">
        <v>107.0</v>
      </c>
      <c r="DX174" s="87">
        <v>264.0</v>
      </c>
      <c r="DY174" s="87">
        <v>1373.0</v>
      </c>
      <c r="DZ174" s="87">
        <v>622.0</v>
      </c>
      <c r="EA174" s="87">
        <v>160.0</v>
      </c>
      <c r="EB174" s="87">
        <v>450.0</v>
      </c>
      <c r="EC174" s="87">
        <v>936.0</v>
      </c>
      <c r="ED174" s="87">
        <v>1448.0</v>
      </c>
      <c r="EE174" s="87">
        <v>105.0</v>
      </c>
      <c r="EF174" s="87">
        <v>5.0</v>
      </c>
      <c r="EG174" s="87">
        <v>1.0</v>
      </c>
      <c r="EH174" s="87">
        <v>3.0</v>
      </c>
      <c r="EI174" s="87">
        <v>390.0</v>
      </c>
      <c r="EJ174" s="87">
        <v>10805.0</v>
      </c>
      <c r="EK174" s="88"/>
      <c r="EL174" s="88"/>
      <c r="EM174" s="88"/>
      <c r="EN174" s="88"/>
      <c r="EO174" s="88"/>
      <c r="EP174" s="88"/>
      <c r="EQ174" s="90"/>
    </row>
    <row r="175" ht="12.0" customHeight="1">
      <c r="A175" s="89">
        <v>1.06194967E8</v>
      </c>
      <c r="B175" s="89" t="s">
        <v>1374</v>
      </c>
      <c r="C175" s="89" t="s">
        <v>865</v>
      </c>
      <c r="D175" s="89" t="s">
        <v>1375</v>
      </c>
      <c r="E175" s="89" t="s">
        <v>1376</v>
      </c>
      <c r="F175" s="89" t="s">
        <v>1018</v>
      </c>
      <c r="G175" s="89" t="s">
        <v>1019</v>
      </c>
      <c r="H175" s="89" t="s">
        <v>503</v>
      </c>
      <c r="I175" s="89" t="s">
        <v>456</v>
      </c>
      <c r="J175" s="89" t="s">
        <v>499</v>
      </c>
      <c r="K175" s="89" t="s">
        <v>763</v>
      </c>
      <c r="L175" s="89" t="s">
        <v>997</v>
      </c>
      <c r="M175" s="89" t="s">
        <v>1148</v>
      </c>
      <c r="N175" s="89" t="s">
        <v>441</v>
      </c>
      <c r="O175" s="87"/>
      <c r="P175" s="87"/>
      <c r="Q175" s="87">
        <v>37.0</v>
      </c>
      <c r="R175" s="87"/>
      <c r="S175" s="87"/>
      <c r="T175" s="87"/>
      <c r="U175" s="87">
        <v>3.0</v>
      </c>
      <c r="V175" s="87">
        <v>34.0</v>
      </c>
      <c r="W175" s="87"/>
      <c r="X175" s="87"/>
      <c r="Y175" s="87">
        <v>37.0</v>
      </c>
      <c r="Z175" s="87"/>
      <c r="AA175" s="87"/>
      <c r="AB175" s="87"/>
      <c r="AC175" s="87"/>
      <c r="AD175" s="87"/>
      <c r="AE175" s="87"/>
      <c r="AF175" s="87"/>
      <c r="AG175" s="87"/>
      <c r="AH175" s="87">
        <v>16.0</v>
      </c>
      <c r="AI175" s="87">
        <v>21.0</v>
      </c>
      <c r="AJ175" s="87"/>
      <c r="AK175" s="87"/>
      <c r="AL175" s="87"/>
      <c r="AM175" s="87"/>
      <c r="AN175" s="87"/>
      <c r="AO175" s="87">
        <v>13.0</v>
      </c>
      <c r="AP175" s="87">
        <v>24.0</v>
      </c>
      <c r="AQ175" s="87"/>
      <c r="AR175" s="87"/>
      <c r="AS175" s="87">
        <v>17.0</v>
      </c>
      <c r="AT175" s="87">
        <v>1.0</v>
      </c>
      <c r="AU175" s="87">
        <v>11.0</v>
      </c>
      <c r="AV175" s="87"/>
      <c r="AW175" s="87">
        <v>3.0</v>
      </c>
      <c r="AX175" s="87"/>
      <c r="AY175" s="87"/>
      <c r="AZ175" s="87"/>
      <c r="BA175" s="87">
        <v>5.0</v>
      </c>
      <c r="BB175" s="87"/>
      <c r="BC175" s="87"/>
      <c r="BD175" s="87"/>
      <c r="BE175" s="87"/>
      <c r="BF175" s="87">
        <v>1.0</v>
      </c>
      <c r="BG175" s="87">
        <v>36.0</v>
      </c>
      <c r="BH175" s="87"/>
      <c r="BI175" s="87">
        <v>3164.0</v>
      </c>
      <c r="BJ175" s="87"/>
      <c r="BK175" s="87"/>
      <c r="BL175" s="87">
        <v>37.0</v>
      </c>
      <c r="BM175" s="87"/>
      <c r="BN175" s="87"/>
      <c r="BO175" s="87"/>
      <c r="BP175" s="87">
        <v>30.0</v>
      </c>
      <c r="BQ175" s="87">
        <v>2.0</v>
      </c>
      <c r="BR175" s="87"/>
      <c r="BS175" s="87"/>
      <c r="BT175" s="87"/>
      <c r="BU175" s="87">
        <v>2.0</v>
      </c>
      <c r="BV175" s="87">
        <v>2.0</v>
      </c>
      <c r="BW175" s="87"/>
      <c r="BX175" s="87"/>
      <c r="BY175" s="87"/>
      <c r="BZ175" s="87"/>
      <c r="CA175" s="87"/>
      <c r="CB175" s="87"/>
      <c r="CC175" s="87"/>
      <c r="CD175" s="87">
        <v>1.0</v>
      </c>
      <c r="CE175" s="87"/>
      <c r="CF175" s="87"/>
      <c r="CG175" s="87"/>
      <c r="CH175" s="87">
        <v>37.0</v>
      </c>
      <c r="CI175" s="87"/>
      <c r="CJ175" s="87">
        <v>1.0</v>
      </c>
      <c r="CK175" s="87">
        <v>35.0</v>
      </c>
      <c r="CL175" s="87"/>
      <c r="CM175" s="87"/>
      <c r="CN175" s="87"/>
      <c r="CO175" s="87">
        <v>1.0</v>
      </c>
      <c r="CP175" s="87"/>
      <c r="CQ175" s="87"/>
      <c r="CR175" s="87"/>
      <c r="CS175" s="87"/>
      <c r="CT175" s="87"/>
      <c r="CU175" s="87"/>
      <c r="CV175" s="87"/>
      <c r="CW175" s="87"/>
      <c r="CX175" s="87">
        <v>37.0</v>
      </c>
      <c r="CY175" s="87"/>
      <c r="CZ175" s="87"/>
      <c r="DA175" s="87"/>
      <c r="DB175" s="87"/>
      <c r="DC175" s="87"/>
      <c r="DD175" s="87"/>
      <c r="DE175" s="87"/>
      <c r="DF175" s="87"/>
      <c r="DG175" s="87"/>
      <c r="DH175" s="87"/>
      <c r="DI175" s="87"/>
      <c r="DJ175" s="87"/>
      <c r="DK175" s="87"/>
      <c r="DL175" s="87"/>
      <c r="DM175" s="87"/>
      <c r="DN175" s="87"/>
      <c r="DO175" s="87">
        <v>37.0</v>
      </c>
      <c r="DP175" s="87"/>
      <c r="DQ175" s="87"/>
      <c r="DR175" s="87"/>
      <c r="DS175" s="87"/>
      <c r="DT175" s="87"/>
      <c r="DU175" s="87"/>
      <c r="DV175" s="87"/>
      <c r="DW175" s="87"/>
      <c r="DX175" s="87"/>
      <c r="DY175" s="87"/>
      <c r="DZ175" s="87"/>
      <c r="EA175" s="87"/>
      <c r="EB175" s="87"/>
      <c r="EC175" s="87"/>
      <c r="ED175" s="87"/>
      <c r="EE175" s="87"/>
      <c r="EF175" s="87"/>
      <c r="EG175" s="87"/>
      <c r="EH175" s="87"/>
      <c r="EI175" s="87"/>
      <c r="EJ175" s="87">
        <v>37.0</v>
      </c>
      <c r="EK175" s="88"/>
      <c r="EL175" s="88"/>
      <c r="EM175" s="88"/>
      <c r="EN175" s="88"/>
      <c r="EO175" s="88"/>
      <c r="EP175" s="88"/>
      <c r="EQ175" s="90"/>
    </row>
    <row r="176" ht="12.0" customHeight="1">
      <c r="A176" s="89">
        <v>1.06194981E8</v>
      </c>
      <c r="B176" s="89" t="s">
        <v>1377</v>
      </c>
      <c r="C176" s="89" t="s">
        <v>865</v>
      </c>
      <c r="D176" s="89" t="s">
        <v>1378</v>
      </c>
      <c r="E176" s="89" t="s">
        <v>1379</v>
      </c>
      <c r="F176" s="89" t="s">
        <v>911</v>
      </c>
      <c r="G176" s="89" t="s">
        <v>1380</v>
      </c>
      <c r="H176" s="89" t="s">
        <v>503</v>
      </c>
      <c r="I176" s="89" t="s">
        <v>456</v>
      </c>
      <c r="J176" s="89" t="s">
        <v>499</v>
      </c>
      <c r="K176" s="89" t="s">
        <v>913</v>
      </c>
      <c r="L176" s="89" t="s">
        <v>1026</v>
      </c>
      <c r="M176" s="89" t="s">
        <v>1381</v>
      </c>
      <c r="N176" s="89" t="s">
        <v>441</v>
      </c>
      <c r="O176" s="87"/>
      <c r="P176" s="87"/>
      <c r="Q176" s="87">
        <v>58.0</v>
      </c>
      <c r="R176" s="87"/>
      <c r="S176" s="87"/>
      <c r="T176" s="87"/>
      <c r="U176" s="87">
        <v>34.0</v>
      </c>
      <c r="V176" s="87">
        <v>24.0</v>
      </c>
      <c r="W176" s="87"/>
      <c r="X176" s="87"/>
      <c r="Y176" s="87"/>
      <c r="Z176" s="87">
        <v>16.0</v>
      </c>
      <c r="AA176" s="87">
        <v>18.0</v>
      </c>
      <c r="AB176" s="87">
        <v>11.0</v>
      </c>
      <c r="AC176" s="87"/>
      <c r="AD176" s="87"/>
      <c r="AE176" s="87"/>
      <c r="AF176" s="87"/>
      <c r="AG176" s="87">
        <v>13.0</v>
      </c>
      <c r="AH176" s="87">
        <v>16.0</v>
      </c>
      <c r="AI176" s="87">
        <v>42.0</v>
      </c>
      <c r="AJ176" s="87"/>
      <c r="AK176" s="87"/>
      <c r="AL176" s="87"/>
      <c r="AM176" s="87"/>
      <c r="AN176" s="87">
        <v>24.0</v>
      </c>
      <c r="AO176" s="87"/>
      <c r="AP176" s="87">
        <v>18.0</v>
      </c>
      <c r="AQ176" s="87">
        <v>16.0</v>
      </c>
      <c r="AR176" s="87"/>
      <c r="AS176" s="87"/>
      <c r="AT176" s="87"/>
      <c r="AU176" s="87">
        <v>47.0</v>
      </c>
      <c r="AV176" s="87"/>
      <c r="AW176" s="87">
        <v>7.0</v>
      </c>
      <c r="AX176" s="87"/>
      <c r="AY176" s="87"/>
      <c r="AZ176" s="87"/>
      <c r="BA176" s="87">
        <v>4.0</v>
      </c>
      <c r="BB176" s="87"/>
      <c r="BC176" s="87"/>
      <c r="BD176" s="87"/>
      <c r="BE176" s="87"/>
      <c r="BF176" s="87">
        <v>40.0</v>
      </c>
      <c r="BG176" s="87">
        <v>18.0</v>
      </c>
      <c r="BH176" s="87"/>
      <c r="BI176" s="87">
        <v>5128.0</v>
      </c>
      <c r="BJ176" s="87"/>
      <c r="BK176" s="87">
        <v>58.0</v>
      </c>
      <c r="BL176" s="87"/>
      <c r="BM176" s="87"/>
      <c r="BN176" s="87"/>
      <c r="BO176" s="87"/>
      <c r="BP176" s="87">
        <v>29.0</v>
      </c>
      <c r="BQ176" s="87">
        <v>2.0</v>
      </c>
      <c r="BR176" s="87">
        <v>21.0</v>
      </c>
      <c r="BS176" s="87">
        <v>1.0</v>
      </c>
      <c r="BT176" s="87">
        <v>1.0</v>
      </c>
      <c r="BU176" s="87">
        <v>1.0</v>
      </c>
      <c r="BV176" s="87">
        <v>3.0</v>
      </c>
      <c r="BW176" s="87"/>
      <c r="BX176" s="87"/>
      <c r="BY176" s="87"/>
      <c r="BZ176" s="87"/>
      <c r="CA176" s="87"/>
      <c r="CB176" s="87"/>
      <c r="CC176" s="87"/>
      <c r="CD176" s="87"/>
      <c r="CE176" s="87"/>
      <c r="CF176" s="87"/>
      <c r="CG176" s="87"/>
      <c r="CH176" s="87">
        <v>58.0</v>
      </c>
      <c r="CI176" s="87"/>
      <c r="CJ176" s="87"/>
      <c r="CK176" s="87">
        <v>52.0</v>
      </c>
      <c r="CL176" s="87"/>
      <c r="CM176" s="87"/>
      <c r="CN176" s="87">
        <v>6.0</v>
      </c>
      <c r="CO176" s="87"/>
      <c r="CP176" s="87"/>
      <c r="CQ176" s="87"/>
      <c r="CR176" s="87"/>
      <c r="CS176" s="87"/>
      <c r="CT176" s="87"/>
      <c r="CU176" s="87"/>
      <c r="CV176" s="87"/>
      <c r="CW176" s="87"/>
      <c r="CX176" s="87">
        <v>58.0</v>
      </c>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v>58.0</v>
      </c>
      <c r="EE176" s="87"/>
      <c r="EF176" s="87"/>
      <c r="EG176" s="87"/>
      <c r="EH176" s="87"/>
      <c r="EI176" s="87"/>
      <c r="EJ176" s="87">
        <v>58.0</v>
      </c>
      <c r="EK176" s="88"/>
      <c r="EL176" s="88"/>
      <c r="EM176" s="88"/>
      <c r="EN176" s="88"/>
      <c r="EO176" s="88"/>
      <c r="EP176" s="88"/>
      <c r="EQ176" s="90"/>
    </row>
    <row r="177" ht="12.0" customHeight="1">
      <c r="A177" s="89">
        <v>1.06196035E8</v>
      </c>
      <c r="B177" s="89" t="s">
        <v>1382</v>
      </c>
      <c r="C177" s="89" t="s">
        <v>865</v>
      </c>
      <c r="D177" s="89" t="s">
        <v>1383</v>
      </c>
      <c r="E177" s="89" t="s">
        <v>1384</v>
      </c>
      <c r="F177" s="89" t="s">
        <v>897</v>
      </c>
      <c r="G177" s="89" t="s">
        <v>898</v>
      </c>
      <c r="H177" s="89" t="s">
        <v>447</v>
      </c>
      <c r="I177" s="89" t="s">
        <v>456</v>
      </c>
      <c r="J177" s="89" t="s">
        <v>469</v>
      </c>
      <c r="K177" s="89" t="s">
        <v>870</v>
      </c>
      <c r="L177" s="89" t="s">
        <v>899</v>
      </c>
      <c r="M177" s="89" t="s">
        <v>900</v>
      </c>
      <c r="N177" s="89" t="s">
        <v>441</v>
      </c>
      <c r="O177" s="87">
        <v>13765.0</v>
      </c>
      <c r="P177" s="87"/>
      <c r="Q177" s="87"/>
      <c r="R177" s="87"/>
      <c r="S177" s="87"/>
      <c r="T177" s="87"/>
      <c r="U177" s="87">
        <v>5271.0</v>
      </c>
      <c r="V177" s="87">
        <v>8494.0</v>
      </c>
      <c r="W177" s="87"/>
      <c r="X177" s="87">
        <v>3335.0</v>
      </c>
      <c r="Y177" s="87">
        <v>88.0</v>
      </c>
      <c r="Z177" s="87">
        <v>1243.0</v>
      </c>
      <c r="AA177" s="87">
        <v>2498.0</v>
      </c>
      <c r="AB177" s="87">
        <v>778.0</v>
      </c>
      <c r="AC177" s="87">
        <v>825.0</v>
      </c>
      <c r="AD177" s="87">
        <v>1451.0</v>
      </c>
      <c r="AE177" s="87">
        <v>1815.0</v>
      </c>
      <c r="AF177" s="87">
        <v>1729.0</v>
      </c>
      <c r="AG177" s="87">
        <v>3.0</v>
      </c>
      <c r="AH177" s="87">
        <v>7874.0</v>
      </c>
      <c r="AI177" s="87">
        <v>5842.0</v>
      </c>
      <c r="AJ177" s="87">
        <v>49.0</v>
      </c>
      <c r="AK177" s="87">
        <v>51.0</v>
      </c>
      <c r="AL177" s="87">
        <v>2571.0</v>
      </c>
      <c r="AM177" s="87">
        <v>71.0</v>
      </c>
      <c r="AN177" s="87">
        <v>451.0</v>
      </c>
      <c r="AO177" s="87">
        <v>2301.0</v>
      </c>
      <c r="AP177" s="87">
        <v>385.0</v>
      </c>
      <c r="AQ177" s="87">
        <v>7893.0</v>
      </c>
      <c r="AR177" s="87">
        <v>42.0</v>
      </c>
      <c r="AS177" s="87">
        <v>8946.0</v>
      </c>
      <c r="AT177" s="87">
        <v>434.0</v>
      </c>
      <c r="AU177" s="87">
        <v>809.0</v>
      </c>
      <c r="AV177" s="87">
        <v>88.0</v>
      </c>
      <c r="AW177" s="87">
        <v>43.0</v>
      </c>
      <c r="AX177" s="87">
        <v>2.0</v>
      </c>
      <c r="AY177" s="87">
        <v>3.0</v>
      </c>
      <c r="AZ177" s="87"/>
      <c r="BA177" s="87">
        <v>1.0</v>
      </c>
      <c r="BB177" s="87">
        <v>170.0</v>
      </c>
      <c r="BC177" s="87">
        <v>3268.0</v>
      </c>
      <c r="BD177" s="87">
        <v>1.0</v>
      </c>
      <c r="BE177" s="87">
        <v>5483.0</v>
      </c>
      <c r="BF177" s="87">
        <v>311.0</v>
      </c>
      <c r="BG177" s="87">
        <v>7969.0</v>
      </c>
      <c r="BH177" s="87">
        <v>2.0</v>
      </c>
      <c r="BI177" s="87">
        <v>46473.0</v>
      </c>
      <c r="BJ177" s="87">
        <v>4886.0</v>
      </c>
      <c r="BK177" s="87">
        <v>3120.0</v>
      </c>
      <c r="BL177" s="87">
        <v>2490.0</v>
      </c>
      <c r="BM177" s="87">
        <v>3268.0</v>
      </c>
      <c r="BN177" s="87"/>
      <c r="BO177" s="87">
        <v>1.0</v>
      </c>
      <c r="BP177" s="87">
        <v>9931.0</v>
      </c>
      <c r="BQ177" s="87">
        <v>308.0</v>
      </c>
      <c r="BR177" s="87">
        <v>11.0</v>
      </c>
      <c r="BS177" s="87">
        <v>547.0</v>
      </c>
      <c r="BT177" s="87">
        <v>2.0</v>
      </c>
      <c r="BU177" s="87"/>
      <c r="BV177" s="87">
        <v>36.0</v>
      </c>
      <c r="BW177" s="87">
        <v>288.0</v>
      </c>
      <c r="BX177" s="87">
        <v>2363.0</v>
      </c>
      <c r="BY177" s="87"/>
      <c r="BZ177" s="87"/>
      <c r="CA177" s="87">
        <v>240.0</v>
      </c>
      <c r="CB177" s="87">
        <v>11.0</v>
      </c>
      <c r="CC177" s="87"/>
      <c r="CD177" s="87">
        <v>8.0</v>
      </c>
      <c r="CE177" s="87">
        <v>20.0</v>
      </c>
      <c r="CF177" s="87"/>
      <c r="CG177" s="87">
        <v>1131.0</v>
      </c>
      <c r="CH177" s="87">
        <v>12630.0</v>
      </c>
      <c r="CI177" s="87">
        <v>4.0</v>
      </c>
      <c r="CJ177" s="87">
        <v>4383.0</v>
      </c>
      <c r="CK177" s="87">
        <v>1326.0</v>
      </c>
      <c r="CL177" s="87">
        <v>7917.0</v>
      </c>
      <c r="CM177" s="87">
        <v>5.0</v>
      </c>
      <c r="CN177" s="87">
        <v>3.0</v>
      </c>
      <c r="CO177" s="87">
        <v>10.0</v>
      </c>
      <c r="CP177" s="87"/>
      <c r="CQ177" s="87">
        <v>115.0</v>
      </c>
      <c r="CR177" s="87">
        <v>2.0</v>
      </c>
      <c r="CS177" s="87">
        <v>4.0</v>
      </c>
      <c r="CT177" s="87">
        <v>1695.0</v>
      </c>
      <c r="CU177" s="87">
        <v>425.0</v>
      </c>
      <c r="CV177" s="87">
        <v>72.0</v>
      </c>
      <c r="CW177" s="87">
        <v>335.0</v>
      </c>
      <c r="CX177" s="87">
        <v>46.0</v>
      </c>
      <c r="CY177" s="87">
        <v>140.0</v>
      </c>
      <c r="CZ177" s="87">
        <v>2.0</v>
      </c>
      <c r="DA177" s="87">
        <v>6.0</v>
      </c>
      <c r="DB177" s="87">
        <v>1239.0</v>
      </c>
      <c r="DC177" s="87">
        <v>410.0</v>
      </c>
      <c r="DD177" s="87">
        <v>1280.0</v>
      </c>
      <c r="DE177" s="87">
        <v>94.0</v>
      </c>
      <c r="DF177" s="87">
        <v>173.0</v>
      </c>
      <c r="DG177" s="87">
        <v>367.0</v>
      </c>
      <c r="DH177" s="87">
        <v>3401.0</v>
      </c>
      <c r="DI177" s="87">
        <v>3331.0</v>
      </c>
      <c r="DJ177" s="87">
        <v>9.0</v>
      </c>
      <c r="DK177" s="87">
        <v>110.0</v>
      </c>
      <c r="DL177" s="87">
        <v>547.0</v>
      </c>
      <c r="DM177" s="87">
        <v>83.0</v>
      </c>
      <c r="DN177" s="87"/>
      <c r="DO177" s="87">
        <v>1097.0</v>
      </c>
      <c r="DP177" s="87">
        <v>3206.0</v>
      </c>
      <c r="DQ177" s="87">
        <v>733.0</v>
      </c>
      <c r="DR177" s="87">
        <v>1260.0</v>
      </c>
      <c r="DS177" s="87"/>
      <c r="DT177" s="87">
        <v>16.0</v>
      </c>
      <c r="DU177" s="87">
        <v>3.0</v>
      </c>
      <c r="DV177" s="87">
        <v>949.0</v>
      </c>
      <c r="DW177" s="87">
        <v>47.0</v>
      </c>
      <c r="DX177" s="87">
        <v>213.0</v>
      </c>
      <c r="DY177" s="87">
        <v>582.0</v>
      </c>
      <c r="DZ177" s="87">
        <v>64.0</v>
      </c>
      <c r="EA177" s="87">
        <v>14.0</v>
      </c>
      <c r="EB177" s="87">
        <v>158.0</v>
      </c>
      <c r="EC177" s="87">
        <v>246.0</v>
      </c>
      <c r="ED177" s="87">
        <v>4984.0</v>
      </c>
      <c r="EE177" s="87">
        <v>193.0</v>
      </c>
      <c r="EF177" s="87">
        <v>1.0</v>
      </c>
      <c r="EG177" s="87">
        <v>60.0</v>
      </c>
      <c r="EH177" s="87"/>
      <c r="EI177" s="87">
        <v>19.0</v>
      </c>
      <c r="EJ177" s="87">
        <v>13685.0</v>
      </c>
      <c r="EK177" s="88"/>
      <c r="EL177" s="88"/>
      <c r="EM177" s="88"/>
      <c r="EN177" s="88"/>
      <c r="EO177" s="88"/>
      <c r="EP177" s="88"/>
      <c r="EQ177" s="90"/>
    </row>
    <row r="178" ht="12.0" customHeight="1">
      <c r="A178" s="89">
        <v>1.06196168E8</v>
      </c>
      <c r="B178" s="89" t="s">
        <v>1385</v>
      </c>
      <c r="C178" s="89" t="s">
        <v>865</v>
      </c>
      <c r="D178" s="89" t="s">
        <v>1386</v>
      </c>
      <c r="E178" s="89" t="s">
        <v>1171</v>
      </c>
      <c r="F178" s="89" t="s">
        <v>911</v>
      </c>
      <c r="G178" s="89" t="s">
        <v>1172</v>
      </c>
      <c r="H178" s="89" t="s">
        <v>447</v>
      </c>
      <c r="I178" s="89" t="s">
        <v>456</v>
      </c>
      <c r="J178" s="89" t="s">
        <v>448</v>
      </c>
      <c r="K178" s="89" t="s">
        <v>913</v>
      </c>
      <c r="L178" s="89" t="s">
        <v>892</v>
      </c>
      <c r="M178" s="89" t="s">
        <v>1173</v>
      </c>
      <c r="N178" s="89" t="s">
        <v>441</v>
      </c>
      <c r="O178" s="87">
        <v>18160.0</v>
      </c>
      <c r="P178" s="87"/>
      <c r="Q178" s="87"/>
      <c r="R178" s="87"/>
      <c r="S178" s="87"/>
      <c r="T178" s="87"/>
      <c r="U178" s="87">
        <v>6268.0</v>
      </c>
      <c r="V178" s="87">
        <v>11891.0</v>
      </c>
      <c r="W178" s="87">
        <v>1.0</v>
      </c>
      <c r="X178" s="87">
        <v>9684.0</v>
      </c>
      <c r="Y178" s="87">
        <v>2310.0</v>
      </c>
      <c r="Z178" s="87">
        <v>2682.0</v>
      </c>
      <c r="AA178" s="87">
        <v>3135.0</v>
      </c>
      <c r="AB178" s="87">
        <v>348.0</v>
      </c>
      <c r="AC178" s="87"/>
      <c r="AD178" s="87"/>
      <c r="AE178" s="87"/>
      <c r="AF178" s="87"/>
      <c r="AG178" s="87">
        <v>1.0</v>
      </c>
      <c r="AH178" s="87">
        <v>10925.0</v>
      </c>
      <c r="AI178" s="87">
        <v>6796.0</v>
      </c>
      <c r="AJ178" s="87">
        <v>439.0</v>
      </c>
      <c r="AK178" s="87">
        <v>93.0</v>
      </c>
      <c r="AL178" s="87">
        <v>1244.0</v>
      </c>
      <c r="AM178" s="87">
        <v>195.0</v>
      </c>
      <c r="AN178" s="87">
        <v>2168.0</v>
      </c>
      <c r="AO178" s="87">
        <v>7765.0</v>
      </c>
      <c r="AP178" s="87">
        <v>500.0</v>
      </c>
      <c r="AQ178" s="87">
        <v>5772.0</v>
      </c>
      <c r="AR178" s="87">
        <v>423.0</v>
      </c>
      <c r="AS178" s="87">
        <v>7008.0</v>
      </c>
      <c r="AT178" s="87">
        <v>24.0</v>
      </c>
      <c r="AU178" s="87">
        <v>5361.0</v>
      </c>
      <c r="AV178" s="87">
        <v>3.0</v>
      </c>
      <c r="AW178" s="87">
        <v>6.0</v>
      </c>
      <c r="AX178" s="87">
        <v>23.0</v>
      </c>
      <c r="AY178" s="87"/>
      <c r="AZ178" s="87"/>
      <c r="BA178" s="87"/>
      <c r="BB178" s="87">
        <v>2.0</v>
      </c>
      <c r="BC178" s="87">
        <v>5733.0</v>
      </c>
      <c r="BD178" s="87"/>
      <c r="BE178" s="87">
        <v>2.0</v>
      </c>
      <c r="BF178" s="87">
        <v>4739.0</v>
      </c>
      <c r="BG178" s="87">
        <v>13419.0</v>
      </c>
      <c r="BH178" s="87"/>
      <c r="BI178" s="87">
        <v>70328.0</v>
      </c>
      <c r="BJ178" s="87">
        <v>174.0</v>
      </c>
      <c r="BK178" s="87">
        <v>10313.0</v>
      </c>
      <c r="BL178" s="87">
        <v>1915.0</v>
      </c>
      <c r="BM178" s="87">
        <v>5733.0</v>
      </c>
      <c r="BN178" s="87">
        <v>18.0</v>
      </c>
      <c r="BO178" s="87">
        <v>7.0</v>
      </c>
      <c r="BP178" s="87">
        <v>17782.0</v>
      </c>
      <c r="BQ178" s="87">
        <v>216.0</v>
      </c>
      <c r="BR178" s="87">
        <v>2.0</v>
      </c>
      <c r="BS178" s="87">
        <v>10.0</v>
      </c>
      <c r="BT178" s="87">
        <v>2.0</v>
      </c>
      <c r="BU178" s="87"/>
      <c r="BV178" s="87"/>
      <c r="BW178" s="87">
        <v>40.0</v>
      </c>
      <c r="BX178" s="87">
        <v>64.0</v>
      </c>
      <c r="BY178" s="87"/>
      <c r="BZ178" s="87">
        <v>17.0</v>
      </c>
      <c r="CA178" s="87">
        <v>1.0</v>
      </c>
      <c r="CB178" s="87">
        <v>23.0</v>
      </c>
      <c r="CC178" s="87">
        <v>2.0</v>
      </c>
      <c r="CD178" s="87">
        <v>1.0</v>
      </c>
      <c r="CE178" s="87"/>
      <c r="CF178" s="87"/>
      <c r="CG178" s="87">
        <v>10.0</v>
      </c>
      <c r="CH178" s="87">
        <v>18150.0</v>
      </c>
      <c r="CI178" s="87"/>
      <c r="CJ178" s="87">
        <v>38.0</v>
      </c>
      <c r="CK178" s="87">
        <v>11751.0</v>
      </c>
      <c r="CL178" s="87">
        <v>6141.0</v>
      </c>
      <c r="CM178" s="87">
        <v>1.0</v>
      </c>
      <c r="CN178" s="87"/>
      <c r="CO178" s="87">
        <v>159.0</v>
      </c>
      <c r="CP178" s="87"/>
      <c r="CQ178" s="87">
        <v>70.0</v>
      </c>
      <c r="CR178" s="87"/>
      <c r="CS178" s="87"/>
      <c r="CT178" s="87">
        <v>392.0</v>
      </c>
      <c r="CU178" s="87">
        <v>130.0</v>
      </c>
      <c r="CV178" s="87">
        <v>148.0</v>
      </c>
      <c r="CW178" s="87">
        <v>369.0</v>
      </c>
      <c r="CX178" s="87">
        <v>79.0</v>
      </c>
      <c r="CY178" s="87">
        <v>341.0</v>
      </c>
      <c r="CZ178" s="87">
        <v>28.0</v>
      </c>
      <c r="DA178" s="87">
        <v>35.0</v>
      </c>
      <c r="DB178" s="87">
        <v>100.0</v>
      </c>
      <c r="DC178" s="87">
        <v>1506.0</v>
      </c>
      <c r="DD178" s="87">
        <v>884.0</v>
      </c>
      <c r="DE178" s="87">
        <v>102.0</v>
      </c>
      <c r="DF178" s="87">
        <v>168.0</v>
      </c>
      <c r="DG178" s="87">
        <v>202.0</v>
      </c>
      <c r="DH178" s="87">
        <v>6306.0</v>
      </c>
      <c r="DI178" s="87">
        <v>6071.0</v>
      </c>
      <c r="DJ178" s="87">
        <v>180.0</v>
      </c>
      <c r="DK178" s="87">
        <v>233.0</v>
      </c>
      <c r="DL178" s="87">
        <v>614.0</v>
      </c>
      <c r="DM178" s="87">
        <v>272.0</v>
      </c>
      <c r="DN178" s="87"/>
      <c r="DO178" s="87">
        <v>4223.0</v>
      </c>
      <c r="DP178" s="87">
        <v>5996.0</v>
      </c>
      <c r="DQ178" s="87">
        <v>163.0</v>
      </c>
      <c r="DR178" s="87">
        <v>715.0</v>
      </c>
      <c r="DS178" s="87">
        <v>34.0</v>
      </c>
      <c r="DT178" s="87">
        <v>14.0</v>
      </c>
      <c r="DU178" s="87">
        <v>12.0</v>
      </c>
      <c r="DV178" s="87">
        <v>797.0</v>
      </c>
      <c r="DW178" s="87">
        <v>56.0</v>
      </c>
      <c r="DX178" s="87">
        <v>79.0</v>
      </c>
      <c r="DY178" s="87">
        <v>326.0</v>
      </c>
      <c r="DZ178" s="87">
        <v>186.0</v>
      </c>
      <c r="EA178" s="87">
        <v>228.0</v>
      </c>
      <c r="EB178" s="87">
        <v>230.0</v>
      </c>
      <c r="EC178" s="87">
        <v>29.0</v>
      </c>
      <c r="ED178" s="87">
        <v>4889.0</v>
      </c>
      <c r="EE178" s="87">
        <v>183.0</v>
      </c>
      <c r="EF178" s="87">
        <v>2.0</v>
      </c>
      <c r="EG178" s="87">
        <v>35.0</v>
      </c>
      <c r="EH178" s="87">
        <v>3.0</v>
      </c>
      <c r="EI178" s="87">
        <v>39.0</v>
      </c>
      <c r="EJ178" s="87">
        <v>18081.0</v>
      </c>
      <c r="EK178" s="88"/>
      <c r="EL178" s="88"/>
      <c r="EM178" s="88"/>
      <c r="EN178" s="88"/>
      <c r="EO178" s="88"/>
      <c r="EP178" s="88"/>
      <c r="EQ178" s="90"/>
    </row>
    <row r="179" ht="12.0" customHeight="1">
      <c r="A179" s="89">
        <v>1.06196403E8</v>
      </c>
      <c r="B179" s="89" t="s">
        <v>1387</v>
      </c>
      <c r="C179" s="89" t="s">
        <v>865</v>
      </c>
      <c r="D179" s="89" t="s">
        <v>1388</v>
      </c>
      <c r="E179" s="89" t="s">
        <v>1389</v>
      </c>
      <c r="F179" s="89" t="s">
        <v>1030</v>
      </c>
      <c r="G179" s="89" t="s">
        <v>1362</v>
      </c>
      <c r="H179" s="89" t="s">
        <v>447</v>
      </c>
      <c r="I179" s="89" t="s">
        <v>456</v>
      </c>
      <c r="J179" s="89" t="s">
        <v>448</v>
      </c>
      <c r="K179" s="89" t="s">
        <v>777</v>
      </c>
      <c r="L179" s="89" t="s">
        <v>920</v>
      </c>
      <c r="M179" s="89" t="s">
        <v>1032</v>
      </c>
      <c r="N179" s="89" t="s">
        <v>441</v>
      </c>
      <c r="O179" s="87">
        <v>20475.0</v>
      </c>
      <c r="P179" s="87"/>
      <c r="Q179" s="87"/>
      <c r="R179" s="87"/>
      <c r="S179" s="87"/>
      <c r="T179" s="87"/>
      <c r="U179" s="87">
        <v>7942.0</v>
      </c>
      <c r="V179" s="87">
        <v>12533.0</v>
      </c>
      <c r="W179" s="87"/>
      <c r="X179" s="87">
        <v>4736.0</v>
      </c>
      <c r="Y179" s="87">
        <v>445.0</v>
      </c>
      <c r="Z179" s="87">
        <v>1912.0</v>
      </c>
      <c r="AA179" s="87">
        <v>3203.0</v>
      </c>
      <c r="AB179" s="87">
        <v>1232.0</v>
      </c>
      <c r="AC179" s="87">
        <v>1525.0</v>
      </c>
      <c r="AD179" s="87">
        <v>2267.0</v>
      </c>
      <c r="AE179" s="87">
        <v>2768.0</v>
      </c>
      <c r="AF179" s="87">
        <v>2385.0</v>
      </c>
      <c r="AG179" s="87">
        <v>2.0</v>
      </c>
      <c r="AH179" s="87">
        <v>13023.0</v>
      </c>
      <c r="AI179" s="87">
        <v>7368.0</v>
      </c>
      <c r="AJ179" s="87">
        <v>84.0</v>
      </c>
      <c r="AK179" s="87">
        <v>43.0</v>
      </c>
      <c r="AL179" s="87">
        <v>1613.0</v>
      </c>
      <c r="AM179" s="87">
        <v>116.0</v>
      </c>
      <c r="AN179" s="87">
        <v>2618.0</v>
      </c>
      <c r="AO179" s="87">
        <v>2998.0</v>
      </c>
      <c r="AP179" s="87">
        <v>136.0</v>
      </c>
      <c r="AQ179" s="87">
        <v>12893.0</v>
      </c>
      <c r="AR179" s="87">
        <v>58.0</v>
      </c>
      <c r="AS179" s="87">
        <v>14198.0</v>
      </c>
      <c r="AT179" s="87">
        <v>780.0</v>
      </c>
      <c r="AU179" s="87">
        <v>1236.0</v>
      </c>
      <c r="AV179" s="87">
        <v>131.0</v>
      </c>
      <c r="AW179" s="87">
        <v>76.0</v>
      </c>
      <c r="AX179" s="87">
        <v>1.0</v>
      </c>
      <c r="AY179" s="87">
        <v>7.0</v>
      </c>
      <c r="AZ179" s="87"/>
      <c r="BA179" s="87">
        <v>1.0</v>
      </c>
      <c r="BB179" s="87">
        <v>13.0</v>
      </c>
      <c r="BC179" s="87">
        <v>4031.0</v>
      </c>
      <c r="BD179" s="87">
        <v>1.0</v>
      </c>
      <c r="BE179" s="87">
        <v>9391.0</v>
      </c>
      <c r="BF179" s="87">
        <v>819.0</v>
      </c>
      <c r="BG179" s="87">
        <v>10265.0</v>
      </c>
      <c r="BH179" s="87"/>
      <c r="BI179" s="87">
        <v>82899.0</v>
      </c>
      <c r="BJ179" s="87">
        <v>8148.0</v>
      </c>
      <c r="BK179" s="87">
        <v>6567.0</v>
      </c>
      <c r="BL179" s="87">
        <v>1726.0</v>
      </c>
      <c r="BM179" s="87">
        <v>4031.0</v>
      </c>
      <c r="BN179" s="87"/>
      <c r="BO179" s="87">
        <v>3.0</v>
      </c>
      <c r="BP179" s="87">
        <v>14258.0</v>
      </c>
      <c r="BQ179" s="87">
        <v>492.0</v>
      </c>
      <c r="BR179" s="87">
        <v>46.0</v>
      </c>
      <c r="BS179" s="87">
        <v>852.0</v>
      </c>
      <c r="BT179" s="87">
        <v>3.0</v>
      </c>
      <c r="BU179" s="87"/>
      <c r="BV179" s="87">
        <v>108.0</v>
      </c>
      <c r="BW179" s="87">
        <v>449.0</v>
      </c>
      <c r="BX179" s="87">
        <v>3938.0</v>
      </c>
      <c r="BY179" s="87"/>
      <c r="BZ179" s="87">
        <v>1.0</v>
      </c>
      <c r="CA179" s="87">
        <v>294.0</v>
      </c>
      <c r="CB179" s="87">
        <v>22.0</v>
      </c>
      <c r="CC179" s="87"/>
      <c r="CD179" s="87">
        <v>5.0</v>
      </c>
      <c r="CE179" s="87">
        <v>7.0</v>
      </c>
      <c r="CF179" s="87"/>
      <c r="CG179" s="87">
        <v>1120.0</v>
      </c>
      <c r="CH179" s="87">
        <v>19355.0</v>
      </c>
      <c r="CI179" s="87"/>
      <c r="CJ179" s="87">
        <v>6541.0</v>
      </c>
      <c r="CK179" s="87">
        <v>2491.0</v>
      </c>
      <c r="CL179" s="87">
        <v>11282.0</v>
      </c>
      <c r="CM179" s="87">
        <v>15.0</v>
      </c>
      <c r="CN179" s="87"/>
      <c r="CO179" s="87">
        <v>15.0</v>
      </c>
      <c r="CP179" s="87"/>
      <c r="CQ179" s="87">
        <v>131.0</v>
      </c>
      <c r="CR179" s="87"/>
      <c r="CS179" s="87"/>
      <c r="CT179" s="87">
        <v>2894.0</v>
      </c>
      <c r="CU179" s="87">
        <v>714.0</v>
      </c>
      <c r="CV179" s="87">
        <v>186.0</v>
      </c>
      <c r="CW179" s="87">
        <v>611.0</v>
      </c>
      <c r="CX179" s="87">
        <v>113.0</v>
      </c>
      <c r="CY179" s="87">
        <v>359.0</v>
      </c>
      <c r="CZ179" s="87">
        <v>14.0</v>
      </c>
      <c r="DA179" s="87">
        <v>10.0</v>
      </c>
      <c r="DB179" s="87">
        <v>1952.0</v>
      </c>
      <c r="DC179" s="87">
        <v>878.0</v>
      </c>
      <c r="DD179" s="87">
        <v>1610.0</v>
      </c>
      <c r="DE179" s="87">
        <v>167.0</v>
      </c>
      <c r="DF179" s="87">
        <v>746.0</v>
      </c>
      <c r="DG179" s="87">
        <v>617.0</v>
      </c>
      <c r="DH179" s="87">
        <v>4263.0</v>
      </c>
      <c r="DI179" s="87">
        <v>4174.0</v>
      </c>
      <c r="DJ179" s="87">
        <v>34.0</v>
      </c>
      <c r="DK179" s="87">
        <v>262.0</v>
      </c>
      <c r="DL179" s="87">
        <v>688.0</v>
      </c>
      <c r="DM179" s="87">
        <v>183.0</v>
      </c>
      <c r="DN179" s="87"/>
      <c r="DO179" s="87">
        <v>1960.0</v>
      </c>
      <c r="DP179" s="87">
        <v>3955.0</v>
      </c>
      <c r="DQ179" s="87">
        <v>1070.0</v>
      </c>
      <c r="DR179" s="87">
        <v>1755.0</v>
      </c>
      <c r="DS179" s="87">
        <v>6.0</v>
      </c>
      <c r="DT179" s="87">
        <v>16.0</v>
      </c>
      <c r="DU179" s="87">
        <v>4.0</v>
      </c>
      <c r="DV179" s="87">
        <v>242.0</v>
      </c>
      <c r="DW179" s="87">
        <v>96.0</v>
      </c>
      <c r="DX179" s="87">
        <v>291.0</v>
      </c>
      <c r="DY179" s="87">
        <v>1022.0</v>
      </c>
      <c r="DZ179" s="87">
        <v>298.0</v>
      </c>
      <c r="EA179" s="87">
        <v>35.0</v>
      </c>
      <c r="EB179" s="87">
        <v>309.0</v>
      </c>
      <c r="EC179" s="87">
        <v>399.0</v>
      </c>
      <c r="ED179" s="87">
        <v>8604.0</v>
      </c>
      <c r="EE179" s="87">
        <v>413.0</v>
      </c>
      <c r="EF179" s="87"/>
      <c r="EG179" s="87">
        <v>99.0</v>
      </c>
      <c r="EH179" s="87"/>
      <c r="EI179" s="87">
        <v>24.0</v>
      </c>
      <c r="EJ179" s="87">
        <v>20352.0</v>
      </c>
      <c r="EK179" s="88"/>
      <c r="EL179" s="88"/>
      <c r="EM179" s="88"/>
      <c r="EN179" s="88"/>
      <c r="EO179" s="88"/>
      <c r="EP179" s="88"/>
      <c r="EQ179" s="90"/>
    </row>
    <row r="180" ht="12.0" customHeight="1">
      <c r="A180" s="89">
        <v>1.06196404E8</v>
      </c>
      <c r="B180" s="89" t="s">
        <v>1390</v>
      </c>
      <c r="C180" s="89" t="s">
        <v>865</v>
      </c>
      <c r="D180" s="89" t="s">
        <v>1391</v>
      </c>
      <c r="E180" s="89" t="s">
        <v>1392</v>
      </c>
      <c r="F180" s="89" t="s">
        <v>1393</v>
      </c>
      <c r="G180" s="89" t="s">
        <v>1394</v>
      </c>
      <c r="H180" s="89" t="s">
        <v>447</v>
      </c>
      <c r="I180" s="89" t="s">
        <v>456</v>
      </c>
      <c r="J180" s="89" t="s">
        <v>469</v>
      </c>
      <c r="K180" s="89" t="s">
        <v>1041</v>
      </c>
      <c r="L180" s="89" t="s">
        <v>1042</v>
      </c>
      <c r="M180" s="89" t="s">
        <v>1291</v>
      </c>
      <c r="N180" s="89" t="s">
        <v>441</v>
      </c>
      <c r="O180" s="87"/>
      <c r="P180" s="87">
        <v>199.0</v>
      </c>
      <c r="Q180" s="87">
        <v>42.0</v>
      </c>
      <c r="R180" s="87"/>
      <c r="S180" s="87"/>
      <c r="T180" s="87"/>
      <c r="U180" s="87">
        <v>89.0</v>
      </c>
      <c r="V180" s="87">
        <v>152.0</v>
      </c>
      <c r="W180" s="87"/>
      <c r="X180" s="87"/>
      <c r="Y180" s="87"/>
      <c r="Z180" s="87"/>
      <c r="AA180" s="87"/>
      <c r="AB180" s="87"/>
      <c r="AC180" s="87"/>
      <c r="AD180" s="87">
        <v>11.0</v>
      </c>
      <c r="AE180" s="87">
        <v>36.0</v>
      </c>
      <c r="AF180" s="87">
        <v>194.0</v>
      </c>
      <c r="AG180" s="87"/>
      <c r="AH180" s="87">
        <v>12.0</v>
      </c>
      <c r="AI180" s="87">
        <v>229.0</v>
      </c>
      <c r="AJ180" s="87"/>
      <c r="AK180" s="87"/>
      <c r="AL180" s="87"/>
      <c r="AM180" s="87"/>
      <c r="AN180" s="87"/>
      <c r="AO180" s="87">
        <v>236.0</v>
      </c>
      <c r="AP180" s="87">
        <v>5.0</v>
      </c>
      <c r="AQ180" s="87"/>
      <c r="AR180" s="87"/>
      <c r="AS180" s="87">
        <v>19.0</v>
      </c>
      <c r="AT180" s="87">
        <v>2.0</v>
      </c>
      <c r="AU180" s="87">
        <v>148.0</v>
      </c>
      <c r="AV180" s="87">
        <v>72.0</v>
      </c>
      <c r="AW180" s="87"/>
      <c r="AX180" s="87"/>
      <c r="AY180" s="87"/>
      <c r="AZ180" s="87"/>
      <c r="BA180" s="87"/>
      <c r="BB180" s="87"/>
      <c r="BC180" s="87"/>
      <c r="BD180" s="87"/>
      <c r="BE180" s="87">
        <v>1.0</v>
      </c>
      <c r="BF180" s="87">
        <v>28.0</v>
      </c>
      <c r="BG180" s="87">
        <v>212.0</v>
      </c>
      <c r="BH180" s="87"/>
      <c r="BI180" s="87">
        <v>88955.0</v>
      </c>
      <c r="BJ180" s="87">
        <v>42.0</v>
      </c>
      <c r="BK180" s="87">
        <v>2.0</v>
      </c>
      <c r="BL180" s="87">
        <v>197.0</v>
      </c>
      <c r="BM180" s="87"/>
      <c r="BN180" s="87"/>
      <c r="BO180" s="87"/>
      <c r="BP180" s="87">
        <v>42.0</v>
      </c>
      <c r="BQ180" s="87">
        <v>98.0</v>
      </c>
      <c r="BR180" s="87"/>
      <c r="BS180" s="87">
        <v>19.0</v>
      </c>
      <c r="BT180" s="87">
        <v>19.0</v>
      </c>
      <c r="BU180" s="87"/>
      <c r="BV180" s="87"/>
      <c r="BW180" s="87">
        <v>61.0</v>
      </c>
      <c r="BX180" s="87"/>
      <c r="BY180" s="87"/>
      <c r="BZ180" s="87"/>
      <c r="CA180" s="87"/>
      <c r="CB180" s="87">
        <v>2.0</v>
      </c>
      <c r="CC180" s="87"/>
      <c r="CD180" s="87"/>
      <c r="CE180" s="87"/>
      <c r="CF180" s="87"/>
      <c r="CG180" s="87">
        <v>124.0</v>
      </c>
      <c r="CH180" s="87">
        <v>117.0</v>
      </c>
      <c r="CI180" s="87"/>
      <c r="CJ180" s="87">
        <v>45.0</v>
      </c>
      <c r="CK180" s="87">
        <v>134.0</v>
      </c>
      <c r="CL180" s="87">
        <v>26.0</v>
      </c>
      <c r="CM180" s="87"/>
      <c r="CN180" s="87"/>
      <c r="CO180" s="87"/>
      <c r="CP180" s="87"/>
      <c r="CQ180" s="87"/>
      <c r="CR180" s="87">
        <v>36.0</v>
      </c>
      <c r="CS180" s="87"/>
      <c r="CT180" s="87">
        <v>31.0</v>
      </c>
      <c r="CU180" s="87">
        <v>2.0</v>
      </c>
      <c r="CV180" s="87">
        <v>4.0</v>
      </c>
      <c r="CW180" s="87">
        <v>11.0</v>
      </c>
      <c r="CX180" s="87">
        <v>27.0</v>
      </c>
      <c r="CY180" s="87">
        <v>54.0</v>
      </c>
      <c r="CZ180" s="87"/>
      <c r="DA180" s="87"/>
      <c r="DB180" s="87">
        <v>49.0</v>
      </c>
      <c r="DC180" s="87">
        <v>18.0</v>
      </c>
      <c r="DD180" s="87">
        <v>5.0</v>
      </c>
      <c r="DE180" s="87">
        <v>3.0</v>
      </c>
      <c r="DF180" s="87">
        <v>4.0</v>
      </c>
      <c r="DG180" s="87">
        <v>25.0</v>
      </c>
      <c r="DH180" s="87"/>
      <c r="DI180" s="87"/>
      <c r="DJ180" s="87"/>
      <c r="DK180" s="87">
        <v>5.0</v>
      </c>
      <c r="DL180" s="87">
        <v>1.0</v>
      </c>
      <c r="DM180" s="87"/>
      <c r="DN180" s="87">
        <v>2.0</v>
      </c>
      <c r="DO180" s="87"/>
      <c r="DP180" s="87"/>
      <c r="DQ180" s="87"/>
      <c r="DR180" s="87"/>
      <c r="DS180" s="87"/>
      <c r="DT180" s="87"/>
      <c r="DU180" s="87"/>
      <c r="DV180" s="87"/>
      <c r="DW180" s="87"/>
      <c r="DX180" s="87"/>
      <c r="DY180" s="87"/>
      <c r="DZ180" s="87"/>
      <c r="EA180" s="87"/>
      <c r="EB180" s="87"/>
      <c r="EC180" s="87"/>
      <c r="ED180" s="87">
        <v>241.0</v>
      </c>
      <c r="EE180" s="87"/>
      <c r="EF180" s="87"/>
      <c r="EG180" s="87"/>
      <c r="EH180" s="87"/>
      <c r="EI180" s="87"/>
      <c r="EJ180" s="87">
        <v>241.0</v>
      </c>
      <c r="EK180" s="88"/>
      <c r="EL180" s="88"/>
      <c r="EM180" s="88"/>
      <c r="EN180" s="88"/>
      <c r="EO180" s="88"/>
      <c r="EP180" s="88"/>
      <c r="EQ180" s="90"/>
    </row>
    <row r="181" ht="12.0" customHeight="1">
      <c r="A181" s="89">
        <v>1.06196405E8</v>
      </c>
      <c r="B181" s="89" t="s">
        <v>1395</v>
      </c>
      <c r="C181" s="89" t="s">
        <v>865</v>
      </c>
      <c r="D181" s="89" t="s">
        <v>1396</v>
      </c>
      <c r="E181" s="89" t="s">
        <v>1397</v>
      </c>
      <c r="F181" s="89" t="s">
        <v>1398</v>
      </c>
      <c r="G181" s="89" t="s">
        <v>1399</v>
      </c>
      <c r="H181" s="89" t="s">
        <v>503</v>
      </c>
      <c r="I181" s="89" t="s">
        <v>456</v>
      </c>
      <c r="J181" s="89" t="s">
        <v>457</v>
      </c>
      <c r="K181" s="89" t="s">
        <v>884</v>
      </c>
      <c r="L181" s="89" t="s">
        <v>885</v>
      </c>
      <c r="M181" s="89" t="s">
        <v>1400</v>
      </c>
      <c r="N181" s="89" t="s">
        <v>441</v>
      </c>
      <c r="O181" s="87">
        <v>9380.0</v>
      </c>
      <c r="P181" s="87"/>
      <c r="Q181" s="87"/>
      <c r="R181" s="87"/>
      <c r="S181" s="87">
        <v>475.0</v>
      </c>
      <c r="T181" s="87"/>
      <c r="U181" s="87">
        <v>4347.0</v>
      </c>
      <c r="V181" s="87">
        <v>5508.0</v>
      </c>
      <c r="W181" s="87"/>
      <c r="X181" s="87">
        <v>794.0</v>
      </c>
      <c r="Y181" s="87">
        <v>113.0</v>
      </c>
      <c r="Z181" s="87">
        <v>846.0</v>
      </c>
      <c r="AA181" s="87">
        <v>1024.0</v>
      </c>
      <c r="AB181" s="87">
        <v>902.0</v>
      </c>
      <c r="AC181" s="87">
        <v>1381.0</v>
      </c>
      <c r="AD181" s="87">
        <v>2008.0</v>
      </c>
      <c r="AE181" s="87">
        <v>1589.0</v>
      </c>
      <c r="AF181" s="87">
        <v>1198.0</v>
      </c>
      <c r="AG181" s="87"/>
      <c r="AH181" s="87">
        <v>3858.0</v>
      </c>
      <c r="AI181" s="87">
        <v>5938.0</v>
      </c>
      <c r="AJ181" s="87">
        <v>59.0</v>
      </c>
      <c r="AK181" s="87"/>
      <c r="AL181" s="87">
        <v>158.0</v>
      </c>
      <c r="AM181" s="87">
        <v>18.0</v>
      </c>
      <c r="AN181" s="87">
        <v>1909.0</v>
      </c>
      <c r="AO181" s="87">
        <v>7130.0</v>
      </c>
      <c r="AP181" s="87">
        <v>120.0</v>
      </c>
      <c r="AQ181" s="87">
        <v>245.0</v>
      </c>
      <c r="AR181" s="87">
        <v>275.0</v>
      </c>
      <c r="AS181" s="87">
        <v>8940.0</v>
      </c>
      <c r="AT181" s="87">
        <v>24.0</v>
      </c>
      <c r="AU181" s="87">
        <v>33.0</v>
      </c>
      <c r="AV181" s="87">
        <v>17.0</v>
      </c>
      <c r="AW181" s="87">
        <v>4.0</v>
      </c>
      <c r="AX181" s="87">
        <v>13.0</v>
      </c>
      <c r="AY181" s="87">
        <v>1.0</v>
      </c>
      <c r="AZ181" s="87">
        <v>2.0</v>
      </c>
      <c r="BA181" s="87">
        <v>35.0</v>
      </c>
      <c r="BB181" s="87">
        <v>1.0</v>
      </c>
      <c r="BC181" s="87">
        <v>785.0</v>
      </c>
      <c r="BD181" s="87"/>
      <c r="BE181" s="87">
        <v>6879.0</v>
      </c>
      <c r="BF181" s="87">
        <v>12.0</v>
      </c>
      <c r="BG181" s="87">
        <v>2964.0</v>
      </c>
      <c r="BH181" s="87"/>
      <c r="BI181" s="87">
        <v>46924.0</v>
      </c>
      <c r="BJ181" s="87">
        <v>3062.0</v>
      </c>
      <c r="BK181" s="87">
        <v>4699.0</v>
      </c>
      <c r="BL181" s="87">
        <v>1292.0</v>
      </c>
      <c r="BM181" s="87">
        <v>785.0</v>
      </c>
      <c r="BN181" s="87">
        <v>1.0</v>
      </c>
      <c r="BO181" s="87">
        <v>16.0</v>
      </c>
      <c r="BP181" s="87">
        <v>6283.0</v>
      </c>
      <c r="BQ181" s="87">
        <v>206.0</v>
      </c>
      <c r="BR181" s="87">
        <v>203.0</v>
      </c>
      <c r="BS181" s="87">
        <v>536.0</v>
      </c>
      <c r="BT181" s="87">
        <v>30.0</v>
      </c>
      <c r="BU181" s="87">
        <v>92.0</v>
      </c>
      <c r="BV181" s="87">
        <v>251.0</v>
      </c>
      <c r="BW181" s="87">
        <v>342.0</v>
      </c>
      <c r="BX181" s="87">
        <v>1619.0</v>
      </c>
      <c r="BY181" s="87"/>
      <c r="BZ181" s="87">
        <v>16.0</v>
      </c>
      <c r="CA181" s="87">
        <v>266.0</v>
      </c>
      <c r="CB181" s="87">
        <v>3.0</v>
      </c>
      <c r="CC181" s="87"/>
      <c r="CD181" s="87">
        <v>8.0</v>
      </c>
      <c r="CE181" s="87"/>
      <c r="CF181" s="87"/>
      <c r="CG181" s="87">
        <v>138.0</v>
      </c>
      <c r="CH181" s="87">
        <v>9717.0</v>
      </c>
      <c r="CI181" s="87"/>
      <c r="CJ181" s="87">
        <v>4036.0</v>
      </c>
      <c r="CK181" s="87">
        <v>4095.0</v>
      </c>
      <c r="CL181" s="87">
        <v>1338.0</v>
      </c>
      <c r="CM181" s="87">
        <v>39.0</v>
      </c>
      <c r="CN181" s="87"/>
      <c r="CO181" s="87">
        <v>277.0</v>
      </c>
      <c r="CP181" s="87">
        <v>1.0</v>
      </c>
      <c r="CQ181" s="87">
        <v>67.0</v>
      </c>
      <c r="CR181" s="87">
        <v>2.0</v>
      </c>
      <c r="CS181" s="87"/>
      <c r="CT181" s="87">
        <v>1477.0</v>
      </c>
      <c r="CU181" s="87">
        <v>217.0</v>
      </c>
      <c r="CV181" s="87">
        <v>91.0</v>
      </c>
      <c r="CW181" s="87">
        <v>644.0</v>
      </c>
      <c r="CX181" s="87">
        <v>132.0</v>
      </c>
      <c r="CY181" s="87">
        <v>362.0</v>
      </c>
      <c r="CZ181" s="87">
        <v>5.0</v>
      </c>
      <c r="DA181" s="87">
        <v>9.0</v>
      </c>
      <c r="DB181" s="87">
        <v>1422.0</v>
      </c>
      <c r="DC181" s="87">
        <v>532.0</v>
      </c>
      <c r="DD181" s="87">
        <v>1110.0</v>
      </c>
      <c r="DE181" s="87">
        <v>104.0</v>
      </c>
      <c r="DF181" s="87">
        <v>422.0</v>
      </c>
      <c r="DG181" s="87">
        <v>501.0</v>
      </c>
      <c r="DH181" s="87">
        <v>897.0</v>
      </c>
      <c r="DI181" s="87">
        <v>793.0</v>
      </c>
      <c r="DJ181" s="87">
        <v>3.0</v>
      </c>
      <c r="DK181" s="87">
        <v>182.0</v>
      </c>
      <c r="DL181" s="87">
        <v>845.0</v>
      </c>
      <c r="DM181" s="87">
        <v>106.0</v>
      </c>
      <c r="DN181" s="87">
        <v>1.0</v>
      </c>
      <c r="DO181" s="87">
        <v>1772.0</v>
      </c>
      <c r="DP181" s="87">
        <v>790.0</v>
      </c>
      <c r="DQ181" s="87">
        <v>963.0</v>
      </c>
      <c r="DR181" s="87">
        <v>1145.0</v>
      </c>
      <c r="DS181" s="87"/>
      <c r="DT181" s="87">
        <v>8.0</v>
      </c>
      <c r="DU181" s="87"/>
      <c r="DV181" s="87">
        <v>53.0</v>
      </c>
      <c r="DW181" s="87">
        <v>19.0</v>
      </c>
      <c r="DX181" s="87">
        <v>186.0</v>
      </c>
      <c r="DY181" s="87">
        <v>638.0</v>
      </c>
      <c r="DZ181" s="87">
        <v>142.0</v>
      </c>
      <c r="EA181" s="87">
        <v>11.0</v>
      </c>
      <c r="EB181" s="87">
        <v>164.0</v>
      </c>
      <c r="EC181" s="87">
        <v>143.0</v>
      </c>
      <c r="ED181" s="87">
        <v>3582.0</v>
      </c>
      <c r="EE181" s="87">
        <v>239.0</v>
      </c>
      <c r="EF181" s="87">
        <v>1.0</v>
      </c>
      <c r="EG181" s="87">
        <v>213.0</v>
      </c>
      <c r="EH181" s="87">
        <v>2.0</v>
      </c>
      <c r="EI181" s="87">
        <v>91.0</v>
      </c>
      <c r="EJ181" s="87">
        <v>9548.0</v>
      </c>
      <c r="EK181" s="88"/>
      <c r="EL181" s="88"/>
      <c r="EM181" s="88"/>
      <c r="EN181" s="88"/>
      <c r="EO181" s="88"/>
      <c r="EP181" s="88"/>
      <c r="EQ181" s="90"/>
    </row>
    <row r="182" ht="12.0" customHeight="1">
      <c r="A182" s="89">
        <v>1.06197931E8</v>
      </c>
      <c r="B182" s="89" t="s">
        <v>1401</v>
      </c>
      <c r="C182" s="89" t="s">
        <v>865</v>
      </c>
      <c r="D182" s="89" t="s">
        <v>1402</v>
      </c>
      <c r="E182" s="89" t="s">
        <v>1403</v>
      </c>
      <c r="F182" s="89" t="s">
        <v>931</v>
      </c>
      <c r="G182" s="89" t="s">
        <v>932</v>
      </c>
      <c r="H182" s="89" t="s">
        <v>503</v>
      </c>
      <c r="I182" s="89" t="s">
        <v>456</v>
      </c>
      <c r="J182" s="89" t="s">
        <v>499</v>
      </c>
      <c r="K182" s="89" t="s">
        <v>933</v>
      </c>
      <c r="L182" s="89" t="s">
        <v>934</v>
      </c>
      <c r="M182" s="89" t="s">
        <v>935</v>
      </c>
      <c r="N182" s="89" t="s">
        <v>441</v>
      </c>
      <c r="O182" s="87"/>
      <c r="P182" s="87"/>
      <c r="Q182" s="87">
        <v>166.0</v>
      </c>
      <c r="R182" s="87"/>
      <c r="S182" s="87"/>
      <c r="T182" s="87"/>
      <c r="U182" s="87">
        <v>82.0</v>
      </c>
      <c r="V182" s="87">
        <v>84.0</v>
      </c>
      <c r="W182" s="87"/>
      <c r="X182" s="87"/>
      <c r="Y182" s="87"/>
      <c r="Z182" s="87">
        <v>65.0</v>
      </c>
      <c r="AA182" s="87">
        <v>50.0</v>
      </c>
      <c r="AB182" s="87">
        <v>20.0</v>
      </c>
      <c r="AC182" s="87">
        <v>23.0</v>
      </c>
      <c r="AD182" s="87"/>
      <c r="AE182" s="87"/>
      <c r="AF182" s="87"/>
      <c r="AG182" s="87">
        <v>8.0</v>
      </c>
      <c r="AH182" s="87">
        <v>57.0</v>
      </c>
      <c r="AI182" s="87">
        <v>97.0</v>
      </c>
      <c r="AJ182" s="87">
        <v>12.0</v>
      </c>
      <c r="AK182" s="87"/>
      <c r="AL182" s="87"/>
      <c r="AM182" s="87"/>
      <c r="AN182" s="87">
        <v>48.0</v>
      </c>
      <c r="AO182" s="87">
        <v>99.0</v>
      </c>
      <c r="AP182" s="87">
        <v>19.0</v>
      </c>
      <c r="AQ182" s="87"/>
      <c r="AR182" s="87"/>
      <c r="AS182" s="87"/>
      <c r="AT182" s="87"/>
      <c r="AU182" s="87">
        <v>16.0</v>
      </c>
      <c r="AV182" s="87"/>
      <c r="AW182" s="87">
        <v>148.0</v>
      </c>
      <c r="AX182" s="87"/>
      <c r="AY182" s="87"/>
      <c r="AZ182" s="87"/>
      <c r="BA182" s="87">
        <v>2.0</v>
      </c>
      <c r="BB182" s="87"/>
      <c r="BC182" s="87"/>
      <c r="BD182" s="87"/>
      <c r="BE182" s="87"/>
      <c r="BF182" s="87">
        <v>16.0</v>
      </c>
      <c r="BG182" s="87">
        <v>150.0</v>
      </c>
      <c r="BH182" s="87"/>
      <c r="BI182" s="87">
        <v>3825.0</v>
      </c>
      <c r="BJ182" s="87"/>
      <c r="BK182" s="87">
        <v>166.0</v>
      </c>
      <c r="BL182" s="87"/>
      <c r="BM182" s="87"/>
      <c r="BN182" s="87"/>
      <c r="BO182" s="87"/>
      <c r="BP182" s="87">
        <v>134.0</v>
      </c>
      <c r="BQ182" s="87">
        <v>9.0</v>
      </c>
      <c r="BR182" s="87"/>
      <c r="BS182" s="87"/>
      <c r="BT182" s="87">
        <v>22.0</v>
      </c>
      <c r="BU182" s="87"/>
      <c r="BV182" s="87">
        <v>1.0</v>
      </c>
      <c r="BW182" s="87"/>
      <c r="BX182" s="87"/>
      <c r="BY182" s="87"/>
      <c r="BZ182" s="87"/>
      <c r="CA182" s="87"/>
      <c r="CB182" s="87"/>
      <c r="CC182" s="87"/>
      <c r="CD182" s="87"/>
      <c r="CE182" s="87"/>
      <c r="CF182" s="87"/>
      <c r="CG182" s="87"/>
      <c r="CH182" s="87">
        <v>166.0</v>
      </c>
      <c r="CI182" s="87"/>
      <c r="CJ182" s="87"/>
      <c r="CK182" s="87">
        <v>153.0</v>
      </c>
      <c r="CL182" s="87"/>
      <c r="CM182" s="87"/>
      <c r="CN182" s="87">
        <v>13.0</v>
      </c>
      <c r="CO182" s="87"/>
      <c r="CP182" s="87"/>
      <c r="CQ182" s="87"/>
      <c r="CR182" s="87"/>
      <c r="CS182" s="87"/>
      <c r="CT182" s="87"/>
      <c r="CU182" s="87"/>
      <c r="CV182" s="87"/>
      <c r="CW182" s="87"/>
      <c r="CX182" s="87">
        <v>166.0</v>
      </c>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v>166.0</v>
      </c>
      <c r="EE182" s="87"/>
      <c r="EF182" s="87"/>
      <c r="EG182" s="87">
        <v>34.0</v>
      </c>
      <c r="EH182" s="87"/>
      <c r="EI182" s="87">
        <v>2.0</v>
      </c>
      <c r="EJ182" s="87">
        <v>130.0</v>
      </c>
      <c r="EK182" s="88"/>
      <c r="EL182" s="88"/>
      <c r="EM182" s="88"/>
      <c r="EN182" s="88"/>
      <c r="EO182" s="88"/>
      <c r="EP182" s="88"/>
      <c r="EQ182" s="90"/>
    </row>
    <row r="183" ht="12.0" customHeight="1">
      <c r="A183" s="89">
        <v>1.06198495E8</v>
      </c>
      <c r="B183" s="89" t="s">
        <v>1404</v>
      </c>
      <c r="C183" s="89" t="s">
        <v>865</v>
      </c>
      <c r="D183" s="89" t="s">
        <v>1405</v>
      </c>
      <c r="E183" s="89" t="s">
        <v>1406</v>
      </c>
      <c r="F183" s="89" t="s">
        <v>911</v>
      </c>
      <c r="G183" s="89" t="s">
        <v>1172</v>
      </c>
      <c r="H183" s="89" t="s">
        <v>503</v>
      </c>
      <c r="I183" s="89" t="s">
        <v>456</v>
      </c>
      <c r="J183" s="89" t="s">
        <v>499</v>
      </c>
      <c r="K183" s="89" t="s">
        <v>913</v>
      </c>
      <c r="L183" s="89" t="s">
        <v>892</v>
      </c>
      <c r="M183" s="89" t="s">
        <v>1173</v>
      </c>
      <c r="N183" s="89" t="s">
        <v>441</v>
      </c>
      <c r="O183" s="87"/>
      <c r="P183" s="87"/>
      <c r="Q183" s="87">
        <v>1042.0</v>
      </c>
      <c r="R183" s="87"/>
      <c r="S183" s="87"/>
      <c r="T183" s="87"/>
      <c r="U183" s="87">
        <v>582.0</v>
      </c>
      <c r="V183" s="87">
        <v>460.0</v>
      </c>
      <c r="W183" s="87"/>
      <c r="X183" s="87"/>
      <c r="Y183" s="87">
        <v>49.0</v>
      </c>
      <c r="Z183" s="87">
        <v>358.0</v>
      </c>
      <c r="AA183" s="87">
        <v>182.0</v>
      </c>
      <c r="AB183" s="87">
        <v>120.0</v>
      </c>
      <c r="AC183" s="87">
        <v>147.0</v>
      </c>
      <c r="AD183" s="87">
        <v>114.0</v>
      </c>
      <c r="AE183" s="87">
        <v>53.0</v>
      </c>
      <c r="AF183" s="87">
        <v>18.0</v>
      </c>
      <c r="AG183" s="87">
        <v>1.0</v>
      </c>
      <c r="AH183" s="87">
        <v>186.0</v>
      </c>
      <c r="AI183" s="87">
        <v>819.0</v>
      </c>
      <c r="AJ183" s="87">
        <v>37.0</v>
      </c>
      <c r="AK183" s="87">
        <v>20.0</v>
      </c>
      <c r="AL183" s="87">
        <v>55.0</v>
      </c>
      <c r="AM183" s="87"/>
      <c r="AN183" s="87">
        <v>95.0</v>
      </c>
      <c r="AO183" s="87">
        <v>568.0</v>
      </c>
      <c r="AP183" s="87">
        <v>58.0</v>
      </c>
      <c r="AQ183" s="87">
        <v>170.0</v>
      </c>
      <c r="AR183" s="87">
        <v>76.0</v>
      </c>
      <c r="AS183" s="87">
        <v>680.0</v>
      </c>
      <c r="AT183" s="87">
        <v>16.0</v>
      </c>
      <c r="AU183" s="87">
        <v>86.0</v>
      </c>
      <c r="AV183" s="87">
        <v>138.0</v>
      </c>
      <c r="AW183" s="87">
        <v>115.0</v>
      </c>
      <c r="AX183" s="87"/>
      <c r="AY183" s="87"/>
      <c r="AZ183" s="87"/>
      <c r="BA183" s="87">
        <v>7.0</v>
      </c>
      <c r="BB183" s="87"/>
      <c r="BC183" s="87"/>
      <c r="BD183" s="87"/>
      <c r="BE183" s="87"/>
      <c r="BF183" s="87">
        <v>52.0</v>
      </c>
      <c r="BG183" s="87">
        <v>990.0</v>
      </c>
      <c r="BH183" s="87"/>
      <c r="BI183" s="87">
        <v>11029.0</v>
      </c>
      <c r="BJ183" s="87"/>
      <c r="BK183" s="87">
        <v>1040.0</v>
      </c>
      <c r="BL183" s="87">
        <v>2.0</v>
      </c>
      <c r="BM183" s="87"/>
      <c r="BN183" s="87"/>
      <c r="BO183" s="87"/>
      <c r="BP183" s="87">
        <v>438.0</v>
      </c>
      <c r="BQ183" s="87">
        <v>14.0</v>
      </c>
      <c r="BR183" s="87"/>
      <c r="BS183" s="87">
        <v>83.0</v>
      </c>
      <c r="BT183" s="87">
        <v>92.0</v>
      </c>
      <c r="BU183" s="87">
        <v>54.0</v>
      </c>
      <c r="BV183" s="87">
        <v>87.0</v>
      </c>
      <c r="BW183" s="87"/>
      <c r="BX183" s="87"/>
      <c r="BY183" s="87"/>
      <c r="BZ183" s="87">
        <v>4.0</v>
      </c>
      <c r="CA183" s="87"/>
      <c r="CB183" s="87"/>
      <c r="CC183" s="87"/>
      <c r="CD183" s="87">
        <v>270.0</v>
      </c>
      <c r="CE183" s="87"/>
      <c r="CF183" s="87"/>
      <c r="CG183" s="87"/>
      <c r="CH183" s="87">
        <v>1042.0</v>
      </c>
      <c r="CI183" s="87"/>
      <c r="CJ183" s="87">
        <v>348.0</v>
      </c>
      <c r="CK183" s="87">
        <v>1.0</v>
      </c>
      <c r="CL183" s="87">
        <v>674.0</v>
      </c>
      <c r="CM183" s="87"/>
      <c r="CN183" s="87">
        <v>1.0</v>
      </c>
      <c r="CO183" s="87">
        <v>5.0</v>
      </c>
      <c r="CP183" s="87"/>
      <c r="CQ183" s="87">
        <v>13.0</v>
      </c>
      <c r="CR183" s="87"/>
      <c r="CS183" s="87"/>
      <c r="CT183" s="87"/>
      <c r="CU183" s="87"/>
      <c r="CV183" s="87"/>
      <c r="CW183" s="87"/>
      <c r="CX183" s="87">
        <v>1031.0</v>
      </c>
      <c r="CY183" s="87">
        <v>6.0</v>
      </c>
      <c r="CZ183" s="87"/>
      <c r="DA183" s="87"/>
      <c r="DB183" s="87"/>
      <c r="DC183" s="87"/>
      <c r="DD183" s="87"/>
      <c r="DE183" s="87"/>
      <c r="DF183" s="87"/>
      <c r="DG183" s="87"/>
      <c r="DH183" s="87"/>
      <c r="DI183" s="87"/>
      <c r="DJ183" s="87"/>
      <c r="DK183" s="87">
        <v>3.0</v>
      </c>
      <c r="DL183" s="87"/>
      <c r="DM183" s="87"/>
      <c r="DN183" s="87">
        <v>2.0</v>
      </c>
      <c r="DO183" s="87"/>
      <c r="DP183" s="87"/>
      <c r="DQ183" s="87"/>
      <c r="DR183" s="87"/>
      <c r="DS183" s="87"/>
      <c r="DT183" s="87"/>
      <c r="DU183" s="87"/>
      <c r="DV183" s="87"/>
      <c r="DW183" s="87"/>
      <c r="DX183" s="87"/>
      <c r="DY183" s="87"/>
      <c r="DZ183" s="87"/>
      <c r="EA183" s="87"/>
      <c r="EB183" s="87"/>
      <c r="EC183" s="87"/>
      <c r="ED183" s="87">
        <v>1042.0</v>
      </c>
      <c r="EE183" s="87"/>
      <c r="EF183" s="87">
        <v>1.0</v>
      </c>
      <c r="EG183" s="87">
        <v>14.0</v>
      </c>
      <c r="EH183" s="87"/>
      <c r="EI183" s="87">
        <v>142.0</v>
      </c>
      <c r="EJ183" s="87">
        <v>885.0</v>
      </c>
      <c r="EK183" s="88"/>
      <c r="EL183" s="88"/>
      <c r="EM183" s="88"/>
      <c r="EN183" s="88"/>
      <c r="EO183" s="88"/>
      <c r="EP183" s="88"/>
      <c r="EQ183" s="90"/>
    </row>
    <row r="184" ht="12.0" customHeight="1">
      <c r="A184" s="89">
        <v>1.06201281E8</v>
      </c>
      <c r="B184" s="89" t="s">
        <v>1407</v>
      </c>
      <c r="C184" s="89" t="s">
        <v>1408</v>
      </c>
      <c r="D184" s="89" t="s">
        <v>1409</v>
      </c>
      <c r="E184" s="89" t="s">
        <v>1410</v>
      </c>
      <c r="F184" s="89" t="s">
        <v>1408</v>
      </c>
      <c r="G184" s="89" t="s">
        <v>1411</v>
      </c>
      <c r="H184" s="89" t="s">
        <v>447</v>
      </c>
      <c r="I184" s="89" t="s">
        <v>456</v>
      </c>
      <c r="J184" s="89" t="s">
        <v>437</v>
      </c>
      <c r="K184" s="89" t="s">
        <v>669</v>
      </c>
      <c r="L184" s="89" t="s">
        <v>545</v>
      </c>
      <c r="M184" s="89" t="s">
        <v>1412</v>
      </c>
      <c r="N184" s="89" t="s">
        <v>547</v>
      </c>
      <c r="O184" s="87">
        <v>3724.0</v>
      </c>
      <c r="P184" s="87"/>
      <c r="Q184" s="87"/>
      <c r="R184" s="87"/>
      <c r="S184" s="87"/>
      <c r="T184" s="87"/>
      <c r="U184" s="87">
        <v>1523.0</v>
      </c>
      <c r="V184" s="87">
        <v>2200.0</v>
      </c>
      <c r="W184" s="87">
        <v>1.0</v>
      </c>
      <c r="X184" s="87">
        <v>721.0</v>
      </c>
      <c r="Y184" s="87">
        <v>81.0</v>
      </c>
      <c r="Z184" s="87">
        <v>474.0</v>
      </c>
      <c r="AA184" s="87">
        <v>476.0</v>
      </c>
      <c r="AB184" s="87">
        <v>292.0</v>
      </c>
      <c r="AC184" s="87">
        <v>376.0</v>
      </c>
      <c r="AD184" s="87">
        <v>507.0</v>
      </c>
      <c r="AE184" s="87">
        <v>398.0</v>
      </c>
      <c r="AF184" s="87">
        <v>399.0</v>
      </c>
      <c r="AG184" s="87"/>
      <c r="AH184" s="87">
        <v>2700.0</v>
      </c>
      <c r="AI184" s="87">
        <v>998.0</v>
      </c>
      <c r="AJ184" s="87">
        <v>26.0</v>
      </c>
      <c r="AK184" s="87"/>
      <c r="AL184" s="87">
        <v>80.0</v>
      </c>
      <c r="AM184" s="87"/>
      <c r="AN184" s="87">
        <v>109.0</v>
      </c>
      <c r="AO184" s="87">
        <v>3519.0</v>
      </c>
      <c r="AP184" s="87">
        <v>16.0</v>
      </c>
      <c r="AQ184" s="87"/>
      <c r="AR184" s="87"/>
      <c r="AS184" s="87">
        <v>2820.0</v>
      </c>
      <c r="AT184" s="87">
        <v>41.0</v>
      </c>
      <c r="AU184" s="87">
        <v>4.0</v>
      </c>
      <c r="AV184" s="87">
        <v>58.0</v>
      </c>
      <c r="AW184" s="87">
        <v>5.0</v>
      </c>
      <c r="AX184" s="87"/>
      <c r="AY184" s="87"/>
      <c r="AZ184" s="87">
        <v>1.0</v>
      </c>
      <c r="BA184" s="87">
        <v>74.0</v>
      </c>
      <c r="BB184" s="87"/>
      <c r="BC184" s="87">
        <v>721.0</v>
      </c>
      <c r="BD184" s="87"/>
      <c r="BE184" s="87">
        <v>2079.0</v>
      </c>
      <c r="BF184" s="87"/>
      <c r="BG184" s="87">
        <v>1645.0</v>
      </c>
      <c r="BH184" s="87"/>
      <c r="BI184" s="87">
        <v>17863.0</v>
      </c>
      <c r="BJ184" s="87">
        <v>2195.0</v>
      </c>
      <c r="BK184" s="87">
        <v>61.0</v>
      </c>
      <c r="BL184" s="87">
        <v>746.0</v>
      </c>
      <c r="BM184" s="87">
        <v>721.0</v>
      </c>
      <c r="BN184" s="87"/>
      <c r="BO184" s="87">
        <v>1.0</v>
      </c>
      <c r="BP184" s="87">
        <v>2634.0</v>
      </c>
      <c r="BQ184" s="87">
        <v>125.0</v>
      </c>
      <c r="BR184" s="87"/>
      <c r="BS184" s="87">
        <v>324.0</v>
      </c>
      <c r="BT184" s="87"/>
      <c r="BU184" s="87">
        <v>95.0</v>
      </c>
      <c r="BV184" s="87">
        <v>87.0</v>
      </c>
      <c r="BW184" s="87">
        <v>132.0</v>
      </c>
      <c r="BX184" s="87">
        <v>314.0</v>
      </c>
      <c r="BY184" s="87"/>
      <c r="BZ184" s="87">
        <v>2.0</v>
      </c>
      <c r="CA184" s="87"/>
      <c r="CB184" s="87">
        <v>3.0</v>
      </c>
      <c r="CC184" s="87"/>
      <c r="CD184" s="87"/>
      <c r="CE184" s="87">
        <v>8.0</v>
      </c>
      <c r="CF184" s="87"/>
      <c r="CG184" s="87">
        <v>116.0</v>
      </c>
      <c r="CH184" s="87">
        <v>3608.0</v>
      </c>
      <c r="CI184" s="87"/>
      <c r="CJ184" s="87">
        <v>1048.0</v>
      </c>
      <c r="CK184" s="87">
        <v>2204.0</v>
      </c>
      <c r="CL184" s="87">
        <v>329.0</v>
      </c>
      <c r="CM184" s="87">
        <v>5.0</v>
      </c>
      <c r="CN184" s="87"/>
      <c r="CO184" s="87">
        <v>18.0</v>
      </c>
      <c r="CP184" s="87"/>
      <c r="CQ184" s="87">
        <v>34.0</v>
      </c>
      <c r="CR184" s="87">
        <v>86.0</v>
      </c>
      <c r="CS184" s="87"/>
      <c r="CT184" s="87">
        <v>276.0</v>
      </c>
      <c r="CU184" s="87">
        <v>46.0</v>
      </c>
      <c r="CV184" s="87">
        <v>10.0</v>
      </c>
      <c r="CW184" s="87">
        <v>203.0</v>
      </c>
      <c r="CX184" s="87">
        <v>57.0</v>
      </c>
      <c r="CY184" s="87">
        <v>60.0</v>
      </c>
      <c r="CZ184" s="87"/>
      <c r="DA184" s="87">
        <v>1.0</v>
      </c>
      <c r="DB184" s="87">
        <v>332.0</v>
      </c>
      <c r="DC184" s="87">
        <v>249.0</v>
      </c>
      <c r="DD184" s="87">
        <v>520.0</v>
      </c>
      <c r="DE184" s="87">
        <v>55.0</v>
      </c>
      <c r="DF184" s="87">
        <v>35.0</v>
      </c>
      <c r="DG184" s="87">
        <v>194.0</v>
      </c>
      <c r="DH184" s="87">
        <v>732.0</v>
      </c>
      <c r="DI184" s="87">
        <v>721.0</v>
      </c>
      <c r="DJ184" s="87"/>
      <c r="DK184" s="87">
        <v>43.0</v>
      </c>
      <c r="DL184" s="87">
        <v>184.0</v>
      </c>
      <c r="DM184" s="87">
        <v>6.0</v>
      </c>
      <c r="DN184" s="87"/>
      <c r="DO184" s="87">
        <v>992.0</v>
      </c>
      <c r="DP184" s="87">
        <v>704.0</v>
      </c>
      <c r="DQ184" s="87">
        <v>159.0</v>
      </c>
      <c r="DR184" s="87">
        <v>477.0</v>
      </c>
      <c r="DS184" s="87"/>
      <c r="DT184" s="87">
        <v>3.0</v>
      </c>
      <c r="DU184" s="87">
        <v>1.0</v>
      </c>
      <c r="DV184" s="87">
        <v>34.0</v>
      </c>
      <c r="DW184" s="87">
        <v>2.0</v>
      </c>
      <c r="DX184" s="87">
        <v>52.0</v>
      </c>
      <c r="DY184" s="87">
        <v>183.0</v>
      </c>
      <c r="DZ184" s="87">
        <v>15.0</v>
      </c>
      <c r="EA184" s="87">
        <v>2.0</v>
      </c>
      <c r="EB184" s="87">
        <v>64.0</v>
      </c>
      <c r="EC184" s="87">
        <v>7.0</v>
      </c>
      <c r="ED184" s="87">
        <v>991.0</v>
      </c>
      <c r="EE184" s="87">
        <v>38.0</v>
      </c>
      <c r="EF184" s="87"/>
      <c r="EG184" s="87">
        <v>95.0</v>
      </c>
      <c r="EH184" s="87"/>
      <c r="EI184" s="87">
        <v>11.0</v>
      </c>
      <c r="EJ184" s="87">
        <v>3618.0</v>
      </c>
      <c r="EK184" s="88"/>
      <c r="EL184" s="88"/>
      <c r="EM184" s="88"/>
      <c r="EN184" s="88"/>
      <c r="EO184" s="88"/>
      <c r="EP184" s="88"/>
      <c r="EQ184" s="90"/>
    </row>
    <row r="185" ht="12.0" customHeight="1">
      <c r="A185" s="89">
        <v>1.06204019E8</v>
      </c>
      <c r="B185" s="89" t="s">
        <v>1413</v>
      </c>
      <c r="C185" s="89" t="s">
        <v>1408</v>
      </c>
      <c r="D185" s="89" t="s">
        <v>1414</v>
      </c>
      <c r="E185" s="89" t="s">
        <v>1415</v>
      </c>
      <c r="F185" s="89" t="s">
        <v>1408</v>
      </c>
      <c r="G185" s="89" t="s">
        <v>1416</v>
      </c>
      <c r="H185" s="89" t="s">
        <v>447</v>
      </c>
      <c r="I185" s="89" t="s">
        <v>456</v>
      </c>
      <c r="J185" s="89" t="s">
        <v>448</v>
      </c>
      <c r="K185" s="89" t="s">
        <v>669</v>
      </c>
      <c r="L185" s="89" t="s">
        <v>545</v>
      </c>
      <c r="M185" s="89" t="s">
        <v>1412</v>
      </c>
      <c r="N185" s="89" t="s">
        <v>547</v>
      </c>
      <c r="O185" s="87">
        <v>10220.0</v>
      </c>
      <c r="P185" s="87"/>
      <c r="Q185" s="87"/>
      <c r="R185" s="87"/>
      <c r="S185" s="87">
        <v>79.0</v>
      </c>
      <c r="T185" s="87"/>
      <c r="U185" s="87">
        <v>5674.0</v>
      </c>
      <c r="V185" s="87">
        <v>4624.0</v>
      </c>
      <c r="W185" s="87">
        <v>1.0</v>
      </c>
      <c r="X185" s="87">
        <v>7133.0</v>
      </c>
      <c r="Y185" s="87">
        <v>3035.0</v>
      </c>
      <c r="Z185" s="87">
        <v>131.0</v>
      </c>
      <c r="AA185" s="87"/>
      <c r="AB185" s="87"/>
      <c r="AC185" s="87"/>
      <c r="AD185" s="87"/>
      <c r="AE185" s="87"/>
      <c r="AF185" s="87"/>
      <c r="AG185" s="87"/>
      <c r="AH185" s="87">
        <v>6709.0</v>
      </c>
      <c r="AI185" s="87">
        <v>3418.0</v>
      </c>
      <c r="AJ185" s="87">
        <v>172.0</v>
      </c>
      <c r="AK185" s="87">
        <v>31.0</v>
      </c>
      <c r="AL185" s="87">
        <v>594.0</v>
      </c>
      <c r="AM185" s="87">
        <v>18.0</v>
      </c>
      <c r="AN185" s="87">
        <v>520.0</v>
      </c>
      <c r="AO185" s="87">
        <v>7981.0</v>
      </c>
      <c r="AP185" s="87">
        <v>146.0</v>
      </c>
      <c r="AQ185" s="87">
        <v>743.0</v>
      </c>
      <c r="AR185" s="87">
        <v>266.0</v>
      </c>
      <c r="AS185" s="87">
        <v>6571.0</v>
      </c>
      <c r="AT185" s="87">
        <v>1048.0</v>
      </c>
      <c r="AU185" s="87">
        <v>2577.0</v>
      </c>
      <c r="AV185" s="87">
        <v>1.0</v>
      </c>
      <c r="AW185" s="87">
        <v>21.0</v>
      </c>
      <c r="AX185" s="87">
        <v>64.0</v>
      </c>
      <c r="AY185" s="87"/>
      <c r="AZ185" s="87">
        <v>11.0</v>
      </c>
      <c r="BA185" s="87"/>
      <c r="BB185" s="87">
        <v>6.0</v>
      </c>
      <c r="BC185" s="87"/>
      <c r="BD185" s="87"/>
      <c r="BE185" s="87">
        <v>7102.0</v>
      </c>
      <c r="BF185" s="87">
        <v>220.0</v>
      </c>
      <c r="BG185" s="87">
        <v>2977.0</v>
      </c>
      <c r="BH185" s="87"/>
      <c r="BI185" s="87">
        <v>62619.0</v>
      </c>
      <c r="BJ185" s="87">
        <v>1801.0</v>
      </c>
      <c r="BK185" s="87">
        <v>6431.0</v>
      </c>
      <c r="BL185" s="87">
        <v>1740.0</v>
      </c>
      <c r="BM185" s="87"/>
      <c r="BN185" s="87">
        <v>325.0</v>
      </c>
      <c r="BO185" s="87">
        <v>2.0</v>
      </c>
      <c r="BP185" s="87">
        <v>10060.0</v>
      </c>
      <c r="BQ185" s="87">
        <v>106.0</v>
      </c>
      <c r="BR185" s="87">
        <v>1.0</v>
      </c>
      <c r="BS185" s="87"/>
      <c r="BT185" s="87"/>
      <c r="BU185" s="87">
        <v>37.0</v>
      </c>
      <c r="BV185" s="87">
        <v>2.0</v>
      </c>
      <c r="BW185" s="87">
        <v>67.0</v>
      </c>
      <c r="BX185" s="87">
        <v>7.0</v>
      </c>
      <c r="BY185" s="87"/>
      <c r="BZ185" s="87"/>
      <c r="CA185" s="87"/>
      <c r="CB185" s="87">
        <v>19.0</v>
      </c>
      <c r="CC185" s="87"/>
      <c r="CD185" s="87"/>
      <c r="CE185" s="87"/>
      <c r="CF185" s="87"/>
      <c r="CG185" s="87">
        <v>44.0</v>
      </c>
      <c r="CH185" s="87">
        <v>10255.0</v>
      </c>
      <c r="CI185" s="87"/>
      <c r="CJ185" s="87">
        <v>7.0</v>
      </c>
      <c r="CK185" s="87">
        <v>4407.0</v>
      </c>
      <c r="CL185" s="87">
        <v>2472.0</v>
      </c>
      <c r="CM185" s="87">
        <v>1.0</v>
      </c>
      <c r="CN185" s="87"/>
      <c r="CO185" s="87">
        <v>3369.0</v>
      </c>
      <c r="CP185" s="87"/>
      <c r="CQ185" s="87">
        <v>43.0</v>
      </c>
      <c r="CR185" s="87"/>
      <c r="CS185" s="87"/>
      <c r="CT185" s="87">
        <v>474.0</v>
      </c>
      <c r="CU185" s="87">
        <v>278.0</v>
      </c>
      <c r="CV185" s="87">
        <v>232.0</v>
      </c>
      <c r="CW185" s="87">
        <v>510.0</v>
      </c>
      <c r="CX185" s="87">
        <v>91.0</v>
      </c>
      <c r="CY185" s="87">
        <v>752.0</v>
      </c>
      <c r="CZ185" s="87">
        <v>43.0</v>
      </c>
      <c r="DA185" s="87">
        <v>34.0</v>
      </c>
      <c r="DB185" s="87">
        <v>154.0</v>
      </c>
      <c r="DC185" s="87">
        <v>2717.0</v>
      </c>
      <c r="DD185" s="87">
        <v>1123.0</v>
      </c>
      <c r="DE185" s="87">
        <v>193.0</v>
      </c>
      <c r="DF185" s="87">
        <v>325.0</v>
      </c>
      <c r="DG185" s="87">
        <v>328.0</v>
      </c>
      <c r="DH185" s="87"/>
      <c r="DI185" s="87">
        <v>914.0</v>
      </c>
      <c r="DJ185" s="87">
        <v>509.0</v>
      </c>
      <c r="DK185" s="87">
        <v>283.0</v>
      </c>
      <c r="DL185" s="87">
        <v>781.0</v>
      </c>
      <c r="DM185" s="87">
        <v>554.0</v>
      </c>
      <c r="DN185" s="87">
        <v>4.0</v>
      </c>
      <c r="DO185" s="87">
        <v>3874.0</v>
      </c>
      <c r="DP185" s="87"/>
      <c r="DQ185" s="87">
        <v>327.0</v>
      </c>
      <c r="DR185" s="87">
        <v>849.0</v>
      </c>
      <c r="DS185" s="87">
        <v>33.0</v>
      </c>
      <c r="DT185" s="87">
        <v>15.0</v>
      </c>
      <c r="DU185" s="87">
        <v>16.0</v>
      </c>
      <c r="DV185" s="87">
        <v>28.0</v>
      </c>
      <c r="DW185" s="87">
        <v>47.0</v>
      </c>
      <c r="DX185" s="87">
        <v>208.0</v>
      </c>
      <c r="DY185" s="87">
        <v>468.0</v>
      </c>
      <c r="DZ185" s="87">
        <v>422.0</v>
      </c>
      <c r="EA185" s="87">
        <v>105.0</v>
      </c>
      <c r="EB185" s="87">
        <v>917.0</v>
      </c>
      <c r="EC185" s="87">
        <v>92.0</v>
      </c>
      <c r="ED185" s="87">
        <v>2526.0</v>
      </c>
      <c r="EE185" s="87">
        <v>372.0</v>
      </c>
      <c r="EF185" s="87"/>
      <c r="EG185" s="87">
        <v>6.0</v>
      </c>
      <c r="EH185" s="87"/>
      <c r="EI185" s="87">
        <v>28.0</v>
      </c>
      <c r="EJ185" s="87">
        <v>10265.0</v>
      </c>
      <c r="EK185" s="88"/>
      <c r="EL185" s="88"/>
      <c r="EM185" s="88"/>
      <c r="EN185" s="88"/>
      <c r="EO185" s="88"/>
      <c r="EP185" s="88"/>
      <c r="EQ185" s="90"/>
    </row>
    <row r="186" ht="12.0" customHeight="1">
      <c r="A186" s="89">
        <v>1.06210992E8</v>
      </c>
      <c r="B186" s="89" t="s">
        <v>1417</v>
      </c>
      <c r="C186" s="89" t="s">
        <v>1418</v>
      </c>
      <c r="D186" s="89" t="s">
        <v>1419</v>
      </c>
      <c r="E186" s="89" t="s">
        <v>1420</v>
      </c>
      <c r="F186" s="89" t="s">
        <v>1421</v>
      </c>
      <c r="G186" s="89" t="s">
        <v>1422</v>
      </c>
      <c r="H186" s="89" t="s">
        <v>447</v>
      </c>
      <c r="I186" s="89" t="s">
        <v>456</v>
      </c>
      <c r="J186" s="89" t="s">
        <v>437</v>
      </c>
      <c r="K186" s="89" t="s">
        <v>637</v>
      </c>
      <c r="L186" s="89" t="s">
        <v>486</v>
      </c>
      <c r="M186" s="89" t="s">
        <v>1423</v>
      </c>
      <c r="N186" s="89" t="s">
        <v>441</v>
      </c>
      <c r="O186" s="87">
        <v>3536.0</v>
      </c>
      <c r="P186" s="87"/>
      <c r="Q186" s="87"/>
      <c r="R186" s="87"/>
      <c r="S186" s="87"/>
      <c r="T186" s="87"/>
      <c r="U186" s="87">
        <v>1785.0</v>
      </c>
      <c r="V186" s="87">
        <v>1751.0</v>
      </c>
      <c r="W186" s="87"/>
      <c r="X186" s="87"/>
      <c r="Y186" s="87">
        <v>24.0</v>
      </c>
      <c r="Z186" s="87">
        <v>56.0</v>
      </c>
      <c r="AA186" s="87">
        <v>91.0</v>
      </c>
      <c r="AB186" s="87">
        <v>155.0</v>
      </c>
      <c r="AC186" s="87">
        <v>340.0</v>
      </c>
      <c r="AD186" s="87">
        <v>668.0</v>
      </c>
      <c r="AE186" s="87">
        <v>981.0</v>
      </c>
      <c r="AF186" s="87">
        <v>1221.0</v>
      </c>
      <c r="AG186" s="87"/>
      <c r="AH186" s="87">
        <v>223.0</v>
      </c>
      <c r="AI186" s="87">
        <v>3279.0</v>
      </c>
      <c r="AJ186" s="87">
        <v>34.0</v>
      </c>
      <c r="AK186" s="87">
        <v>16.0</v>
      </c>
      <c r="AL186" s="87">
        <v>170.0</v>
      </c>
      <c r="AM186" s="87"/>
      <c r="AN186" s="87">
        <v>111.0</v>
      </c>
      <c r="AO186" s="87">
        <v>2935.0</v>
      </c>
      <c r="AP186" s="87">
        <v>42.0</v>
      </c>
      <c r="AQ186" s="87">
        <v>240.0</v>
      </c>
      <c r="AR186" s="87">
        <v>22.0</v>
      </c>
      <c r="AS186" s="87">
        <v>3120.0</v>
      </c>
      <c r="AT186" s="87">
        <v>36.0</v>
      </c>
      <c r="AU186" s="87">
        <v>253.0</v>
      </c>
      <c r="AV186" s="87">
        <v>50.0</v>
      </c>
      <c r="AW186" s="87">
        <v>42.0</v>
      </c>
      <c r="AX186" s="87">
        <v>4.0</v>
      </c>
      <c r="AY186" s="87">
        <v>1.0</v>
      </c>
      <c r="AZ186" s="87"/>
      <c r="BA186" s="87"/>
      <c r="BB186" s="87">
        <v>30.0</v>
      </c>
      <c r="BC186" s="87"/>
      <c r="BD186" s="87"/>
      <c r="BE186" s="87">
        <v>2940.0</v>
      </c>
      <c r="BF186" s="87">
        <v>113.0</v>
      </c>
      <c r="BG186" s="87">
        <v>483.0</v>
      </c>
      <c r="BH186" s="87"/>
      <c r="BI186" s="87">
        <v>16098.0</v>
      </c>
      <c r="BJ186" s="87">
        <v>651.0</v>
      </c>
      <c r="BK186" s="87">
        <v>2613.0</v>
      </c>
      <c r="BL186" s="87">
        <v>272.0</v>
      </c>
      <c r="BM186" s="87"/>
      <c r="BN186" s="87"/>
      <c r="BO186" s="87"/>
      <c r="BP186" s="87">
        <v>1873.0</v>
      </c>
      <c r="BQ186" s="87">
        <v>199.0</v>
      </c>
      <c r="BR186" s="87">
        <v>10.0</v>
      </c>
      <c r="BS186" s="87">
        <v>305.0</v>
      </c>
      <c r="BT186" s="87">
        <v>1.0</v>
      </c>
      <c r="BU186" s="87">
        <v>2.0</v>
      </c>
      <c r="BV186" s="87">
        <v>51.0</v>
      </c>
      <c r="BW186" s="87">
        <v>135.0</v>
      </c>
      <c r="BX186" s="87">
        <v>787.0</v>
      </c>
      <c r="BY186" s="87"/>
      <c r="BZ186" s="87"/>
      <c r="CA186" s="87">
        <v>156.0</v>
      </c>
      <c r="CB186" s="87">
        <v>10.0</v>
      </c>
      <c r="CC186" s="87"/>
      <c r="CD186" s="87">
        <v>7.0</v>
      </c>
      <c r="CE186" s="87"/>
      <c r="CF186" s="87"/>
      <c r="CG186" s="87">
        <v>1012.0</v>
      </c>
      <c r="CH186" s="87">
        <v>2524.0</v>
      </c>
      <c r="CI186" s="87"/>
      <c r="CJ186" s="87">
        <v>2559.0</v>
      </c>
      <c r="CK186" s="87">
        <v>98.0</v>
      </c>
      <c r="CL186" s="87">
        <v>852.0</v>
      </c>
      <c r="CM186" s="87">
        <v>2.0</v>
      </c>
      <c r="CN186" s="87"/>
      <c r="CO186" s="87">
        <v>1.0</v>
      </c>
      <c r="CP186" s="87"/>
      <c r="CQ186" s="87">
        <v>24.0</v>
      </c>
      <c r="CR186" s="87"/>
      <c r="CS186" s="87"/>
      <c r="CT186" s="87">
        <v>820.0</v>
      </c>
      <c r="CU186" s="87">
        <v>153.0</v>
      </c>
      <c r="CV186" s="87">
        <v>62.0</v>
      </c>
      <c r="CW186" s="87">
        <v>110.0</v>
      </c>
      <c r="CX186" s="87">
        <v>72.0</v>
      </c>
      <c r="CY186" s="87">
        <v>100.0</v>
      </c>
      <c r="CZ186" s="87">
        <v>2.0</v>
      </c>
      <c r="DA186" s="87">
        <v>3.0</v>
      </c>
      <c r="DB186" s="87">
        <v>707.0</v>
      </c>
      <c r="DC186" s="87">
        <v>221.0</v>
      </c>
      <c r="DD186" s="87">
        <v>525.0</v>
      </c>
      <c r="DE186" s="87">
        <v>56.0</v>
      </c>
      <c r="DF186" s="87">
        <v>157.0</v>
      </c>
      <c r="DG186" s="87">
        <v>157.0</v>
      </c>
      <c r="DH186" s="87"/>
      <c r="DI186" s="87"/>
      <c r="DJ186" s="87">
        <v>4.0</v>
      </c>
      <c r="DK186" s="87">
        <v>47.0</v>
      </c>
      <c r="DL186" s="87">
        <v>333.0</v>
      </c>
      <c r="DM186" s="87">
        <v>5.0</v>
      </c>
      <c r="DN186" s="87">
        <v>2.0</v>
      </c>
      <c r="DO186" s="87">
        <v>827.0</v>
      </c>
      <c r="DP186" s="87"/>
      <c r="DQ186" s="87">
        <v>290.0</v>
      </c>
      <c r="DR186" s="87">
        <v>546.0</v>
      </c>
      <c r="DS186" s="87">
        <v>1.0</v>
      </c>
      <c r="DT186" s="87">
        <v>2.0</v>
      </c>
      <c r="DU186" s="87">
        <v>1.0</v>
      </c>
      <c r="DV186" s="87">
        <v>17.0</v>
      </c>
      <c r="DW186" s="87">
        <v>10.0</v>
      </c>
      <c r="DX186" s="87">
        <v>70.0</v>
      </c>
      <c r="DY186" s="87">
        <v>342.0</v>
      </c>
      <c r="DZ186" s="87">
        <v>16.0</v>
      </c>
      <c r="EA186" s="87">
        <v>16.0</v>
      </c>
      <c r="EB186" s="87">
        <v>92.0</v>
      </c>
      <c r="EC186" s="87">
        <v>173.0</v>
      </c>
      <c r="ED186" s="87">
        <v>992.0</v>
      </c>
      <c r="EE186" s="87">
        <v>141.0</v>
      </c>
      <c r="EF186" s="87"/>
      <c r="EG186" s="87">
        <v>24.0</v>
      </c>
      <c r="EH186" s="87"/>
      <c r="EI186" s="87">
        <v>11.0</v>
      </c>
      <c r="EJ186" s="87">
        <v>3501.0</v>
      </c>
      <c r="EK186" s="88"/>
      <c r="EL186" s="88"/>
      <c r="EM186" s="88"/>
      <c r="EN186" s="88"/>
      <c r="EO186" s="88"/>
      <c r="EP186" s="88"/>
      <c r="EQ186" s="90"/>
    </row>
    <row r="187" ht="12.0" customHeight="1">
      <c r="A187" s="89">
        <v>1.06210993E8</v>
      </c>
      <c r="B187" s="89" t="s">
        <v>1424</v>
      </c>
      <c r="C187" s="89" t="s">
        <v>1418</v>
      </c>
      <c r="D187" s="89" t="s">
        <v>1425</v>
      </c>
      <c r="E187" s="89" t="s">
        <v>1426</v>
      </c>
      <c r="F187" s="89" t="s">
        <v>1427</v>
      </c>
      <c r="G187" s="89" t="s">
        <v>1428</v>
      </c>
      <c r="H187" s="89" t="s">
        <v>475</v>
      </c>
      <c r="I187" s="89" t="s">
        <v>456</v>
      </c>
      <c r="J187" s="89" t="s">
        <v>463</v>
      </c>
      <c r="K187" s="89" t="s">
        <v>637</v>
      </c>
      <c r="L187" s="89" t="s">
        <v>486</v>
      </c>
      <c r="M187" s="89" t="s">
        <v>1423</v>
      </c>
      <c r="N187" s="89" t="s">
        <v>441</v>
      </c>
      <c r="O187" s="87">
        <v>629.0</v>
      </c>
      <c r="P187" s="87"/>
      <c r="Q187" s="87"/>
      <c r="R187" s="87"/>
      <c r="S187" s="87"/>
      <c r="T187" s="87"/>
      <c r="U187" s="87">
        <v>355.0</v>
      </c>
      <c r="V187" s="87">
        <v>274.0</v>
      </c>
      <c r="W187" s="87"/>
      <c r="X187" s="87"/>
      <c r="Y187" s="87"/>
      <c r="Z187" s="87">
        <v>15.0</v>
      </c>
      <c r="AA187" s="87">
        <v>50.0</v>
      </c>
      <c r="AB187" s="87">
        <v>45.0</v>
      </c>
      <c r="AC187" s="87">
        <v>125.0</v>
      </c>
      <c r="AD187" s="87">
        <v>162.0</v>
      </c>
      <c r="AE187" s="87">
        <v>136.0</v>
      </c>
      <c r="AF187" s="87">
        <v>90.0</v>
      </c>
      <c r="AG187" s="87">
        <v>6.0</v>
      </c>
      <c r="AH187" s="87">
        <v>75.0</v>
      </c>
      <c r="AI187" s="87">
        <v>456.0</v>
      </c>
      <c r="AJ187" s="87">
        <v>98.0</v>
      </c>
      <c r="AK187" s="87"/>
      <c r="AL187" s="87">
        <v>87.0</v>
      </c>
      <c r="AM187" s="87"/>
      <c r="AN187" s="87">
        <v>101.0</v>
      </c>
      <c r="AO187" s="87">
        <v>393.0</v>
      </c>
      <c r="AP187" s="87">
        <v>12.0</v>
      </c>
      <c r="AQ187" s="87">
        <v>36.0</v>
      </c>
      <c r="AR187" s="87"/>
      <c r="AS187" s="87">
        <v>1.0</v>
      </c>
      <c r="AT187" s="87"/>
      <c r="AU187" s="87">
        <v>624.0</v>
      </c>
      <c r="AV187" s="87">
        <v>4.0</v>
      </c>
      <c r="AW187" s="87"/>
      <c r="AX187" s="87"/>
      <c r="AY187" s="87"/>
      <c r="AZ187" s="87"/>
      <c r="BA187" s="87"/>
      <c r="BB187" s="87"/>
      <c r="BC187" s="87"/>
      <c r="BD187" s="87"/>
      <c r="BE187" s="87"/>
      <c r="BF187" s="87"/>
      <c r="BG187" s="87">
        <v>629.0</v>
      </c>
      <c r="BH187" s="87"/>
      <c r="BI187" s="87">
        <v>29590.0</v>
      </c>
      <c r="BJ187" s="87">
        <v>1.0</v>
      </c>
      <c r="BK187" s="87">
        <v>3.0</v>
      </c>
      <c r="BL187" s="87">
        <v>625.0</v>
      </c>
      <c r="BM187" s="87"/>
      <c r="BN187" s="87"/>
      <c r="BO187" s="87"/>
      <c r="BP187" s="87">
        <v>67.0</v>
      </c>
      <c r="BQ187" s="87">
        <v>173.0</v>
      </c>
      <c r="BR187" s="87">
        <v>38.0</v>
      </c>
      <c r="BS187" s="87">
        <v>147.0</v>
      </c>
      <c r="BT187" s="87">
        <v>71.0</v>
      </c>
      <c r="BU187" s="87">
        <v>9.0</v>
      </c>
      <c r="BV187" s="87">
        <v>13.0</v>
      </c>
      <c r="BW187" s="87">
        <v>44.0</v>
      </c>
      <c r="BX187" s="87">
        <v>56.0</v>
      </c>
      <c r="BY187" s="87"/>
      <c r="BZ187" s="87"/>
      <c r="CA187" s="87">
        <v>1.0</v>
      </c>
      <c r="CB187" s="87"/>
      <c r="CC187" s="87"/>
      <c r="CD187" s="87">
        <v>10.0</v>
      </c>
      <c r="CE187" s="87"/>
      <c r="CF187" s="87"/>
      <c r="CG187" s="87">
        <v>32.0</v>
      </c>
      <c r="CH187" s="87">
        <v>597.0</v>
      </c>
      <c r="CI187" s="87"/>
      <c r="CJ187" s="87">
        <v>311.0</v>
      </c>
      <c r="CK187" s="87">
        <v>132.0</v>
      </c>
      <c r="CL187" s="87">
        <v>182.0</v>
      </c>
      <c r="CM187" s="87">
        <v>2.0</v>
      </c>
      <c r="CN187" s="87"/>
      <c r="CO187" s="87"/>
      <c r="CP187" s="87"/>
      <c r="CQ187" s="87">
        <v>2.0</v>
      </c>
      <c r="CR187" s="87"/>
      <c r="CS187" s="87"/>
      <c r="CT187" s="87">
        <v>4.0</v>
      </c>
      <c r="CU187" s="87">
        <v>1.0</v>
      </c>
      <c r="CV187" s="87"/>
      <c r="CW187" s="87">
        <v>10.0</v>
      </c>
      <c r="CX187" s="87"/>
      <c r="CY187" s="87">
        <v>18.0</v>
      </c>
      <c r="CZ187" s="87"/>
      <c r="DA187" s="87"/>
      <c r="DB187" s="87">
        <v>31.0</v>
      </c>
      <c r="DC187" s="87">
        <v>370.0</v>
      </c>
      <c r="DD187" s="87">
        <v>16.0</v>
      </c>
      <c r="DE187" s="87">
        <v>22.0</v>
      </c>
      <c r="DF187" s="87">
        <v>31.0</v>
      </c>
      <c r="DG187" s="87">
        <v>9.0</v>
      </c>
      <c r="DH187" s="87"/>
      <c r="DI187" s="87"/>
      <c r="DJ187" s="87"/>
      <c r="DK187" s="87">
        <v>3.0</v>
      </c>
      <c r="DL187" s="87">
        <v>66.0</v>
      </c>
      <c r="DM187" s="87">
        <v>48.0</v>
      </c>
      <c r="DN187" s="87"/>
      <c r="DO187" s="87">
        <v>334.0</v>
      </c>
      <c r="DP187" s="87"/>
      <c r="DQ187" s="87">
        <v>50.0</v>
      </c>
      <c r="DR187" s="87">
        <v>5.0</v>
      </c>
      <c r="DS187" s="87"/>
      <c r="DT187" s="87"/>
      <c r="DU187" s="87"/>
      <c r="DV187" s="87"/>
      <c r="DW187" s="87"/>
      <c r="DX187" s="87">
        <v>9.0</v>
      </c>
      <c r="DY187" s="87"/>
      <c r="DZ187" s="87"/>
      <c r="EA187" s="87"/>
      <c r="EB187" s="87">
        <v>120.0</v>
      </c>
      <c r="EC187" s="87">
        <v>17.0</v>
      </c>
      <c r="ED187" s="87">
        <v>88.0</v>
      </c>
      <c r="EE187" s="87">
        <v>6.0</v>
      </c>
      <c r="EF187" s="87"/>
      <c r="EG187" s="87">
        <v>10.0</v>
      </c>
      <c r="EH187" s="87"/>
      <c r="EI187" s="87">
        <v>2.0</v>
      </c>
      <c r="EJ187" s="87">
        <v>617.0</v>
      </c>
      <c r="EK187" s="88"/>
      <c r="EL187" s="88"/>
      <c r="EM187" s="88"/>
      <c r="EN187" s="88"/>
      <c r="EO187" s="88"/>
      <c r="EP187" s="88"/>
      <c r="EQ187" s="90"/>
    </row>
    <row r="188" ht="12.0" customHeight="1">
      <c r="A188" s="89">
        <v>1.06211006E8</v>
      </c>
      <c r="B188" s="89" t="s">
        <v>1429</v>
      </c>
      <c r="C188" s="89" t="s">
        <v>1418</v>
      </c>
      <c r="D188" s="89" t="s">
        <v>1430</v>
      </c>
      <c r="E188" s="89" t="s">
        <v>1431</v>
      </c>
      <c r="F188" s="89" t="s">
        <v>1432</v>
      </c>
      <c r="G188" s="89" t="s">
        <v>1428</v>
      </c>
      <c r="H188" s="89" t="s">
        <v>447</v>
      </c>
      <c r="I188" s="89" t="s">
        <v>456</v>
      </c>
      <c r="J188" s="89" t="s">
        <v>448</v>
      </c>
      <c r="K188" s="89" t="s">
        <v>637</v>
      </c>
      <c r="L188" s="89" t="s">
        <v>486</v>
      </c>
      <c r="M188" s="89" t="s">
        <v>1423</v>
      </c>
      <c r="N188" s="89" t="s">
        <v>441</v>
      </c>
      <c r="O188" s="87">
        <v>10167.0</v>
      </c>
      <c r="P188" s="87"/>
      <c r="Q188" s="87">
        <v>523.0</v>
      </c>
      <c r="R188" s="87"/>
      <c r="S188" s="87"/>
      <c r="T188" s="87"/>
      <c r="U188" s="87">
        <v>4937.0</v>
      </c>
      <c r="V188" s="87">
        <v>5751.0</v>
      </c>
      <c r="W188" s="87">
        <v>2.0</v>
      </c>
      <c r="X188" s="87">
        <v>1553.0</v>
      </c>
      <c r="Y188" s="87">
        <v>104.0</v>
      </c>
      <c r="Z188" s="87">
        <v>715.0</v>
      </c>
      <c r="AA188" s="87">
        <v>1366.0</v>
      </c>
      <c r="AB188" s="87">
        <v>690.0</v>
      </c>
      <c r="AC188" s="87">
        <v>885.0</v>
      </c>
      <c r="AD188" s="87">
        <v>1351.0</v>
      </c>
      <c r="AE188" s="87">
        <v>1880.0</v>
      </c>
      <c r="AF188" s="87">
        <v>2143.0</v>
      </c>
      <c r="AG188" s="87">
        <v>3.0</v>
      </c>
      <c r="AH188" s="87">
        <v>2205.0</v>
      </c>
      <c r="AI188" s="87">
        <v>8315.0</v>
      </c>
      <c r="AJ188" s="87">
        <v>170.0</v>
      </c>
      <c r="AK188" s="87">
        <v>17.0</v>
      </c>
      <c r="AL188" s="87">
        <v>405.0</v>
      </c>
      <c r="AM188" s="87">
        <v>35.0</v>
      </c>
      <c r="AN188" s="87">
        <v>435.0</v>
      </c>
      <c r="AO188" s="87">
        <v>9115.0</v>
      </c>
      <c r="AP188" s="87">
        <v>102.0</v>
      </c>
      <c r="AQ188" s="87">
        <v>437.0</v>
      </c>
      <c r="AR188" s="87">
        <v>144.0</v>
      </c>
      <c r="AS188" s="87">
        <v>7742.0</v>
      </c>
      <c r="AT188" s="87">
        <v>476.0</v>
      </c>
      <c r="AU188" s="87">
        <v>420.0</v>
      </c>
      <c r="AV188" s="87">
        <v>235.0</v>
      </c>
      <c r="AW188" s="87">
        <v>153.0</v>
      </c>
      <c r="AX188" s="87">
        <v>121.0</v>
      </c>
      <c r="AY188" s="87">
        <v>1.0</v>
      </c>
      <c r="AZ188" s="87"/>
      <c r="BA188" s="87">
        <v>98.0</v>
      </c>
      <c r="BB188" s="87">
        <v>3.0</v>
      </c>
      <c r="BC188" s="87">
        <v>1441.0</v>
      </c>
      <c r="BD188" s="87"/>
      <c r="BE188" s="87">
        <v>6205.0</v>
      </c>
      <c r="BF188" s="87">
        <v>113.0</v>
      </c>
      <c r="BG188" s="87">
        <v>4372.0</v>
      </c>
      <c r="BH188" s="87"/>
      <c r="BI188" s="87">
        <v>51680.0</v>
      </c>
      <c r="BJ188" s="87">
        <v>4101.0</v>
      </c>
      <c r="BK188" s="87">
        <v>3280.0</v>
      </c>
      <c r="BL188" s="87">
        <v>1443.0</v>
      </c>
      <c r="BM188" s="87">
        <v>1441.0</v>
      </c>
      <c r="BN188" s="87">
        <v>400.0</v>
      </c>
      <c r="BO188" s="87">
        <v>25.0</v>
      </c>
      <c r="BP188" s="87">
        <v>7022.0</v>
      </c>
      <c r="BQ188" s="87">
        <v>244.0</v>
      </c>
      <c r="BR188" s="87">
        <v>69.0</v>
      </c>
      <c r="BS188" s="87">
        <v>1300.0</v>
      </c>
      <c r="BT188" s="87">
        <v>94.0</v>
      </c>
      <c r="BU188" s="87">
        <v>132.0</v>
      </c>
      <c r="BV188" s="87">
        <v>131.0</v>
      </c>
      <c r="BW188" s="87">
        <v>240.0</v>
      </c>
      <c r="BX188" s="87">
        <v>1198.0</v>
      </c>
      <c r="BY188" s="87">
        <v>1.0</v>
      </c>
      <c r="BZ188" s="87">
        <v>3.0</v>
      </c>
      <c r="CA188" s="87">
        <v>174.0</v>
      </c>
      <c r="CB188" s="87">
        <v>68.0</v>
      </c>
      <c r="CC188" s="87"/>
      <c r="CD188" s="87">
        <v>12.0</v>
      </c>
      <c r="CE188" s="87">
        <v>2.0</v>
      </c>
      <c r="CF188" s="87"/>
      <c r="CG188" s="87">
        <v>771.0</v>
      </c>
      <c r="CH188" s="87">
        <v>9918.0</v>
      </c>
      <c r="CI188" s="87">
        <v>1.0</v>
      </c>
      <c r="CJ188" s="87">
        <v>4455.0</v>
      </c>
      <c r="CK188" s="87">
        <v>2932.0</v>
      </c>
      <c r="CL188" s="87">
        <v>2922.0</v>
      </c>
      <c r="CM188" s="87">
        <v>27.0</v>
      </c>
      <c r="CN188" s="87"/>
      <c r="CO188" s="87">
        <v>250.0</v>
      </c>
      <c r="CP188" s="87"/>
      <c r="CQ188" s="87">
        <v>85.0</v>
      </c>
      <c r="CR188" s="87">
        <v>16.0</v>
      </c>
      <c r="CS188" s="87">
        <v>3.0</v>
      </c>
      <c r="CT188" s="87">
        <v>1034.0</v>
      </c>
      <c r="CU188" s="87">
        <v>289.0</v>
      </c>
      <c r="CV188" s="87">
        <v>82.0</v>
      </c>
      <c r="CW188" s="87">
        <v>273.0</v>
      </c>
      <c r="CX188" s="87">
        <v>736.0</v>
      </c>
      <c r="CY188" s="87">
        <v>310.0</v>
      </c>
      <c r="CZ188" s="87">
        <v>11.0</v>
      </c>
      <c r="DA188" s="87">
        <v>11.0</v>
      </c>
      <c r="DB188" s="87">
        <v>1611.0</v>
      </c>
      <c r="DC188" s="87">
        <v>410.0</v>
      </c>
      <c r="DD188" s="87">
        <v>804.0</v>
      </c>
      <c r="DE188" s="87">
        <v>166.0</v>
      </c>
      <c r="DF188" s="87">
        <v>336.0</v>
      </c>
      <c r="DG188" s="87">
        <v>363.0</v>
      </c>
      <c r="DH188" s="87">
        <v>1509.0</v>
      </c>
      <c r="DI188" s="87">
        <v>1470.0</v>
      </c>
      <c r="DJ188" s="87">
        <v>14.0</v>
      </c>
      <c r="DK188" s="87">
        <v>151.0</v>
      </c>
      <c r="DL188" s="87">
        <v>1085.0</v>
      </c>
      <c r="DM188" s="87">
        <v>25.0</v>
      </c>
      <c r="DN188" s="87"/>
      <c r="DO188" s="87">
        <v>1810.0</v>
      </c>
      <c r="DP188" s="87">
        <v>1450.0</v>
      </c>
      <c r="DQ188" s="87">
        <v>987.0</v>
      </c>
      <c r="DR188" s="87">
        <v>620.0</v>
      </c>
      <c r="DS188" s="87">
        <v>2.0</v>
      </c>
      <c r="DT188" s="87">
        <v>4.0</v>
      </c>
      <c r="DU188" s="87">
        <v>2.0</v>
      </c>
      <c r="DV188" s="87">
        <v>203.0</v>
      </c>
      <c r="DW188" s="87">
        <v>28.0</v>
      </c>
      <c r="DX188" s="87">
        <v>173.0</v>
      </c>
      <c r="DY188" s="87">
        <v>663.0</v>
      </c>
      <c r="DZ188" s="87">
        <v>204.0</v>
      </c>
      <c r="EA188" s="87">
        <v>90.0</v>
      </c>
      <c r="EB188" s="87">
        <v>157.0</v>
      </c>
      <c r="EC188" s="87">
        <v>132.0</v>
      </c>
      <c r="ED188" s="87">
        <v>3962.0</v>
      </c>
      <c r="EE188" s="87">
        <v>203.0</v>
      </c>
      <c r="EF188" s="87">
        <v>4.0</v>
      </c>
      <c r="EG188" s="87">
        <v>275.0</v>
      </c>
      <c r="EH188" s="87">
        <v>4.0</v>
      </c>
      <c r="EI188" s="87">
        <v>99.0</v>
      </c>
      <c r="EJ188" s="87">
        <v>10308.0</v>
      </c>
      <c r="EK188" s="88"/>
      <c r="EL188" s="88"/>
      <c r="EM188" s="88"/>
      <c r="EN188" s="88"/>
      <c r="EO188" s="88"/>
      <c r="EP188" s="88"/>
      <c r="EQ188" s="90"/>
    </row>
    <row r="189" ht="12.0" customHeight="1">
      <c r="A189" s="89">
        <v>1.06214034E8</v>
      </c>
      <c r="B189" s="89" t="s">
        <v>1433</v>
      </c>
      <c r="C189" s="89" t="s">
        <v>1418</v>
      </c>
      <c r="D189" s="89" t="s">
        <v>1434</v>
      </c>
      <c r="E189" s="89" t="s">
        <v>1435</v>
      </c>
      <c r="F189" s="89" t="s">
        <v>1436</v>
      </c>
      <c r="G189" s="89" t="s">
        <v>1437</v>
      </c>
      <c r="H189" s="89" t="s">
        <v>447</v>
      </c>
      <c r="I189" s="89" t="s">
        <v>456</v>
      </c>
      <c r="J189" s="89" t="s">
        <v>499</v>
      </c>
      <c r="K189" s="89" t="s">
        <v>637</v>
      </c>
      <c r="L189" s="89" t="s">
        <v>486</v>
      </c>
      <c r="M189" s="89" t="s">
        <v>1438</v>
      </c>
      <c r="N189" s="89" t="s">
        <v>441</v>
      </c>
      <c r="O189" s="87">
        <v>1929.0</v>
      </c>
      <c r="P189" s="87"/>
      <c r="Q189" s="87"/>
      <c r="R189" s="87"/>
      <c r="S189" s="87"/>
      <c r="T189" s="87"/>
      <c r="U189" s="87">
        <v>928.0</v>
      </c>
      <c r="V189" s="87">
        <v>1001.0</v>
      </c>
      <c r="W189" s="87"/>
      <c r="X189" s="87"/>
      <c r="Y189" s="87"/>
      <c r="Z189" s="87">
        <v>25.0</v>
      </c>
      <c r="AA189" s="87">
        <v>78.0</v>
      </c>
      <c r="AB189" s="87">
        <v>117.0</v>
      </c>
      <c r="AC189" s="87">
        <v>200.0</v>
      </c>
      <c r="AD189" s="87">
        <v>382.0</v>
      </c>
      <c r="AE189" s="87">
        <v>578.0</v>
      </c>
      <c r="AF189" s="87">
        <v>547.0</v>
      </c>
      <c r="AG189" s="87">
        <v>2.0</v>
      </c>
      <c r="AH189" s="87">
        <v>243.0</v>
      </c>
      <c r="AI189" s="87">
        <v>1573.0</v>
      </c>
      <c r="AJ189" s="87">
        <v>113.0</v>
      </c>
      <c r="AK189" s="87"/>
      <c r="AL189" s="87">
        <v>56.0</v>
      </c>
      <c r="AM189" s="87"/>
      <c r="AN189" s="87">
        <v>47.0</v>
      </c>
      <c r="AO189" s="87">
        <v>1550.0</v>
      </c>
      <c r="AP189" s="87">
        <v>94.0</v>
      </c>
      <c r="AQ189" s="87">
        <v>182.0</v>
      </c>
      <c r="AR189" s="87"/>
      <c r="AS189" s="87">
        <v>1802.0</v>
      </c>
      <c r="AT189" s="87">
        <v>9.0</v>
      </c>
      <c r="AU189" s="87">
        <v>49.0</v>
      </c>
      <c r="AV189" s="87">
        <v>68.0</v>
      </c>
      <c r="AW189" s="87"/>
      <c r="AX189" s="87"/>
      <c r="AY189" s="87">
        <v>1.0</v>
      </c>
      <c r="AZ189" s="87"/>
      <c r="BA189" s="87"/>
      <c r="BB189" s="87"/>
      <c r="BC189" s="87"/>
      <c r="BD189" s="87"/>
      <c r="BE189" s="87">
        <v>1390.0</v>
      </c>
      <c r="BF189" s="87">
        <v>21.0</v>
      </c>
      <c r="BG189" s="87">
        <v>518.0</v>
      </c>
      <c r="BH189" s="87"/>
      <c r="BI189" s="87">
        <v>6634.0</v>
      </c>
      <c r="BJ189" s="87">
        <v>773.0</v>
      </c>
      <c r="BK189" s="87">
        <v>678.0</v>
      </c>
      <c r="BL189" s="87">
        <v>478.0</v>
      </c>
      <c r="BM189" s="87"/>
      <c r="BN189" s="87"/>
      <c r="BO189" s="87"/>
      <c r="BP189" s="87">
        <v>783.0</v>
      </c>
      <c r="BQ189" s="87">
        <v>107.0</v>
      </c>
      <c r="BR189" s="87">
        <v>7.0</v>
      </c>
      <c r="BS189" s="87">
        <v>294.0</v>
      </c>
      <c r="BT189" s="87">
        <v>13.0</v>
      </c>
      <c r="BU189" s="87"/>
      <c r="BV189" s="87">
        <v>29.0</v>
      </c>
      <c r="BW189" s="87">
        <v>51.0</v>
      </c>
      <c r="BX189" s="87">
        <v>573.0</v>
      </c>
      <c r="BY189" s="87"/>
      <c r="BZ189" s="87"/>
      <c r="CA189" s="87">
        <v>62.0</v>
      </c>
      <c r="CB189" s="87">
        <v>3.0</v>
      </c>
      <c r="CC189" s="87"/>
      <c r="CD189" s="87">
        <v>7.0</v>
      </c>
      <c r="CE189" s="87"/>
      <c r="CF189" s="87"/>
      <c r="CG189" s="87">
        <v>250.0</v>
      </c>
      <c r="CH189" s="87">
        <v>1679.0</v>
      </c>
      <c r="CI189" s="87"/>
      <c r="CJ189" s="87">
        <v>1330.0</v>
      </c>
      <c r="CK189" s="87">
        <v>269.0</v>
      </c>
      <c r="CL189" s="87">
        <v>276.0</v>
      </c>
      <c r="CM189" s="87">
        <v>10.0</v>
      </c>
      <c r="CN189" s="87"/>
      <c r="CO189" s="87">
        <v>21.0</v>
      </c>
      <c r="CP189" s="87"/>
      <c r="CQ189" s="87">
        <v>23.0</v>
      </c>
      <c r="CR189" s="87"/>
      <c r="CS189" s="87"/>
      <c r="CT189" s="87">
        <v>380.0</v>
      </c>
      <c r="CU189" s="87">
        <v>29.0</v>
      </c>
      <c r="CV189" s="87">
        <v>20.0</v>
      </c>
      <c r="CW189" s="87">
        <v>72.0</v>
      </c>
      <c r="CX189" s="87">
        <v>25.0</v>
      </c>
      <c r="CY189" s="87">
        <v>72.0</v>
      </c>
      <c r="CZ189" s="87">
        <v>3.0</v>
      </c>
      <c r="DA189" s="87">
        <v>1.0</v>
      </c>
      <c r="DB189" s="87">
        <v>195.0</v>
      </c>
      <c r="DC189" s="87">
        <v>85.0</v>
      </c>
      <c r="DD189" s="87">
        <v>268.0</v>
      </c>
      <c r="DE189" s="87">
        <v>44.0</v>
      </c>
      <c r="DF189" s="87">
        <v>426.0</v>
      </c>
      <c r="DG189" s="87">
        <v>91.0</v>
      </c>
      <c r="DH189" s="87"/>
      <c r="DI189" s="87"/>
      <c r="DJ189" s="87"/>
      <c r="DK189" s="87">
        <v>25.0</v>
      </c>
      <c r="DL189" s="87">
        <v>183.0</v>
      </c>
      <c r="DM189" s="87">
        <v>8.0</v>
      </c>
      <c r="DN189" s="87">
        <v>2.0</v>
      </c>
      <c r="DO189" s="87">
        <v>195.0</v>
      </c>
      <c r="DP189" s="87"/>
      <c r="DQ189" s="87">
        <v>60.0</v>
      </c>
      <c r="DR189" s="87">
        <v>171.0</v>
      </c>
      <c r="DS189" s="87"/>
      <c r="DT189" s="87"/>
      <c r="DU189" s="87"/>
      <c r="DV189" s="87"/>
      <c r="DW189" s="87"/>
      <c r="DX189" s="87">
        <v>38.0</v>
      </c>
      <c r="DY189" s="87">
        <v>521.0</v>
      </c>
      <c r="DZ189" s="87">
        <v>19.0</v>
      </c>
      <c r="EA189" s="87">
        <v>6.0</v>
      </c>
      <c r="EB189" s="87">
        <v>16.0</v>
      </c>
      <c r="EC189" s="87">
        <v>14.0</v>
      </c>
      <c r="ED189" s="87">
        <v>840.0</v>
      </c>
      <c r="EE189" s="87">
        <v>49.0</v>
      </c>
      <c r="EF189" s="87"/>
      <c r="EG189" s="87">
        <v>48.0</v>
      </c>
      <c r="EH189" s="87">
        <v>4.0</v>
      </c>
      <c r="EI189" s="87">
        <v>14.0</v>
      </c>
      <c r="EJ189" s="87">
        <v>1863.0</v>
      </c>
      <c r="EK189" s="88"/>
      <c r="EL189" s="88"/>
      <c r="EM189" s="88"/>
      <c r="EN189" s="88"/>
      <c r="EO189" s="88"/>
      <c r="EP189" s="88"/>
      <c r="EQ189" s="90"/>
    </row>
    <row r="190" ht="12.0" customHeight="1">
      <c r="A190" s="89">
        <v>1.06220733E8</v>
      </c>
      <c r="B190" s="89" t="s">
        <v>1439</v>
      </c>
      <c r="C190" s="89" t="s">
        <v>1440</v>
      </c>
      <c r="D190" s="89" t="s">
        <v>1441</v>
      </c>
      <c r="E190" s="89" t="s">
        <v>1442</v>
      </c>
      <c r="F190" s="89" t="s">
        <v>1440</v>
      </c>
      <c r="G190" s="89" t="s">
        <v>1443</v>
      </c>
      <c r="H190" s="89" t="s">
        <v>494</v>
      </c>
      <c r="I190" s="89" t="s">
        <v>543</v>
      </c>
      <c r="J190" s="89" t="s">
        <v>499</v>
      </c>
      <c r="K190" s="89" t="s">
        <v>544</v>
      </c>
      <c r="L190" s="89" t="s">
        <v>545</v>
      </c>
      <c r="M190" s="89" t="s">
        <v>1444</v>
      </c>
      <c r="N190" s="89" t="s">
        <v>547</v>
      </c>
      <c r="O190" s="87">
        <v>212.0</v>
      </c>
      <c r="P190" s="87">
        <v>60.0</v>
      </c>
      <c r="Q190" s="87"/>
      <c r="R190" s="87"/>
      <c r="S190" s="87"/>
      <c r="T190" s="87"/>
      <c r="U190" s="87">
        <v>122.0</v>
      </c>
      <c r="V190" s="87">
        <v>150.0</v>
      </c>
      <c r="W190" s="87"/>
      <c r="X190" s="87"/>
      <c r="Y190" s="87"/>
      <c r="Z190" s="87"/>
      <c r="AA190" s="87">
        <v>14.0</v>
      </c>
      <c r="AB190" s="87"/>
      <c r="AC190" s="87">
        <v>17.0</v>
      </c>
      <c r="AD190" s="87">
        <v>54.0</v>
      </c>
      <c r="AE190" s="87">
        <v>68.0</v>
      </c>
      <c r="AF190" s="87">
        <v>102.0</v>
      </c>
      <c r="AG190" s="87">
        <v>17.0</v>
      </c>
      <c r="AH190" s="87">
        <v>11.0</v>
      </c>
      <c r="AI190" s="87">
        <v>248.0</v>
      </c>
      <c r="AJ190" s="87">
        <v>13.0</v>
      </c>
      <c r="AK190" s="87"/>
      <c r="AL190" s="87"/>
      <c r="AM190" s="87"/>
      <c r="AN190" s="87"/>
      <c r="AO190" s="87">
        <v>242.0</v>
      </c>
      <c r="AP190" s="87">
        <v>30.0</v>
      </c>
      <c r="AQ190" s="87"/>
      <c r="AR190" s="87"/>
      <c r="AS190" s="87">
        <v>267.0</v>
      </c>
      <c r="AT190" s="87"/>
      <c r="AU190" s="87"/>
      <c r="AV190" s="87">
        <v>2.0</v>
      </c>
      <c r="AW190" s="87"/>
      <c r="AX190" s="87">
        <v>3.0</v>
      </c>
      <c r="AY190" s="87"/>
      <c r="AZ190" s="87"/>
      <c r="BA190" s="87"/>
      <c r="BB190" s="87"/>
      <c r="BC190" s="87"/>
      <c r="BD190" s="87"/>
      <c r="BE190" s="87">
        <v>207.0</v>
      </c>
      <c r="BF190" s="87"/>
      <c r="BG190" s="87">
        <v>65.0</v>
      </c>
      <c r="BH190" s="87"/>
      <c r="BI190" s="87">
        <v>6508.0</v>
      </c>
      <c r="BJ190" s="87">
        <v>2.0</v>
      </c>
      <c r="BK190" s="87">
        <v>210.0</v>
      </c>
      <c r="BL190" s="87">
        <v>60.0</v>
      </c>
      <c r="BM190" s="87"/>
      <c r="BN190" s="87"/>
      <c r="BO190" s="87"/>
      <c r="BP190" s="87">
        <v>120.0</v>
      </c>
      <c r="BQ190" s="87">
        <v>41.0</v>
      </c>
      <c r="BR190" s="87">
        <v>4.0</v>
      </c>
      <c r="BS190" s="87">
        <v>46.0</v>
      </c>
      <c r="BT190" s="87"/>
      <c r="BU190" s="87"/>
      <c r="BV190" s="87">
        <v>10.0</v>
      </c>
      <c r="BW190" s="87">
        <v>10.0</v>
      </c>
      <c r="BX190" s="87">
        <v>38.0</v>
      </c>
      <c r="BY190" s="87"/>
      <c r="BZ190" s="87"/>
      <c r="CA190" s="87"/>
      <c r="CB190" s="87"/>
      <c r="CC190" s="87">
        <v>3.0</v>
      </c>
      <c r="CD190" s="87"/>
      <c r="CE190" s="87"/>
      <c r="CF190" s="87"/>
      <c r="CG190" s="87">
        <v>64.0</v>
      </c>
      <c r="CH190" s="87">
        <v>208.0</v>
      </c>
      <c r="CI190" s="87"/>
      <c r="CJ190" s="87">
        <v>195.0</v>
      </c>
      <c r="CK190" s="87">
        <v>16.0</v>
      </c>
      <c r="CL190" s="87">
        <v>53.0</v>
      </c>
      <c r="CM190" s="87">
        <v>2.0</v>
      </c>
      <c r="CN190" s="87"/>
      <c r="CO190" s="87">
        <v>2.0</v>
      </c>
      <c r="CP190" s="87"/>
      <c r="CQ190" s="87">
        <v>4.0</v>
      </c>
      <c r="CR190" s="87"/>
      <c r="CS190" s="87"/>
      <c r="CT190" s="87">
        <v>48.0</v>
      </c>
      <c r="CU190" s="87">
        <v>2.0</v>
      </c>
      <c r="CV190" s="87">
        <v>2.0</v>
      </c>
      <c r="CW190" s="87">
        <v>15.0</v>
      </c>
      <c r="CX190" s="87">
        <v>6.0</v>
      </c>
      <c r="CY190" s="87">
        <v>9.0</v>
      </c>
      <c r="CZ190" s="87"/>
      <c r="DA190" s="87">
        <v>1.0</v>
      </c>
      <c r="DB190" s="87">
        <v>37.0</v>
      </c>
      <c r="DC190" s="87">
        <v>22.0</v>
      </c>
      <c r="DD190" s="87">
        <v>10.0</v>
      </c>
      <c r="DE190" s="87">
        <v>17.0</v>
      </c>
      <c r="DF190" s="87">
        <v>10.0</v>
      </c>
      <c r="DG190" s="87">
        <v>27.0</v>
      </c>
      <c r="DH190" s="87"/>
      <c r="DI190" s="87"/>
      <c r="DJ190" s="87"/>
      <c r="DK190" s="87">
        <v>52.0</v>
      </c>
      <c r="DL190" s="87">
        <v>12.0</v>
      </c>
      <c r="DM190" s="87">
        <v>1.0</v>
      </c>
      <c r="DN190" s="87">
        <v>1.0</v>
      </c>
      <c r="DO190" s="87">
        <v>230.0</v>
      </c>
      <c r="DP190" s="87"/>
      <c r="DQ190" s="87">
        <v>5.0</v>
      </c>
      <c r="DR190" s="87"/>
      <c r="DS190" s="87"/>
      <c r="DT190" s="87"/>
      <c r="DU190" s="87"/>
      <c r="DV190" s="87"/>
      <c r="DW190" s="87"/>
      <c r="DX190" s="87">
        <v>1.0</v>
      </c>
      <c r="DY190" s="87"/>
      <c r="DZ190" s="87"/>
      <c r="EA190" s="87"/>
      <c r="EB190" s="87">
        <v>4.0</v>
      </c>
      <c r="EC190" s="87"/>
      <c r="ED190" s="87">
        <v>31.0</v>
      </c>
      <c r="EE190" s="87">
        <v>1.0</v>
      </c>
      <c r="EF190" s="87"/>
      <c r="EG190" s="87">
        <v>5.0</v>
      </c>
      <c r="EH190" s="87">
        <v>2.0</v>
      </c>
      <c r="EI190" s="87">
        <v>2.0</v>
      </c>
      <c r="EJ190" s="87">
        <v>263.0</v>
      </c>
      <c r="EK190" s="88"/>
      <c r="EL190" s="88"/>
      <c r="EM190" s="88"/>
      <c r="EN190" s="88"/>
      <c r="EO190" s="88"/>
      <c r="EP190" s="88"/>
      <c r="EQ190" s="90"/>
    </row>
    <row r="191" ht="12.0" customHeight="1">
      <c r="A191" s="89">
        <v>1.06231013E8</v>
      </c>
      <c r="B191" s="89" t="s">
        <v>1445</v>
      </c>
      <c r="C191" s="89" t="s">
        <v>1446</v>
      </c>
      <c r="D191" s="89" t="s">
        <v>1447</v>
      </c>
      <c r="E191" s="89" t="s">
        <v>1448</v>
      </c>
      <c r="F191" s="89" t="s">
        <v>1449</v>
      </c>
      <c r="G191" s="89" t="s">
        <v>1450</v>
      </c>
      <c r="H191" s="89" t="s">
        <v>447</v>
      </c>
      <c r="I191" s="89" t="s">
        <v>543</v>
      </c>
      <c r="J191" s="89" t="s">
        <v>499</v>
      </c>
      <c r="K191" s="89" t="s">
        <v>637</v>
      </c>
      <c r="L191" s="89" t="s">
        <v>637</v>
      </c>
      <c r="M191" s="89" t="s">
        <v>1451</v>
      </c>
      <c r="N191" s="89" t="s">
        <v>547</v>
      </c>
      <c r="O191" s="87">
        <v>644.0</v>
      </c>
      <c r="P191" s="87">
        <v>161.0</v>
      </c>
      <c r="Q191" s="87"/>
      <c r="R191" s="87"/>
      <c r="S191" s="87"/>
      <c r="T191" s="87"/>
      <c r="U191" s="87">
        <v>387.0</v>
      </c>
      <c r="V191" s="87">
        <v>418.0</v>
      </c>
      <c r="W191" s="87"/>
      <c r="X191" s="87"/>
      <c r="Y191" s="87"/>
      <c r="Z191" s="87">
        <v>12.0</v>
      </c>
      <c r="AA191" s="87">
        <v>22.0</v>
      </c>
      <c r="AB191" s="87">
        <v>38.0</v>
      </c>
      <c r="AC191" s="87">
        <v>74.0</v>
      </c>
      <c r="AD191" s="87">
        <v>183.0</v>
      </c>
      <c r="AE191" s="87">
        <v>245.0</v>
      </c>
      <c r="AF191" s="87">
        <v>227.0</v>
      </c>
      <c r="AG191" s="87">
        <v>4.0</v>
      </c>
      <c r="AH191" s="87">
        <v>28.0</v>
      </c>
      <c r="AI191" s="87">
        <v>761.0</v>
      </c>
      <c r="AJ191" s="87">
        <v>16.0</v>
      </c>
      <c r="AK191" s="87"/>
      <c r="AL191" s="87"/>
      <c r="AM191" s="87"/>
      <c r="AN191" s="87"/>
      <c r="AO191" s="87">
        <v>735.0</v>
      </c>
      <c r="AP191" s="87">
        <v>25.0</v>
      </c>
      <c r="AQ191" s="87">
        <v>45.0</v>
      </c>
      <c r="AR191" s="87"/>
      <c r="AS191" s="87">
        <v>613.0</v>
      </c>
      <c r="AT191" s="87">
        <v>1.0</v>
      </c>
      <c r="AU191" s="87">
        <v>35.0</v>
      </c>
      <c r="AV191" s="87">
        <v>149.0</v>
      </c>
      <c r="AW191" s="87"/>
      <c r="AX191" s="87">
        <v>7.0</v>
      </c>
      <c r="AY191" s="87"/>
      <c r="AZ191" s="87"/>
      <c r="BA191" s="87"/>
      <c r="BB191" s="87"/>
      <c r="BC191" s="87"/>
      <c r="BD191" s="87"/>
      <c r="BE191" s="87">
        <v>590.0</v>
      </c>
      <c r="BF191" s="87">
        <v>25.0</v>
      </c>
      <c r="BG191" s="87">
        <v>190.0</v>
      </c>
      <c r="BH191" s="87"/>
      <c r="BI191" s="87">
        <v>4599.0</v>
      </c>
      <c r="BJ191" s="87">
        <v>161.0</v>
      </c>
      <c r="BK191" s="87">
        <v>640.0</v>
      </c>
      <c r="BL191" s="87">
        <v>3.0</v>
      </c>
      <c r="BM191" s="87"/>
      <c r="BN191" s="87"/>
      <c r="BO191" s="87">
        <v>1.0</v>
      </c>
      <c r="BP191" s="87">
        <v>406.0</v>
      </c>
      <c r="BQ191" s="87">
        <v>53.0</v>
      </c>
      <c r="BR191" s="87">
        <v>3.0</v>
      </c>
      <c r="BS191" s="87">
        <v>179.0</v>
      </c>
      <c r="BT191" s="87">
        <v>5.0</v>
      </c>
      <c r="BU191" s="87"/>
      <c r="BV191" s="87">
        <v>16.0</v>
      </c>
      <c r="BW191" s="87">
        <v>62.0</v>
      </c>
      <c r="BX191" s="87">
        <v>63.0</v>
      </c>
      <c r="BY191" s="87"/>
      <c r="BZ191" s="87"/>
      <c r="CA191" s="87">
        <v>8.0</v>
      </c>
      <c r="CB191" s="87">
        <v>2.0</v>
      </c>
      <c r="CC191" s="87">
        <v>7.0</v>
      </c>
      <c r="CD191" s="87">
        <v>1.0</v>
      </c>
      <c r="CE191" s="87"/>
      <c r="CF191" s="87"/>
      <c r="CG191" s="87">
        <v>173.0</v>
      </c>
      <c r="CH191" s="87">
        <v>632.0</v>
      </c>
      <c r="CI191" s="87"/>
      <c r="CJ191" s="87">
        <v>555.0</v>
      </c>
      <c r="CK191" s="87">
        <v>145.0</v>
      </c>
      <c r="CL191" s="87">
        <v>73.0</v>
      </c>
      <c r="CM191" s="87">
        <v>2.0</v>
      </c>
      <c r="CN191" s="87"/>
      <c r="CO191" s="87">
        <v>21.0</v>
      </c>
      <c r="CP191" s="87"/>
      <c r="CQ191" s="87">
        <v>9.0</v>
      </c>
      <c r="CR191" s="87"/>
      <c r="CS191" s="87"/>
      <c r="CT191" s="87">
        <v>85.0</v>
      </c>
      <c r="CU191" s="87">
        <v>38.0</v>
      </c>
      <c r="CV191" s="87">
        <v>11.0</v>
      </c>
      <c r="CW191" s="87">
        <v>41.0</v>
      </c>
      <c r="CX191" s="87">
        <v>27.0</v>
      </c>
      <c r="CY191" s="87">
        <v>26.0</v>
      </c>
      <c r="CZ191" s="87"/>
      <c r="DA191" s="87"/>
      <c r="DB191" s="87">
        <v>114.0</v>
      </c>
      <c r="DC191" s="87">
        <v>129.0</v>
      </c>
      <c r="DD191" s="87">
        <v>128.0</v>
      </c>
      <c r="DE191" s="87">
        <v>23.0</v>
      </c>
      <c r="DF191" s="87">
        <v>28.0</v>
      </c>
      <c r="DG191" s="87">
        <v>46.0</v>
      </c>
      <c r="DH191" s="87"/>
      <c r="DI191" s="87"/>
      <c r="DJ191" s="87"/>
      <c r="DK191" s="87">
        <v>22.0</v>
      </c>
      <c r="DL191" s="87">
        <v>35.0</v>
      </c>
      <c r="DM191" s="87">
        <v>52.0</v>
      </c>
      <c r="DN191" s="87"/>
      <c r="DO191" s="87">
        <v>35.0</v>
      </c>
      <c r="DP191" s="87"/>
      <c r="DQ191" s="87">
        <v>15.0</v>
      </c>
      <c r="DR191" s="87">
        <v>57.0</v>
      </c>
      <c r="DS191" s="87"/>
      <c r="DT191" s="87"/>
      <c r="DU191" s="87"/>
      <c r="DV191" s="87">
        <v>1.0</v>
      </c>
      <c r="DW191" s="87"/>
      <c r="DX191" s="87">
        <v>14.0</v>
      </c>
      <c r="DY191" s="87">
        <v>10.0</v>
      </c>
      <c r="DZ191" s="87">
        <v>1.0</v>
      </c>
      <c r="EA191" s="87"/>
      <c r="EB191" s="87">
        <v>12.0</v>
      </c>
      <c r="EC191" s="87"/>
      <c r="ED191" s="87">
        <v>655.0</v>
      </c>
      <c r="EE191" s="87">
        <v>5.0</v>
      </c>
      <c r="EF191" s="87">
        <v>2.0</v>
      </c>
      <c r="EG191" s="87">
        <v>39.0</v>
      </c>
      <c r="EH191" s="87"/>
      <c r="EI191" s="87">
        <v>7.0</v>
      </c>
      <c r="EJ191" s="87">
        <v>757.0</v>
      </c>
      <c r="EK191" s="88"/>
      <c r="EL191" s="88"/>
      <c r="EM191" s="88"/>
      <c r="EN191" s="88"/>
      <c r="EO191" s="88"/>
      <c r="EP191" s="88"/>
      <c r="EQ191" s="90"/>
    </row>
    <row r="192" ht="12.0" customHeight="1">
      <c r="A192" s="89">
        <v>1.06231396E8</v>
      </c>
      <c r="B192" s="89" t="s">
        <v>1452</v>
      </c>
      <c r="C192" s="89" t="s">
        <v>1446</v>
      </c>
      <c r="D192" s="89" t="s">
        <v>1453</v>
      </c>
      <c r="E192" s="89" t="s">
        <v>1454</v>
      </c>
      <c r="F192" s="89" t="s">
        <v>1455</v>
      </c>
      <c r="G192" s="89" t="s">
        <v>1456</v>
      </c>
      <c r="H192" s="89" t="s">
        <v>447</v>
      </c>
      <c r="I192" s="89" t="s">
        <v>543</v>
      </c>
      <c r="J192" s="89" t="s">
        <v>463</v>
      </c>
      <c r="K192" s="89" t="s">
        <v>637</v>
      </c>
      <c r="L192" s="89" t="s">
        <v>637</v>
      </c>
      <c r="M192" s="89" t="s">
        <v>1457</v>
      </c>
      <c r="N192" s="89" t="s">
        <v>547</v>
      </c>
      <c r="O192" s="87">
        <v>3996.0</v>
      </c>
      <c r="P192" s="87"/>
      <c r="Q192" s="87"/>
      <c r="R192" s="87"/>
      <c r="S192" s="87"/>
      <c r="T192" s="87"/>
      <c r="U192" s="87">
        <v>1613.0</v>
      </c>
      <c r="V192" s="87">
        <v>2383.0</v>
      </c>
      <c r="W192" s="87"/>
      <c r="X192" s="87">
        <v>812.0</v>
      </c>
      <c r="Y192" s="87">
        <v>55.0</v>
      </c>
      <c r="Z192" s="87">
        <v>460.0</v>
      </c>
      <c r="AA192" s="87">
        <v>465.0</v>
      </c>
      <c r="AB192" s="87">
        <v>266.0</v>
      </c>
      <c r="AC192" s="87">
        <v>297.0</v>
      </c>
      <c r="AD192" s="87">
        <v>529.0</v>
      </c>
      <c r="AE192" s="87">
        <v>603.0</v>
      </c>
      <c r="AF192" s="87">
        <v>509.0</v>
      </c>
      <c r="AG192" s="87"/>
      <c r="AH192" s="87">
        <v>984.0</v>
      </c>
      <c r="AI192" s="87">
        <v>2926.0</v>
      </c>
      <c r="AJ192" s="87">
        <v>86.0</v>
      </c>
      <c r="AK192" s="87">
        <v>172.0</v>
      </c>
      <c r="AL192" s="87">
        <v>23.0</v>
      </c>
      <c r="AM192" s="87"/>
      <c r="AN192" s="87">
        <v>29.0</v>
      </c>
      <c r="AO192" s="87">
        <v>2371.0</v>
      </c>
      <c r="AP192" s="87">
        <v>351.0</v>
      </c>
      <c r="AQ192" s="87">
        <v>1050.0</v>
      </c>
      <c r="AR192" s="87"/>
      <c r="AS192" s="87">
        <v>2696.0</v>
      </c>
      <c r="AT192" s="87">
        <v>270.0</v>
      </c>
      <c r="AU192" s="87">
        <v>215.0</v>
      </c>
      <c r="AV192" s="87">
        <v>30.0</v>
      </c>
      <c r="AW192" s="87">
        <v>1.0</v>
      </c>
      <c r="AX192" s="87">
        <v>6.0</v>
      </c>
      <c r="AY192" s="87"/>
      <c r="AZ192" s="87"/>
      <c r="BA192" s="87">
        <v>10.0</v>
      </c>
      <c r="BB192" s="87">
        <v>1.0</v>
      </c>
      <c r="BC192" s="87">
        <v>767.0</v>
      </c>
      <c r="BD192" s="87"/>
      <c r="BE192" s="87">
        <v>1980.0</v>
      </c>
      <c r="BF192" s="87">
        <v>170.0</v>
      </c>
      <c r="BG192" s="87">
        <v>1837.0</v>
      </c>
      <c r="BH192" s="87">
        <v>9.0</v>
      </c>
      <c r="BI192" s="87">
        <v>15101.0</v>
      </c>
      <c r="BJ192" s="87">
        <v>1786.0</v>
      </c>
      <c r="BK192" s="87">
        <v>882.0</v>
      </c>
      <c r="BL192" s="87">
        <v>556.0</v>
      </c>
      <c r="BM192" s="87">
        <v>767.0</v>
      </c>
      <c r="BN192" s="87">
        <v>5.0</v>
      </c>
      <c r="BO192" s="87"/>
      <c r="BP192" s="87">
        <v>3028.0</v>
      </c>
      <c r="BQ192" s="87">
        <v>143.0</v>
      </c>
      <c r="BR192" s="87">
        <v>7.0</v>
      </c>
      <c r="BS192" s="87">
        <v>275.0</v>
      </c>
      <c r="BT192" s="87">
        <v>3.0</v>
      </c>
      <c r="BU192" s="87">
        <v>7.0</v>
      </c>
      <c r="BV192" s="87">
        <v>79.0</v>
      </c>
      <c r="BW192" s="87">
        <v>95.0</v>
      </c>
      <c r="BX192" s="87">
        <v>305.0</v>
      </c>
      <c r="BY192" s="87"/>
      <c r="BZ192" s="87">
        <v>4.0</v>
      </c>
      <c r="CA192" s="87">
        <v>40.0</v>
      </c>
      <c r="CB192" s="87">
        <v>6.0</v>
      </c>
      <c r="CC192" s="87">
        <v>1.0</v>
      </c>
      <c r="CD192" s="87">
        <v>2.0</v>
      </c>
      <c r="CE192" s="87">
        <v>1.0</v>
      </c>
      <c r="CF192" s="87"/>
      <c r="CG192" s="87">
        <v>393.0</v>
      </c>
      <c r="CH192" s="87">
        <v>3603.0</v>
      </c>
      <c r="CI192" s="87"/>
      <c r="CJ192" s="87">
        <v>1359.0</v>
      </c>
      <c r="CK192" s="87">
        <v>1436.0</v>
      </c>
      <c r="CL192" s="87">
        <v>1037.0</v>
      </c>
      <c r="CM192" s="87">
        <v>2.0</v>
      </c>
      <c r="CN192" s="87"/>
      <c r="CO192" s="87">
        <v>128.0</v>
      </c>
      <c r="CP192" s="87"/>
      <c r="CQ192" s="87">
        <v>34.0</v>
      </c>
      <c r="CR192" s="87"/>
      <c r="CS192" s="87"/>
      <c r="CT192" s="87">
        <v>543.0</v>
      </c>
      <c r="CU192" s="87">
        <v>80.0</v>
      </c>
      <c r="CV192" s="87">
        <v>15.0</v>
      </c>
      <c r="CW192" s="87">
        <v>166.0</v>
      </c>
      <c r="CX192" s="87">
        <v>55.0</v>
      </c>
      <c r="CY192" s="87">
        <v>63.0</v>
      </c>
      <c r="CZ192" s="87"/>
      <c r="DA192" s="87">
        <v>2.0</v>
      </c>
      <c r="DB192" s="87">
        <v>297.0</v>
      </c>
      <c r="DC192" s="87">
        <v>209.0</v>
      </c>
      <c r="DD192" s="87">
        <v>363.0</v>
      </c>
      <c r="DE192" s="87">
        <v>53.0</v>
      </c>
      <c r="DF192" s="87">
        <v>53.0</v>
      </c>
      <c r="DG192" s="87">
        <v>224.0</v>
      </c>
      <c r="DH192" s="87">
        <v>825.0</v>
      </c>
      <c r="DI192" s="87">
        <v>793.0</v>
      </c>
      <c r="DJ192" s="87"/>
      <c r="DK192" s="87">
        <v>25.0</v>
      </c>
      <c r="DL192" s="87">
        <v>202.0</v>
      </c>
      <c r="DM192" s="87">
        <v>28.0</v>
      </c>
      <c r="DN192" s="87"/>
      <c r="DO192" s="87">
        <v>1175.0</v>
      </c>
      <c r="DP192" s="87">
        <v>755.0</v>
      </c>
      <c r="DQ192" s="87">
        <v>90.0</v>
      </c>
      <c r="DR192" s="87">
        <v>371.0</v>
      </c>
      <c r="DS192" s="87"/>
      <c r="DT192" s="87">
        <v>1.0</v>
      </c>
      <c r="DU192" s="87"/>
      <c r="DV192" s="87">
        <v>68.0</v>
      </c>
      <c r="DW192" s="87">
        <v>4.0</v>
      </c>
      <c r="DX192" s="87">
        <v>59.0</v>
      </c>
      <c r="DY192" s="87">
        <v>136.0</v>
      </c>
      <c r="DZ192" s="87">
        <v>20.0</v>
      </c>
      <c r="EA192" s="87">
        <v>9.0</v>
      </c>
      <c r="EB192" s="87">
        <v>95.0</v>
      </c>
      <c r="EC192" s="87">
        <v>46.0</v>
      </c>
      <c r="ED192" s="87">
        <v>1104.0</v>
      </c>
      <c r="EE192" s="87">
        <v>63.0</v>
      </c>
      <c r="EF192" s="87">
        <v>18.0</v>
      </c>
      <c r="EG192" s="87">
        <v>103.0</v>
      </c>
      <c r="EH192" s="87"/>
      <c r="EI192" s="87">
        <v>12.0</v>
      </c>
      <c r="EJ192" s="87">
        <v>3863.0</v>
      </c>
      <c r="EK192" s="88"/>
      <c r="EL192" s="88"/>
      <c r="EM192" s="88"/>
      <c r="EN192" s="88"/>
      <c r="EO192" s="88"/>
      <c r="EP192" s="88"/>
      <c r="EQ192" s="90"/>
    </row>
    <row r="193" ht="12.0" customHeight="1">
      <c r="A193" s="89">
        <v>1.06234038E8</v>
      </c>
      <c r="B193" s="89" t="s">
        <v>1458</v>
      </c>
      <c r="C193" s="89" t="s">
        <v>1446</v>
      </c>
      <c r="D193" s="89" t="s">
        <v>1459</v>
      </c>
      <c r="E193" s="89" t="s">
        <v>1460</v>
      </c>
      <c r="F193" s="89" t="s">
        <v>1461</v>
      </c>
      <c r="G193" s="89" t="s">
        <v>1460</v>
      </c>
      <c r="H193" s="89" t="s">
        <v>447</v>
      </c>
      <c r="I193" s="89" t="s">
        <v>543</v>
      </c>
      <c r="J193" s="89" t="s">
        <v>499</v>
      </c>
      <c r="K193" s="89" t="s">
        <v>637</v>
      </c>
      <c r="L193" s="89" t="s">
        <v>637</v>
      </c>
      <c r="M193" s="89" t="s">
        <v>1462</v>
      </c>
      <c r="N193" s="89" t="s">
        <v>547</v>
      </c>
      <c r="O193" s="87">
        <v>1575.0</v>
      </c>
      <c r="P193" s="87">
        <v>132.0</v>
      </c>
      <c r="Q193" s="87"/>
      <c r="R193" s="87"/>
      <c r="S193" s="87"/>
      <c r="T193" s="87"/>
      <c r="U193" s="87">
        <v>831.0</v>
      </c>
      <c r="V193" s="87">
        <v>876.0</v>
      </c>
      <c r="W193" s="87"/>
      <c r="X193" s="87"/>
      <c r="Y193" s="87">
        <v>20.0</v>
      </c>
      <c r="Z193" s="87">
        <v>44.0</v>
      </c>
      <c r="AA193" s="87">
        <v>53.0</v>
      </c>
      <c r="AB193" s="87">
        <v>119.0</v>
      </c>
      <c r="AC193" s="87">
        <v>210.0</v>
      </c>
      <c r="AD193" s="87">
        <v>416.0</v>
      </c>
      <c r="AE193" s="87">
        <v>515.0</v>
      </c>
      <c r="AF193" s="87">
        <v>329.0</v>
      </c>
      <c r="AG193" s="87">
        <v>1.0</v>
      </c>
      <c r="AH193" s="87">
        <v>127.0</v>
      </c>
      <c r="AI193" s="87">
        <v>1551.0</v>
      </c>
      <c r="AJ193" s="87">
        <v>29.0</v>
      </c>
      <c r="AK193" s="87">
        <v>66.0</v>
      </c>
      <c r="AL193" s="87"/>
      <c r="AM193" s="87"/>
      <c r="AN193" s="87">
        <v>13.0</v>
      </c>
      <c r="AO193" s="87">
        <v>1369.0</v>
      </c>
      <c r="AP193" s="87">
        <v>135.0</v>
      </c>
      <c r="AQ193" s="87">
        <v>124.0</v>
      </c>
      <c r="AR193" s="87"/>
      <c r="AS193" s="87">
        <v>1323.0</v>
      </c>
      <c r="AT193" s="87">
        <v>17.0</v>
      </c>
      <c r="AU193" s="87">
        <v>178.0</v>
      </c>
      <c r="AV193" s="87">
        <v>16.0</v>
      </c>
      <c r="AW193" s="87">
        <v>1.0</v>
      </c>
      <c r="AX193" s="87">
        <v>171.0</v>
      </c>
      <c r="AY193" s="87"/>
      <c r="AZ193" s="87"/>
      <c r="BA193" s="87"/>
      <c r="BB193" s="87">
        <v>1.0</v>
      </c>
      <c r="BC193" s="87"/>
      <c r="BD193" s="87"/>
      <c r="BE193" s="87">
        <v>933.0</v>
      </c>
      <c r="BF193" s="87">
        <v>136.0</v>
      </c>
      <c r="BG193" s="87">
        <v>624.0</v>
      </c>
      <c r="BH193" s="87">
        <v>14.0</v>
      </c>
      <c r="BI193" s="87">
        <v>7327.0</v>
      </c>
      <c r="BJ193" s="87">
        <v>750.0</v>
      </c>
      <c r="BK193" s="87">
        <v>412.0</v>
      </c>
      <c r="BL193" s="87">
        <v>542.0</v>
      </c>
      <c r="BM193" s="87"/>
      <c r="BN193" s="87">
        <v>3.0</v>
      </c>
      <c r="BO193" s="87"/>
      <c r="BP193" s="87">
        <v>1044.0</v>
      </c>
      <c r="BQ193" s="87">
        <v>78.0</v>
      </c>
      <c r="BR193" s="87">
        <v>4.0</v>
      </c>
      <c r="BS193" s="87">
        <v>290.0</v>
      </c>
      <c r="BT193" s="87">
        <v>1.0</v>
      </c>
      <c r="BU193" s="87">
        <v>1.0</v>
      </c>
      <c r="BV193" s="87">
        <v>34.0</v>
      </c>
      <c r="BW193" s="87">
        <v>34.0</v>
      </c>
      <c r="BX193" s="87">
        <v>199.0</v>
      </c>
      <c r="BY193" s="87"/>
      <c r="BZ193" s="87"/>
      <c r="CA193" s="87">
        <v>17.0</v>
      </c>
      <c r="CB193" s="87">
        <v>2.0</v>
      </c>
      <c r="CC193" s="87">
        <v>1.0</v>
      </c>
      <c r="CD193" s="87">
        <v>1.0</v>
      </c>
      <c r="CE193" s="87">
        <v>1.0</v>
      </c>
      <c r="CF193" s="87"/>
      <c r="CG193" s="87">
        <v>182.0</v>
      </c>
      <c r="CH193" s="87">
        <v>1525.0</v>
      </c>
      <c r="CI193" s="87"/>
      <c r="CJ193" s="87">
        <v>1039.0</v>
      </c>
      <c r="CK193" s="87">
        <v>225.0</v>
      </c>
      <c r="CL193" s="87">
        <v>375.0</v>
      </c>
      <c r="CM193" s="87">
        <v>10.0</v>
      </c>
      <c r="CN193" s="87"/>
      <c r="CO193" s="87">
        <v>43.0</v>
      </c>
      <c r="CP193" s="87"/>
      <c r="CQ193" s="87">
        <v>15.0</v>
      </c>
      <c r="CR193" s="87"/>
      <c r="CS193" s="87"/>
      <c r="CT193" s="87">
        <v>262.0</v>
      </c>
      <c r="CU193" s="87">
        <v>13.0</v>
      </c>
      <c r="CV193" s="87">
        <v>12.0</v>
      </c>
      <c r="CW193" s="87">
        <v>72.0</v>
      </c>
      <c r="CX193" s="87">
        <v>17.0</v>
      </c>
      <c r="CY193" s="87">
        <v>32.0</v>
      </c>
      <c r="CZ193" s="87"/>
      <c r="DA193" s="87"/>
      <c r="DB193" s="87">
        <v>124.0</v>
      </c>
      <c r="DC193" s="87">
        <v>134.0</v>
      </c>
      <c r="DD193" s="87">
        <v>179.0</v>
      </c>
      <c r="DE193" s="87">
        <v>38.0</v>
      </c>
      <c r="DF193" s="87">
        <v>428.0</v>
      </c>
      <c r="DG193" s="87">
        <v>63.0</v>
      </c>
      <c r="DH193" s="87"/>
      <c r="DI193" s="87"/>
      <c r="DJ193" s="87">
        <v>1.0</v>
      </c>
      <c r="DK193" s="87">
        <v>17.0</v>
      </c>
      <c r="DL193" s="87">
        <v>288.0</v>
      </c>
      <c r="DM193" s="87">
        <v>27.0</v>
      </c>
      <c r="DN193" s="87"/>
      <c r="DO193" s="87">
        <v>380.0</v>
      </c>
      <c r="DP193" s="87"/>
      <c r="DQ193" s="87">
        <v>18.0</v>
      </c>
      <c r="DR193" s="87">
        <v>121.0</v>
      </c>
      <c r="DS193" s="87"/>
      <c r="DT193" s="87"/>
      <c r="DU193" s="87"/>
      <c r="DV193" s="87"/>
      <c r="DW193" s="87">
        <v>2.0</v>
      </c>
      <c r="DX193" s="87">
        <v>28.0</v>
      </c>
      <c r="DY193" s="87">
        <v>583.0</v>
      </c>
      <c r="DZ193" s="87">
        <v>31.0</v>
      </c>
      <c r="EA193" s="87">
        <v>3.0</v>
      </c>
      <c r="EB193" s="87">
        <v>66.0</v>
      </c>
      <c r="EC193" s="87">
        <v>1.0</v>
      </c>
      <c r="ED193" s="87">
        <v>445.0</v>
      </c>
      <c r="EE193" s="87">
        <v>29.0</v>
      </c>
      <c r="EF193" s="87">
        <v>9.0</v>
      </c>
      <c r="EG193" s="87">
        <v>37.0</v>
      </c>
      <c r="EH193" s="87">
        <v>1.0</v>
      </c>
      <c r="EI193" s="87">
        <v>16.0</v>
      </c>
      <c r="EJ193" s="87">
        <v>1644.0</v>
      </c>
      <c r="EK193" s="88"/>
      <c r="EL193" s="88"/>
      <c r="EM193" s="88"/>
      <c r="EN193" s="88"/>
      <c r="EO193" s="88"/>
      <c r="EP193" s="88"/>
      <c r="EQ193" s="90"/>
    </row>
    <row r="194" ht="12.0" customHeight="1">
      <c r="A194" s="89">
        <v>1.06240924E8</v>
      </c>
      <c r="B194" s="89" t="s">
        <v>1463</v>
      </c>
      <c r="C194" s="89" t="s">
        <v>1464</v>
      </c>
      <c r="D194" s="89" t="s">
        <v>1465</v>
      </c>
      <c r="E194" s="89" t="s">
        <v>1466</v>
      </c>
      <c r="F194" s="89" t="s">
        <v>1467</v>
      </c>
      <c r="G194" s="89" t="s">
        <v>1468</v>
      </c>
      <c r="H194" s="89" t="s">
        <v>447</v>
      </c>
      <c r="I194" s="89" t="s">
        <v>543</v>
      </c>
      <c r="J194" s="89" t="s">
        <v>499</v>
      </c>
      <c r="K194" s="89" t="s">
        <v>669</v>
      </c>
      <c r="L194" s="89" t="s">
        <v>884</v>
      </c>
      <c r="M194" s="89" t="s">
        <v>1469</v>
      </c>
      <c r="N194" s="89" t="s">
        <v>547</v>
      </c>
      <c r="O194" s="87">
        <v>2406.0</v>
      </c>
      <c r="P194" s="87"/>
      <c r="Q194" s="87"/>
      <c r="R194" s="87"/>
      <c r="S194" s="87"/>
      <c r="T194" s="87"/>
      <c r="U194" s="87">
        <v>907.0</v>
      </c>
      <c r="V194" s="87">
        <v>1499.0</v>
      </c>
      <c r="W194" s="87"/>
      <c r="X194" s="87">
        <v>624.0</v>
      </c>
      <c r="Y194" s="87">
        <v>60.0</v>
      </c>
      <c r="Z194" s="87">
        <v>343.0</v>
      </c>
      <c r="AA194" s="87">
        <v>346.0</v>
      </c>
      <c r="AB194" s="87">
        <v>153.0</v>
      </c>
      <c r="AC194" s="87">
        <v>180.0</v>
      </c>
      <c r="AD194" s="87">
        <v>232.0</v>
      </c>
      <c r="AE194" s="87">
        <v>224.0</v>
      </c>
      <c r="AF194" s="87">
        <v>244.0</v>
      </c>
      <c r="AG194" s="87"/>
      <c r="AH194" s="87">
        <v>1746.0</v>
      </c>
      <c r="AI194" s="87">
        <v>632.0</v>
      </c>
      <c r="AJ194" s="87">
        <v>28.0</v>
      </c>
      <c r="AK194" s="87"/>
      <c r="AL194" s="87">
        <v>21.0</v>
      </c>
      <c r="AM194" s="87">
        <v>26.0</v>
      </c>
      <c r="AN194" s="87">
        <v>42.0</v>
      </c>
      <c r="AO194" s="87">
        <v>717.0</v>
      </c>
      <c r="AP194" s="87">
        <v>85.0</v>
      </c>
      <c r="AQ194" s="87">
        <v>1515.0</v>
      </c>
      <c r="AR194" s="87"/>
      <c r="AS194" s="87">
        <v>1757.0</v>
      </c>
      <c r="AT194" s="87">
        <v>18.0</v>
      </c>
      <c r="AU194" s="87">
        <v>3.0</v>
      </c>
      <c r="AV194" s="87">
        <v>24.0</v>
      </c>
      <c r="AW194" s="87"/>
      <c r="AX194" s="87"/>
      <c r="AY194" s="87"/>
      <c r="AZ194" s="87"/>
      <c r="BA194" s="87"/>
      <c r="BB194" s="87">
        <v>6.0</v>
      </c>
      <c r="BC194" s="87">
        <v>598.0</v>
      </c>
      <c r="BD194" s="87"/>
      <c r="BE194" s="87">
        <v>1165.0</v>
      </c>
      <c r="BF194" s="87"/>
      <c r="BG194" s="87">
        <v>1241.0</v>
      </c>
      <c r="BH194" s="87"/>
      <c r="BI194" s="87">
        <v>6184.0</v>
      </c>
      <c r="BJ194" s="87">
        <v>687.0</v>
      </c>
      <c r="BK194" s="87">
        <v>651.0</v>
      </c>
      <c r="BL194" s="87">
        <v>470.0</v>
      </c>
      <c r="BM194" s="87">
        <v>598.0</v>
      </c>
      <c r="BN194" s="87"/>
      <c r="BO194" s="87"/>
      <c r="BP194" s="87">
        <v>1842.0</v>
      </c>
      <c r="BQ194" s="87">
        <v>67.0</v>
      </c>
      <c r="BR194" s="87">
        <v>8.0</v>
      </c>
      <c r="BS194" s="87">
        <v>145.0</v>
      </c>
      <c r="BT194" s="87">
        <v>1.0</v>
      </c>
      <c r="BU194" s="87"/>
      <c r="BV194" s="87">
        <v>45.0</v>
      </c>
      <c r="BW194" s="87">
        <v>50.0</v>
      </c>
      <c r="BX194" s="87">
        <v>216.0</v>
      </c>
      <c r="BY194" s="87"/>
      <c r="BZ194" s="87">
        <v>2.0</v>
      </c>
      <c r="CA194" s="87">
        <v>19.0</v>
      </c>
      <c r="CB194" s="87">
        <v>6.0</v>
      </c>
      <c r="CC194" s="87">
        <v>1.0</v>
      </c>
      <c r="CD194" s="87">
        <v>4.0</v>
      </c>
      <c r="CE194" s="87"/>
      <c r="CF194" s="87"/>
      <c r="CG194" s="87">
        <v>75.0</v>
      </c>
      <c r="CH194" s="87">
        <v>2331.0</v>
      </c>
      <c r="CI194" s="87"/>
      <c r="CJ194" s="87">
        <v>611.0</v>
      </c>
      <c r="CK194" s="87">
        <v>1304.0</v>
      </c>
      <c r="CL194" s="87">
        <v>414.0</v>
      </c>
      <c r="CM194" s="87">
        <v>4.0</v>
      </c>
      <c r="CN194" s="87"/>
      <c r="CO194" s="87">
        <v>26.0</v>
      </c>
      <c r="CP194" s="87"/>
      <c r="CQ194" s="87">
        <v>44.0</v>
      </c>
      <c r="CR194" s="87">
        <v>3.0</v>
      </c>
      <c r="CS194" s="87"/>
      <c r="CT194" s="87">
        <v>307.0</v>
      </c>
      <c r="CU194" s="87">
        <v>7.0</v>
      </c>
      <c r="CV194" s="87">
        <v>4.0</v>
      </c>
      <c r="CW194" s="87">
        <v>92.0</v>
      </c>
      <c r="CX194" s="87">
        <v>27.0</v>
      </c>
      <c r="CY194" s="87">
        <v>25.0</v>
      </c>
      <c r="CZ194" s="87"/>
      <c r="DA194" s="87">
        <v>1.0</v>
      </c>
      <c r="DB194" s="87">
        <v>170.0</v>
      </c>
      <c r="DC194" s="87">
        <v>101.0</v>
      </c>
      <c r="DD194" s="87">
        <v>181.0</v>
      </c>
      <c r="DE194" s="87">
        <v>25.0</v>
      </c>
      <c r="DF194" s="87">
        <v>21.0</v>
      </c>
      <c r="DG194" s="87">
        <v>99.0</v>
      </c>
      <c r="DH194" s="87">
        <v>611.0</v>
      </c>
      <c r="DI194" s="87">
        <v>618.0</v>
      </c>
      <c r="DJ194" s="87"/>
      <c r="DK194" s="87">
        <v>33.0</v>
      </c>
      <c r="DL194" s="87">
        <v>82.0</v>
      </c>
      <c r="DM194" s="87">
        <v>2.0</v>
      </c>
      <c r="DN194" s="87"/>
      <c r="DO194" s="87">
        <v>245.0</v>
      </c>
      <c r="DP194" s="87">
        <v>593.0</v>
      </c>
      <c r="DQ194" s="87">
        <v>60.0</v>
      </c>
      <c r="DR194" s="87">
        <v>78.0</v>
      </c>
      <c r="DS194" s="87"/>
      <c r="DT194" s="87"/>
      <c r="DU194" s="87"/>
      <c r="DV194" s="87">
        <v>58.0</v>
      </c>
      <c r="DW194" s="87"/>
      <c r="DX194" s="87">
        <v>48.0</v>
      </c>
      <c r="DY194" s="87">
        <v>90.0</v>
      </c>
      <c r="DZ194" s="87">
        <v>3.0</v>
      </c>
      <c r="EA194" s="87">
        <v>1.0</v>
      </c>
      <c r="EB194" s="87">
        <v>15.0</v>
      </c>
      <c r="EC194" s="87">
        <v>1.0</v>
      </c>
      <c r="ED194" s="87">
        <v>1179.0</v>
      </c>
      <c r="EE194" s="87">
        <v>35.0</v>
      </c>
      <c r="EF194" s="87"/>
      <c r="EG194" s="87">
        <v>41.0</v>
      </c>
      <c r="EH194" s="87"/>
      <c r="EI194" s="87">
        <v>12.0</v>
      </c>
      <c r="EJ194" s="87">
        <v>2353.0</v>
      </c>
      <c r="EK194" s="88"/>
      <c r="EL194" s="88"/>
      <c r="EM194" s="88"/>
      <c r="EN194" s="88"/>
      <c r="EO194" s="88"/>
      <c r="EP194" s="88"/>
      <c r="EQ194" s="90"/>
    </row>
    <row r="195" ht="12.0" customHeight="1">
      <c r="A195" s="89">
        <v>1.06240942E8</v>
      </c>
      <c r="B195" s="89" t="s">
        <v>1470</v>
      </c>
      <c r="C195" s="89" t="s">
        <v>1464</v>
      </c>
      <c r="D195" s="89" t="s">
        <v>1471</v>
      </c>
      <c r="E195" s="89" t="s">
        <v>1472</v>
      </c>
      <c r="F195" s="89" t="s">
        <v>1464</v>
      </c>
      <c r="G195" s="89" t="s">
        <v>1473</v>
      </c>
      <c r="H195" s="89" t="s">
        <v>447</v>
      </c>
      <c r="I195" s="89" t="s">
        <v>543</v>
      </c>
      <c r="J195" s="89" t="s">
        <v>457</v>
      </c>
      <c r="K195" s="89" t="s">
        <v>669</v>
      </c>
      <c r="L195" s="89" t="s">
        <v>884</v>
      </c>
      <c r="M195" s="89" t="s">
        <v>1474</v>
      </c>
      <c r="N195" s="89" t="s">
        <v>441</v>
      </c>
      <c r="O195" s="87">
        <v>13007.0</v>
      </c>
      <c r="P195" s="87"/>
      <c r="Q195" s="87"/>
      <c r="R195" s="87"/>
      <c r="S195" s="87"/>
      <c r="T195" s="87"/>
      <c r="U195" s="87">
        <v>5428.0</v>
      </c>
      <c r="V195" s="87">
        <v>7575.0</v>
      </c>
      <c r="W195" s="87">
        <v>4.0</v>
      </c>
      <c r="X195" s="87">
        <v>2273.0</v>
      </c>
      <c r="Y195" s="87">
        <v>191.0</v>
      </c>
      <c r="Z195" s="87">
        <v>1728.0</v>
      </c>
      <c r="AA195" s="87">
        <v>1692.0</v>
      </c>
      <c r="AB195" s="87">
        <v>980.0</v>
      </c>
      <c r="AC195" s="87">
        <v>1315.0</v>
      </c>
      <c r="AD195" s="87">
        <v>1788.0</v>
      </c>
      <c r="AE195" s="87">
        <v>1604.0</v>
      </c>
      <c r="AF195" s="87">
        <v>1434.0</v>
      </c>
      <c r="AG195" s="87">
        <v>2.0</v>
      </c>
      <c r="AH195" s="87">
        <v>6149.0</v>
      </c>
      <c r="AI195" s="87">
        <v>6768.0</v>
      </c>
      <c r="AJ195" s="87">
        <v>90.0</v>
      </c>
      <c r="AK195" s="87">
        <v>38.0</v>
      </c>
      <c r="AL195" s="87">
        <v>816.0</v>
      </c>
      <c r="AM195" s="87">
        <v>25.0</v>
      </c>
      <c r="AN195" s="87">
        <v>797.0</v>
      </c>
      <c r="AO195" s="87">
        <v>10525.0</v>
      </c>
      <c r="AP195" s="87">
        <v>178.0</v>
      </c>
      <c r="AQ195" s="87">
        <v>532.0</v>
      </c>
      <c r="AR195" s="87">
        <v>96.0</v>
      </c>
      <c r="AS195" s="87">
        <v>8939.0</v>
      </c>
      <c r="AT195" s="87">
        <v>1611.0</v>
      </c>
      <c r="AU195" s="87">
        <v>35.0</v>
      </c>
      <c r="AV195" s="87">
        <v>17.0</v>
      </c>
      <c r="AW195" s="87">
        <v>5.0</v>
      </c>
      <c r="AX195" s="87">
        <v>1.0</v>
      </c>
      <c r="AY195" s="87"/>
      <c r="AZ195" s="87"/>
      <c r="BA195" s="87">
        <v>4.0</v>
      </c>
      <c r="BB195" s="87">
        <v>123.0</v>
      </c>
      <c r="BC195" s="87">
        <v>2272.0</v>
      </c>
      <c r="BD195" s="87"/>
      <c r="BE195" s="87">
        <v>7590.0</v>
      </c>
      <c r="BF195" s="87">
        <v>3.0</v>
      </c>
      <c r="BG195" s="87">
        <v>5367.0</v>
      </c>
      <c r="BH195" s="87">
        <v>47.0</v>
      </c>
      <c r="BI195" s="87">
        <v>51100.0</v>
      </c>
      <c r="BJ195" s="87">
        <v>1998.0</v>
      </c>
      <c r="BK195" s="87">
        <v>7716.0</v>
      </c>
      <c r="BL195" s="87">
        <v>1011.0</v>
      </c>
      <c r="BM195" s="87">
        <v>2272.0</v>
      </c>
      <c r="BN195" s="87">
        <v>10.0</v>
      </c>
      <c r="BO195" s="87"/>
      <c r="BP195" s="87">
        <v>9229.0</v>
      </c>
      <c r="BQ195" s="87">
        <v>326.0</v>
      </c>
      <c r="BR195" s="87">
        <v>50.0</v>
      </c>
      <c r="BS195" s="87">
        <v>1105.0</v>
      </c>
      <c r="BT195" s="87">
        <v>4.0</v>
      </c>
      <c r="BU195" s="87">
        <v>21.0</v>
      </c>
      <c r="BV195" s="87">
        <v>359.0</v>
      </c>
      <c r="BW195" s="87">
        <v>284.0</v>
      </c>
      <c r="BX195" s="87">
        <v>1328.0</v>
      </c>
      <c r="BY195" s="87"/>
      <c r="BZ195" s="87">
        <v>58.0</v>
      </c>
      <c r="CA195" s="87">
        <v>195.0</v>
      </c>
      <c r="CB195" s="87">
        <v>20.0</v>
      </c>
      <c r="CC195" s="87"/>
      <c r="CD195" s="87">
        <v>28.0</v>
      </c>
      <c r="CE195" s="87"/>
      <c r="CF195" s="87"/>
      <c r="CG195" s="87">
        <v>327.0</v>
      </c>
      <c r="CH195" s="87">
        <v>12680.0</v>
      </c>
      <c r="CI195" s="87"/>
      <c r="CJ195" s="87">
        <v>4359.0</v>
      </c>
      <c r="CK195" s="87">
        <v>6186.0</v>
      </c>
      <c r="CL195" s="87">
        <v>2166.0</v>
      </c>
      <c r="CM195" s="87">
        <v>13.0</v>
      </c>
      <c r="CN195" s="87"/>
      <c r="CO195" s="87">
        <v>148.0</v>
      </c>
      <c r="CP195" s="87"/>
      <c r="CQ195" s="87">
        <v>112.0</v>
      </c>
      <c r="CR195" s="87"/>
      <c r="CS195" s="87">
        <v>23.0</v>
      </c>
      <c r="CT195" s="87">
        <v>1707.0</v>
      </c>
      <c r="CU195" s="87">
        <v>211.0</v>
      </c>
      <c r="CV195" s="87">
        <v>119.0</v>
      </c>
      <c r="CW195" s="87">
        <v>660.0</v>
      </c>
      <c r="CX195" s="87">
        <v>207.0</v>
      </c>
      <c r="CY195" s="87">
        <v>195.0</v>
      </c>
      <c r="CZ195" s="87">
        <v>10.0</v>
      </c>
      <c r="DA195" s="87">
        <v>9.0</v>
      </c>
      <c r="DB195" s="87">
        <v>1340.0</v>
      </c>
      <c r="DC195" s="87">
        <v>744.0</v>
      </c>
      <c r="DD195" s="87">
        <v>1338.0</v>
      </c>
      <c r="DE195" s="87">
        <v>181.0</v>
      </c>
      <c r="DF195" s="87">
        <v>215.0</v>
      </c>
      <c r="DG195" s="87">
        <v>643.0</v>
      </c>
      <c r="DH195" s="87">
        <v>2429.0</v>
      </c>
      <c r="DI195" s="87">
        <v>2274.0</v>
      </c>
      <c r="DJ195" s="87">
        <v>3.0</v>
      </c>
      <c r="DK195" s="87">
        <v>138.0</v>
      </c>
      <c r="DL195" s="87">
        <v>568.0</v>
      </c>
      <c r="DM195" s="87">
        <v>16.0</v>
      </c>
      <c r="DN195" s="87"/>
      <c r="DO195" s="87">
        <v>2092.0</v>
      </c>
      <c r="DP195" s="87">
        <v>2213.0</v>
      </c>
      <c r="DQ195" s="87">
        <v>630.0</v>
      </c>
      <c r="DR195" s="87">
        <v>1127.0</v>
      </c>
      <c r="DS195" s="87">
        <v>2.0</v>
      </c>
      <c r="DT195" s="87">
        <v>6.0</v>
      </c>
      <c r="DU195" s="87"/>
      <c r="DV195" s="87">
        <v>110.0</v>
      </c>
      <c r="DW195" s="87">
        <v>11.0</v>
      </c>
      <c r="DX195" s="87">
        <v>193.0</v>
      </c>
      <c r="DY195" s="87">
        <v>485.0</v>
      </c>
      <c r="DZ195" s="87">
        <v>64.0</v>
      </c>
      <c r="EA195" s="87">
        <v>26.0</v>
      </c>
      <c r="EB195" s="87">
        <v>199.0</v>
      </c>
      <c r="EC195" s="87">
        <v>129.0</v>
      </c>
      <c r="ED195" s="87">
        <v>5620.0</v>
      </c>
      <c r="EE195" s="87">
        <v>100.0</v>
      </c>
      <c r="EF195" s="87">
        <v>53.0</v>
      </c>
      <c r="EG195" s="87">
        <v>476.0</v>
      </c>
      <c r="EH195" s="87"/>
      <c r="EI195" s="87">
        <v>34.0</v>
      </c>
      <c r="EJ195" s="87">
        <v>12444.0</v>
      </c>
      <c r="EK195" s="88"/>
      <c r="EL195" s="88"/>
      <c r="EM195" s="88"/>
      <c r="EN195" s="88"/>
      <c r="EO195" s="88"/>
      <c r="EP195" s="88"/>
      <c r="EQ195" s="90"/>
    </row>
    <row r="196" ht="12.0" customHeight="1">
      <c r="A196" s="89">
        <v>1.06244027E8</v>
      </c>
      <c r="B196" s="89" t="s">
        <v>1475</v>
      </c>
      <c r="C196" s="89" t="s">
        <v>1464</v>
      </c>
      <c r="D196" s="89" t="s">
        <v>1476</v>
      </c>
      <c r="E196" s="89" t="s">
        <v>1477</v>
      </c>
      <c r="F196" s="89" t="s">
        <v>1464</v>
      </c>
      <c r="G196" s="89" t="s">
        <v>1473</v>
      </c>
      <c r="H196" s="89" t="s">
        <v>435</v>
      </c>
      <c r="I196" s="89" t="s">
        <v>543</v>
      </c>
      <c r="J196" s="89" t="s">
        <v>499</v>
      </c>
      <c r="K196" s="89" t="s">
        <v>669</v>
      </c>
      <c r="L196" s="89" t="s">
        <v>884</v>
      </c>
      <c r="M196" s="89" t="s">
        <v>1478</v>
      </c>
      <c r="N196" s="89" t="s">
        <v>547</v>
      </c>
      <c r="O196" s="87"/>
      <c r="P196" s="87"/>
      <c r="Q196" s="87">
        <v>333.0</v>
      </c>
      <c r="R196" s="87"/>
      <c r="S196" s="87"/>
      <c r="T196" s="87"/>
      <c r="U196" s="87">
        <v>174.0</v>
      </c>
      <c r="V196" s="87">
        <v>159.0</v>
      </c>
      <c r="W196" s="87"/>
      <c r="X196" s="87"/>
      <c r="Y196" s="87">
        <v>16.0</v>
      </c>
      <c r="Z196" s="87">
        <v>93.0</v>
      </c>
      <c r="AA196" s="87">
        <v>86.0</v>
      </c>
      <c r="AB196" s="87">
        <v>67.0</v>
      </c>
      <c r="AC196" s="87">
        <v>33.0</v>
      </c>
      <c r="AD196" s="87">
        <v>35.0</v>
      </c>
      <c r="AE196" s="87"/>
      <c r="AF196" s="87"/>
      <c r="AG196" s="87">
        <v>3.0</v>
      </c>
      <c r="AH196" s="87">
        <v>158.0</v>
      </c>
      <c r="AI196" s="87">
        <v>168.0</v>
      </c>
      <c r="AJ196" s="87">
        <v>7.0</v>
      </c>
      <c r="AK196" s="87"/>
      <c r="AL196" s="87">
        <v>13.0</v>
      </c>
      <c r="AM196" s="87"/>
      <c r="AN196" s="87">
        <v>41.0</v>
      </c>
      <c r="AO196" s="87">
        <v>114.0</v>
      </c>
      <c r="AP196" s="87">
        <v>22.0</v>
      </c>
      <c r="AQ196" s="87">
        <v>143.0</v>
      </c>
      <c r="AR196" s="87"/>
      <c r="AS196" s="87">
        <v>5.0</v>
      </c>
      <c r="AT196" s="87"/>
      <c r="AU196" s="87">
        <v>313.0</v>
      </c>
      <c r="AV196" s="87"/>
      <c r="AW196" s="87">
        <v>3.0</v>
      </c>
      <c r="AX196" s="87"/>
      <c r="AY196" s="87"/>
      <c r="AZ196" s="87"/>
      <c r="BA196" s="87">
        <v>12.0</v>
      </c>
      <c r="BB196" s="87"/>
      <c r="BC196" s="87"/>
      <c r="BD196" s="87"/>
      <c r="BE196" s="87"/>
      <c r="BF196" s="87">
        <v>266.0</v>
      </c>
      <c r="BG196" s="87">
        <v>67.0</v>
      </c>
      <c r="BH196" s="87"/>
      <c r="BI196" s="87">
        <v>3682.0</v>
      </c>
      <c r="BJ196" s="87">
        <v>1.0</v>
      </c>
      <c r="BK196" s="87">
        <v>331.0</v>
      </c>
      <c r="BL196" s="87">
        <v>1.0</v>
      </c>
      <c r="BM196" s="87"/>
      <c r="BN196" s="87"/>
      <c r="BO196" s="87"/>
      <c r="BP196" s="87">
        <v>280.0</v>
      </c>
      <c r="BQ196" s="87">
        <v>4.0</v>
      </c>
      <c r="BR196" s="87"/>
      <c r="BS196" s="87"/>
      <c r="BT196" s="87">
        <v>30.0</v>
      </c>
      <c r="BU196" s="87">
        <v>15.0</v>
      </c>
      <c r="BV196" s="87">
        <v>4.0</v>
      </c>
      <c r="BW196" s="87"/>
      <c r="BX196" s="87"/>
      <c r="BY196" s="87"/>
      <c r="BZ196" s="87"/>
      <c r="CA196" s="87"/>
      <c r="CB196" s="87"/>
      <c r="CC196" s="87"/>
      <c r="CD196" s="87"/>
      <c r="CE196" s="87"/>
      <c r="CF196" s="87"/>
      <c r="CG196" s="87"/>
      <c r="CH196" s="87">
        <v>333.0</v>
      </c>
      <c r="CI196" s="87"/>
      <c r="CJ196" s="87">
        <v>2.0</v>
      </c>
      <c r="CK196" s="87">
        <v>309.0</v>
      </c>
      <c r="CL196" s="87">
        <v>7.0</v>
      </c>
      <c r="CM196" s="87"/>
      <c r="CN196" s="87"/>
      <c r="CO196" s="87"/>
      <c r="CP196" s="87"/>
      <c r="CQ196" s="87">
        <v>15.0</v>
      </c>
      <c r="CR196" s="87"/>
      <c r="CS196" s="87"/>
      <c r="CT196" s="87"/>
      <c r="CU196" s="87"/>
      <c r="CV196" s="87"/>
      <c r="CW196" s="87"/>
      <c r="CX196" s="87">
        <v>333.0</v>
      </c>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v>333.0</v>
      </c>
      <c r="EE196" s="87"/>
      <c r="EF196" s="87"/>
      <c r="EG196" s="87">
        <v>13.0</v>
      </c>
      <c r="EH196" s="87">
        <v>1.0</v>
      </c>
      <c r="EI196" s="87">
        <v>1.0</v>
      </c>
      <c r="EJ196" s="87">
        <v>318.0</v>
      </c>
      <c r="EK196" s="88"/>
      <c r="EL196" s="88"/>
      <c r="EM196" s="88"/>
      <c r="EN196" s="88"/>
      <c r="EO196" s="88"/>
      <c r="EP196" s="88"/>
      <c r="EQ196" s="90"/>
    </row>
    <row r="197" ht="12.0" customHeight="1">
      <c r="A197" s="89">
        <v>1.06250955E8</v>
      </c>
      <c r="B197" s="89" t="s">
        <v>1479</v>
      </c>
      <c r="C197" s="89" t="s">
        <v>1480</v>
      </c>
      <c r="D197" s="89" t="s">
        <v>1481</v>
      </c>
      <c r="E197" s="89" t="s">
        <v>1482</v>
      </c>
      <c r="F197" s="89" t="s">
        <v>1483</v>
      </c>
      <c r="G197" s="89" t="s">
        <v>1484</v>
      </c>
      <c r="H197" s="89" t="s">
        <v>494</v>
      </c>
      <c r="I197" s="89" t="s">
        <v>543</v>
      </c>
      <c r="J197" s="89" t="s">
        <v>499</v>
      </c>
      <c r="K197" s="89" t="s">
        <v>645</v>
      </c>
      <c r="L197" s="89" t="s">
        <v>645</v>
      </c>
      <c r="M197" s="89" t="s">
        <v>1485</v>
      </c>
      <c r="N197" s="89" t="s">
        <v>714</v>
      </c>
      <c r="O197" s="87">
        <v>16.0</v>
      </c>
      <c r="P197" s="87">
        <v>12.0</v>
      </c>
      <c r="Q197" s="87"/>
      <c r="R197" s="87"/>
      <c r="S197" s="87"/>
      <c r="T197" s="87"/>
      <c r="U197" s="87">
        <v>7.0</v>
      </c>
      <c r="V197" s="87">
        <v>21.0</v>
      </c>
      <c r="W197" s="87"/>
      <c r="X197" s="87"/>
      <c r="Y197" s="87"/>
      <c r="Z197" s="87"/>
      <c r="AA197" s="87"/>
      <c r="AB197" s="87"/>
      <c r="AC197" s="87"/>
      <c r="AD197" s="87"/>
      <c r="AE197" s="87"/>
      <c r="AF197" s="87">
        <v>20.0</v>
      </c>
      <c r="AG197" s="87">
        <v>8.0</v>
      </c>
      <c r="AH197" s="87"/>
      <c r="AI197" s="87">
        <v>27.0</v>
      </c>
      <c r="AJ197" s="87">
        <v>1.0</v>
      </c>
      <c r="AK197" s="87"/>
      <c r="AL197" s="87"/>
      <c r="AM197" s="87"/>
      <c r="AN197" s="87"/>
      <c r="AO197" s="87">
        <v>27.0</v>
      </c>
      <c r="AP197" s="87">
        <v>1.0</v>
      </c>
      <c r="AQ197" s="87"/>
      <c r="AR197" s="87"/>
      <c r="AS197" s="87">
        <v>23.0</v>
      </c>
      <c r="AT197" s="87">
        <v>2.0</v>
      </c>
      <c r="AU197" s="87">
        <v>2.0</v>
      </c>
      <c r="AV197" s="87">
        <v>1.0</v>
      </c>
      <c r="AW197" s="87"/>
      <c r="AX197" s="87"/>
      <c r="AY197" s="87"/>
      <c r="AZ197" s="87"/>
      <c r="BA197" s="87"/>
      <c r="BB197" s="87"/>
      <c r="BC197" s="87"/>
      <c r="BD197" s="87"/>
      <c r="BE197" s="87">
        <v>3.0</v>
      </c>
      <c r="BF197" s="87"/>
      <c r="BG197" s="87">
        <v>25.0</v>
      </c>
      <c r="BH197" s="87"/>
      <c r="BI197" s="87">
        <v>9909.0</v>
      </c>
      <c r="BJ197" s="87">
        <v>3.0</v>
      </c>
      <c r="BK197" s="87">
        <v>9.0</v>
      </c>
      <c r="BL197" s="87">
        <v>16.0</v>
      </c>
      <c r="BM197" s="87"/>
      <c r="BN197" s="87"/>
      <c r="BO197" s="87"/>
      <c r="BP197" s="87">
        <v>7.0</v>
      </c>
      <c r="BQ197" s="87">
        <v>5.0</v>
      </c>
      <c r="BR197" s="87"/>
      <c r="BS197" s="87">
        <v>7.0</v>
      </c>
      <c r="BT197" s="87"/>
      <c r="BU197" s="87"/>
      <c r="BV197" s="87"/>
      <c r="BW197" s="87">
        <v>6.0</v>
      </c>
      <c r="BX197" s="87"/>
      <c r="BY197" s="87"/>
      <c r="BZ197" s="87"/>
      <c r="CA197" s="87"/>
      <c r="CB197" s="87"/>
      <c r="CC197" s="87">
        <v>1.0</v>
      </c>
      <c r="CD197" s="87">
        <v>2.0</v>
      </c>
      <c r="CE197" s="87"/>
      <c r="CF197" s="87"/>
      <c r="CG197" s="87">
        <v>24.0</v>
      </c>
      <c r="CH197" s="87">
        <v>4.0</v>
      </c>
      <c r="CI197" s="87"/>
      <c r="CJ197" s="87">
        <v>15.0</v>
      </c>
      <c r="CK197" s="87">
        <v>11.0</v>
      </c>
      <c r="CL197" s="87"/>
      <c r="CM197" s="87"/>
      <c r="CN197" s="87"/>
      <c r="CO197" s="87"/>
      <c r="CP197" s="87"/>
      <c r="CQ197" s="87">
        <v>2.0</v>
      </c>
      <c r="CR197" s="87"/>
      <c r="CS197" s="87"/>
      <c r="CT197" s="87"/>
      <c r="CU197" s="87"/>
      <c r="CV197" s="87"/>
      <c r="CW197" s="87"/>
      <c r="CX197" s="87">
        <v>1.0</v>
      </c>
      <c r="CY197" s="87">
        <v>12.0</v>
      </c>
      <c r="CZ197" s="87"/>
      <c r="DA197" s="87"/>
      <c r="DB197" s="87">
        <v>4.0</v>
      </c>
      <c r="DC197" s="87">
        <v>2.0</v>
      </c>
      <c r="DD197" s="87"/>
      <c r="DE197" s="87"/>
      <c r="DF197" s="87">
        <v>1.0</v>
      </c>
      <c r="DG197" s="87"/>
      <c r="DH197" s="87"/>
      <c r="DI197" s="87"/>
      <c r="DJ197" s="87"/>
      <c r="DK197" s="87">
        <v>2.0</v>
      </c>
      <c r="DL197" s="87">
        <v>1.0</v>
      </c>
      <c r="DM197" s="87">
        <v>5.0</v>
      </c>
      <c r="DN197" s="87"/>
      <c r="DO197" s="87"/>
      <c r="DP197" s="87"/>
      <c r="DQ197" s="87"/>
      <c r="DR197" s="87"/>
      <c r="DS197" s="87"/>
      <c r="DT197" s="87"/>
      <c r="DU197" s="87"/>
      <c r="DV197" s="87"/>
      <c r="DW197" s="87"/>
      <c r="DX197" s="87"/>
      <c r="DY197" s="87"/>
      <c r="DZ197" s="87"/>
      <c r="EA197" s="87"/>
      <c r="EB197" s="87"/>
      <c r="EC197" s="87"/>
      <c r="ED197" s="87">
        <v>28.0</v>
      </c>
      <c r="EE197" s="87"/>
      <c r="EF197" s="87"/>
      <c r="EG197" s="87"/>
      <c r="EH197" s="87"/>
      <c r="EI197" s="87">
        <v>5.0</v>
      </c>
      <c r="EJ197" s="87">
        <v>23.0</v>
      </c>
      <c r="EK197" s="88"/>
      <c r="EL197" s="88"/>
      <c r="EM197" s="88"/>
      <c r="EN197" s="88"/>
      <c r="EO197" s="88"/>
      <c r="EP197" s="88"/>
      <c r="EQ197" s="90"/>
    </row>
    <row r="198" ht="12.0" customHeight="1">
      <c r="A198" s="89">
        <v>1.06254005E8</v>
      </c>
      <c r="B198" s="89" t="s">
        <v>1486</v>
      </c>
      <c r="C198" s="89" t="s">
        <v>1480</v>
      </c>
      <c r="D198" s="89" t="s">
        <v>1487</v>
      </c>
      <c r="E198" s="89" t="s">
        <v>1488</v>
      </c>
      <c r="F198" s="89" t="s">
        <v>1489</v>
      </c>
      <c r="G198" s="89" t="s">
        <v>1490</v>
      </c>
      <c r="H198" s="89" t="s">
        <v>494</v>
      </c>
      <c r="I198" s="89" t="s">
        <v>543</v>
      </c>
      <c r="J198" s="89" t="s">
        <v>463</v>
      </c>
      <c r="K198" s="89" t="s">
        <v>645</v>
      </c>
      <c r="L198" s="89" t="s">
        <v>645</v>
      </c>
      <c r="M198" s="89" t="s">
        <v>1491</v>
      </c>
      <c r="N198" s="89" t="s">
        <v>714</v>
      </c>
      <c r="O198" s="87">
        <v>224.0</v>
      </c>
      <c r="P198" s="87">
        <v>47.0</v>
      </c>
      <c r="Q198" s="87"/>
      <c r="R198" s="87"/>
      <c r="S198" s="87"/>
      <c r="T198" s="87"/>
      <c r="U198" s="87">
        <v>127.0</v>
      </c>
      <c r="V198" s="87">
        <v>144.0</v>
      </c>
      <c r="W198" s="87"/>
      <c r="X198" s="87"/>
      <c r="Y198" s="87"/>
      <c r="Z198" s="87"/>
      <c r="AA198" s="87"/>
      <c r="AB198" s="87"/>
      <c r="AC198" s="87">
        <v>20.0</v>
      </c>
      <c r="AD198" s="87">
        <v>58.0</v>
      </c>
      <c r="AE198" s="87">
        <v>83.0</v>
      </c>
      <c r="AF198" s="87">
        <v>86.0</v>
      </c>
      <c r="AG198" s="87">
        <v>24.0</v>
      </c>
      <c r="AH198" s="87"/>
      <c r="AI198" s="87">
        <v>245.0</v>
      </c>
      <c r="AJ198" s="87">
        <v>26.0</v>
      </c>
      <c r="AK198" s="87"/>
      <c r="AL198" s="87"/>
      <c r="AM198" s="87"/>
      <c r="AN198" s="87"/>
      <c r="AO198" s="87">
        <v>235.0</v>
      </c>
      <c r="AP198" s="87">
        <v>36.0</v>
      </c>
      <c r="AQ198" s="87"/>
      <c r="AR198" s="87"/>
      <c r="AS198" s="87">
        <v>157.0</v>
      </c>
      <c r="AT198" s="87">
        <v>67.0</v>
      </c>
      <c r="AU198" s="87">
        <v>4.0</v>
      </c>
      <c r="AV198" s="87"/>
      <c r="AW198" s="87"/>
      <c r="AX198" s="87">
        <v>43.0</v>
      </c>
      <c r="AY198" s="87"/>
      <c r="AZ198" s="87"/>
      <c r="BA198" s="87"/>
      <c r="BB198" s="87"/>
      <c r="BC198" s="87"/>
      <c r="BD198" s="87"/>
      <c r="BE198" s="87">
        <v>217.0</v>
      </c>
      <c r="BF198" s="87"/>
      <c r="BG198" s="87">
        <v>54.0</v>
      </c>
      <c r="BH198" s="87"/>
      <c r="BI198" s="87">
        <v>4316.0</v>
      </c>
      <c r="BJ198" s="87">
        <v>156.0</v>
      </c>
      <c r="BK198" s="87">
        <v>70.0</v>
      </c>
      <c r="BL198" s="87">
        <v>45.0</v>
      </c>
      <c r="BM198" s="87"/>
      <c r="BN198" s="87"/>
      <c r="BO198" s="87"/>
      <c r="BP198" s="87">
        <v>155.0</v>
      </c>
      <c r="BQ198" s="87">
        <v>27.0</v>
      </c>
      <c r="BR198" s="87"/>
      <c r="BS198" s="87">
        <v>50.0</v>
      </c>
      <c r="BT198" s="87">
        <v>2.0</v>
      </c>
      <c r="BU198" s="87"/>
      <c r="BV198" s="87">
        <v>8.0</v>
      </c>
      <c r="BW198" s="87">
        <v>26.0</v>
      </c>
      <c r="BX198" s="87"/>
      <c r="BY198" s="87"/>
      <c r="BZ198" s="87"/>
      <c r="CA198" s="87"/>
      <c r="CB198" s="87"/>
      <c r="CC198" s="87">
        <v>1.0</v>
      </c>
      <c r="CD198" s="87">
        <v>2.0</v>
      </c>
      <c r="CE198" s="87"/>
      <c r="CF198" s="87"/>
      <c r="CG198" s="87">
        <v>75.0</v>
      </c>
      <c r="CH198" s="87">
        <v>196.0</v>
      </c>
      <c r="CI198" s="87"/>
      <c r="CJ198" s="87">
        <v>187.0</v>
      </c>
      <c r="CK198" s="87">
        <v>54.0</v>
      </c>
      <c r="CL198" s="87">
        <v>27.0</v>
      </c>
      <c r="CM198" s="87"/>
      <c r="CN198" s="87"/>
      <c r="CO198" s="87"/>
      <c r="CP198" s="87"/>
      <c r="CQ198" s="87">
        <v>3.0</v>
      </c>
      <c r="CR198" s="87"/>
      <c r="CS198" s="87"/>
      <c r="CT198" s="87">
        <v>34.0</v>
      </c>
      <c r="CU198" s="87">
        <v>2.0</v>
      </c>
      <c r="CV198" s="87">
        <v>2.0</v>
      </c>
      <c r="CW198" s="87">
        <v>20.0</v>
      </c>
      <c r="CX198" s="87">
        <v>6.0</v>
      </c>
      <c r="CY198" s="87">
        <v>15.0</v>
      </c>
      <c r="CZ198" s="87"/>
      <c r="DA198" s="87"/>
      <c r="DB198" s="87">
        <v>28.0</v>
      </c>
      <c r="DC198" s="87">
        <v>63.0</v>
      </c>
      <c r="DD198" s="87">
        <v>13.0</v>
      </c>
      <c r="DE198" s="87">
        <v>9.0</v>
      </c>
      <c r="DF198" s="87">
        <v>5.0</v>
      </c>
      <c r="DG198" s="87">
        <v>15.0</v>
      </c>
      <c r="DH198" s="87"/>
      <c r="DI198" s="87"/>
      <c r="DJ198" s="87"/>
      <c r="DK198" s="87">
        <v>44.0</v>
      </c>
      <c r="DL198" s="87">
        <v>12.0</v>
      </c>
      <c r="DM198" s="87">
        <v>3.0</v>
      </c>
      <c r="DN198" s="87"/>
      <c r="DO198" s="87">
        <v>193.0</v>
      </c>
      <c r="DP198" s="87"/>
      <c r="DQ198" s="87"/>
      <c r="DR198" s="87">
        <v>4.0</v>
      </c>
      <c r="DS198" s="87"/>
      <c r="DT198" s="87"/>
      <c r="DU198" s="87"/>
      <c r="DV198" s="87"/>
      <c r="DW198" s="87"/>
      <c r="DX198" s="87">
        <v>1.0</v>
      </c>
      <c r="DY198" s="87">
        <v>4.0</v>
      </c>
      <c r="DZ198" s="87"/>
      <c r="EA198" s="87"/>
      <c r="EB198" s="87"/>
      <c r="EC198" s="87"/>
      <c r="ED198" s="87">
        <v>59.0</v>
      </c>
      <c r="EE198" s="87">
        <v>10.0</v>
      </c>
      <c r="EF198" s="87"/>
      <c r="EG198" s="87">
        <v>1.0</v>
      </c>
      <c r="EH198" s="87"/>
      <c r="EI198" s="87">
        <v>3.0</v>
      </c>
      <c r="EJ198" s="87">
        <v>267.0</v>
      </c>
      <c r="EK198" s="88"/>
      <c r="EL198" s="88"/>
      <c r="EM198" s="88"/>
      <c r="EN198" s="88"/>
      <c r="EO198" s="88"/>
      <c r="EP198" s="88"/>
      <c r="EQ198" s="90"/>
    </row>
    <row r="199" ht="12.0" customHeight="1">
      <c r="A199" s="89">
        <v>1.06260011E8</v>
      </c>
      <c r="B199" s="89" t="s">
        <v>1492</v>
      </c>
      <c r="C199" s="89" t="s">
        <v>1493</v>
      </c>
      <c r="D199" s="89" t="s">
        <v>1494</v>
      </c>
      <c r="E199" s="89" t="s">
        <v>1495</v>
      </c>
      <c r="F199" s="89" t="s">
        <v>1496</v>
      </c>
      <c r="G199" s="89" t="s">
        <v>1497</v>
      </c>
      <c r="H199" s="89" t="s">
        <v>494</v>
      </c>
      <c r="I199" s="89" t="s">
        <v>543</v>
      </c>
      <c r="J199" s="89" t="s">
        <v>499</v>
      </c>
      <c r="K199" s="89" t="s">
        <v>544</v>
      </c>
      <c r="L199" s="89" t="s">
        <v>545</v>
      </c>
      <c r="M199" s="89" t="s">
        <v>1498</v>
      </c>
      <c r="N199" s="89" t="s">
        <v>547</v>
      </c>
      <c r="O199" s="87">
        <v>502.0</v>
      </c>
      <c r="P199" s="87"/>
      <c r="Q199" s="87"/>
      <c r="R199" s="87"/>
      <c r="S199" s="87"/>
      <c r="T199" s="87"/>
      <c r="U199" s="87">
        <v>284.0</v>
      </c>
      <c r="V199" s="87">
        <v>218.0</v>
      </c>
      <c r="W199" s="87"/>
      <c r="X199" s="87">
        <v>20.0</v>
      </c>
      <c r="Y199" s="87">
        <v>18.0</v>
      </c>
      <c r="Z199" s="87">
        <v>28.0</v>
      </c>
      <c r="AA199" s="87">
        <v>44.0</v>
      </c>
      <c r="AB199" s="87">
        <v>50.0</v>
      </c>
      <c r="AC199" s="87">
        <v>96.0</v>
      </c>
      <c r="AD199" s="87">
        <v>98.0</v>
      </c>
      <c r="AE199" s="87">
        <v>96.0</v>
      </c>
      <c r="AF199" s="87">
        <v>52.0</v>
      </c>
      <c r="AG199" s="87"/>
      <c r="AH199" s="87">
        <v>68.0</v>
      </c>
      <c r="AI199" s="87">
        <v>423.0</v>
      </c>
      <c r="AJ199" s="87">
        <v>11.0</v>
      </c>
      <c r="AK199" s="87"/>
      <c r="AL199" s="87"/>
      <c r="AM199" s="87"/>
      <c r="AN199" s="87"/>
      <c r="AO199" s="87">
        <v>426.0</v>
      </c>
      <c r="AP199" s="87">
        <v>33.0</v>
      </c>
      <c r="AQ199" s="87">
        <v>43.0</v>
      </c>
      <c r="AR199" s="87"/>
      <c r="AS199" s="87">
        <v>486.0</v>
      </c>
      <c r="AT199" s="87">
        <v>12.0</v>
      </c>
      <c r="AU199" s="87"/>
      <c r="AV199" s="87"/>
      <c r="AW199" s="87"/>
      <c r="AX199" s="87"/>
      <c r="AY199" s="87"/>
      <c r="AZ199" s="87"/>
      <c r="BA199" s="87">
        <v>2.0</v>
      </c>
      <c r="BB199" s="87">
        <v>2.0</v>
      </c>
      <c r="BC199" s="87"/>
      <c r="BD199" s="87"/>
      <c r="BE199" s="87">
        <v>428.0</v>
      </c>
      <c r="BF199" s="87"/>
      <c r="BG199" s="87">
        <v>74.0</v>
      </c>
      <c r="BH199" s="87"/>
      <c r="BI199" s="87">
        <v>1277.0</v>
      </c>
      <c r="BJ199" s="87">
        <v>428.0</v>
      </c>
      <c r="BK199" s="87">
        <v>10.0</v>
      </c>
      <c r="BL199" s="87">
        <v>61.0</v>
      </c>
      <c r="BM199" s="87"/>
      <c r="BN199" s="87"/>
      <c r="BO199" s="87">
        <v>3.0</v>
      </c>
      <c r="BP199" s="87">
        <v>440.0</v>
      </c>
      <c r="BQ199" s="87">
        <v>30.0</v>
      </c>
      <c r="BR199" s="87"/>
      <c r="BS199" s="87">
        <v>22.0</v>
      </c>
      <c r="BT199" s="87"/>
      <c r="BU199" s="87">
        <v>2.0</v>
      </c>
      <c r="BV199" s="87">
        <v>3.0</v>
      </c>
      <c r="BW199" s="87">
        <v>3.0</v>
      </c>
      <c r="BX199" s="87"/>
      <c r="BY199" s="87"/>
      <c r="BZ199" s="87"/>
      <c r="CA199" s="87"/>
      <c r="CB199" s="87"/>
      <c r="CC199" s="87"/>
      <c r="CD199" s="87">
        <v>1.0</v>
      </c>
      <c r="CE199" s="87">
        <v>1.0</v>
      </c>
      <c r="CF199" s="87"/>
      <c r="CG199" s="87">
        <v>28.0</v>
      </c>
      <c r="CH199" s="87">
        <v>474.0</v>
      </c>
      <c r="CI199" s="87"/>
      <c r="CJ199" s="87">
        <v>191.0</v>
      </c>
      <c r="CK199" s="87">
        <v>100.0</v>
      </c>
      <c r="CL199" s="87">
        <v>190.0</v>
      </c>
      <c r="CM199" s="87">
        <v>8.0</v>
      </c>
      <c r="CN199" s="87"/>
      <c r="CO199" s="87">
        <v>5.0</v>
      </c>
      <c r="CP199" s="87"/>
      <c r="CQ199" s="87">
        <v>8.0</v>
      </c>
      <c r="CR199" s="87"/>
      <c r="CS199" s="87"/>
      <c r="CT199" s="87">
        <v>23.0</v>
      </c>
      <c r="CU199" s="87">
        <v>4.0</v>
      </c>
      <c r="CV199" s="87">
        <v>3.0</v>
      </c>
      <c r="CW199" s="87">
        <v>14.0</v>
      </c>
      <c r="CX199" s="87">
        <v>13.0</v>
      </c>
      <c r="CY199" s="87">
        <v>9.0</v>
      </c>
      <c r="CZ199" s="87"/>
      <c r="DA199" s="87"/>
      <c r="DB199" s="87">
        <v>31.0</v>
      </c>
      <c r="DC199" s="87">
        <v>33.0</v>
      </c>
      <c r="DD199" s="87">
        <v>76.0</v>
      </c>
      <c r="DE199" s="87">
        <v>13.0</v>
      </c>
      <c r="DF199" s="87">
        <v>58.0</v>
      </c>
      <c r="DG199" s="87">
        <v>10.0</v>
      </c>
      <c r="DH199" s="87"/>
      <c r="DI199" s="87"/>
      <c r="DJ199" s="87"/>
      <c r="DK199" s="87">
        <v>13.0</v>
      </c>
      <c r="DL199" s="87">
        <v>195.0</v>
      </c>
      <c r="DM199" s="87"/>
      <c r="DN199" s="87">
        <v>7.0</v>
      </c>
      <c r="DO199" s="87">
        <v>6.0</v>
      </c>
      <c r="DP199" s="87">
        <v>2.0</v>
      </c>
      <c r="DQ199" s="87">
        <v>6.0</v>
      </c>
      <c r="DR199" s="87">
        <v>31.0</v>
      </c>
      <c r="DS199" s="87"/>
      <c r="DT199" s="87"/>
      <c r="DU199" s="87"/>
      <c r="DV199" s="87">
        <v>3.0</v>
      </c>
      <c r="DW199" s="87"/>
      <c r="DX199" s="87">
        <v>5.0</v>
      </c>
      <c r="DY199" s="87">
        <v>178.0</v>
      </c>
      <c r="DZ199" s="87">
        <v>3.0</v>
      </c>
      <c r="EA199" s="87">
        <v>1.0</v>
      </c>
      <c r="EB199" s="87">
        <v>17.0</v>
      </c>
      <c r="EC199" s="87">
        <v>2.0</v>
      </c>
      <c r="ED199" s="87">
        <v>236.0</v>
      </c>
      <c r="EE199" s="87">
        <v>12.0</v>
      </c>
      <c r="EF199" s="87">
        <v>2.0</v>
      </c>
      <c r="EG199" s="87">
        <v>7.0</v>
      </c>
      <c r="EH199" s="87">
        <v>7.0</v>
      </c>
      <c r="EI199" s="87">
        <v>34.0</v>
      </c>
      <c r="EJ199" s="87">
        <v>452.0</v>
      </c>
      <c r="EK199" s="88"/>
      <c r="EL199" s="88"/>
      <c r="EM199" s="88"/>
      <c r="EN199" s="88"/>
      <c r="EO199" s="88"/>
      <c r="EP199" s="88"/>
      <c r="EQ199" s="90"/>
    </row>
    <row r="200" ht="12.0" customHeight="1">
      <c r="A200" s="89">
        <v>1.06270744E8</v>
      </c>
      <c r="B200" s="89" t="s">
        <v>1499</v>
      </c>
      <c r="C200" s="89" t="s">
        <v>1500</v>
      </c>
      <c r="D200" s="89" t="s">
        <v>1501</v>
      </c>
      <c r="E200" s="89" t="s">
        <v>1502</v>
      </c>
      <c r="F200" s="89" t="s">
        <v>1500</v>
      </c>
      <c r="G200" s="89" t="s">
        <v>1503</v>
      </c>
      <c r="H200" s="89" t="s">
        <v>447</v>
      </c>
      <c r="I200" s="89" t="s">
        <v>543</v>
      </c>
      <c r="J200" s="89" t="s">
        <v>469</v>
      </c>
      <c r="K200" s="89" t="s">
        <v>1504</v>
      </c>
      <c r="L200" s="89" t="s">
        <v>1505</v>
      </c>
      <c r="M200" s="89" t="s">
        <v>1506</v>
      </c>
      <c r="N200" s="89" t="s">
        <v>441</v>
      </c>
      <c r="O200" s="87">
        <v>13626.0</v>
      </c>
      <c r="P200" s="87">
        <v>554.0</v>
      </c>
      <c r="Q200" s="87">
        <v>764.0</v>
      </c>
      <c r="R200" s="87"/>
      <c r="S200" s="87">
        <v>230.0</v>
      </c>
      <c r="T200" s="87"/>
      <c r="U200" s="87">
        <v>6976.0</v>
      </c>
      <c r="V200" s="87">
        <v>8193.0</v>
      </c>
      <c r="W200" s="87">
        <v>5.0</v>
      </c>
      <c r="X200" s="87">
        <v>1339.0</v>
      </c>
      <c r="Y200" s="87">
        <v>217.0</v>
      </c>
      <c r="Z200" s="87">
        <v>947.0</v>
      </c>
      <c r="AA200" s="87">
        <v>1487.0</v>
      </c>
      <c r="AB200" s="87">
        <v>959.0</v>
      </c>
      <c r="AC200" s="87">
        <v>1381.0</v>
      </c>
      <c r="AD200" s="87">
        <v>2372.0</v>
      </c>
      <c r="AE200" s="87">
        <v>3159.0</v>
      </c>
      <c r="AF200" s="87">
        <v>3312.0</v>
      </c>
      <c r="AG200" s="87">
        <v>1.0</v>
      </c>
      <c r="AH200" s="87">
        <v>2932.0</v>
      </c>
      <c r="AI200" s="87">
        <v>12062.0</v>
      </c>
      <c r="AJ200" s="87">
        <v>180.0</v>
      </c>
      <c r="AK200" s="87">
        <v>140.0</v>
      </c>
      <c r="AL200" s="87">
        <v>820.0</v>
      </c>
      <c r="AM200" s="87">
        <v>165.0</v>
      </c>
      <c r="AN200" s="87">
        <v>729.0</v>
      </c>
      <c r="AO200" s="87">
        <v>11274.0</v>
      </c>
      <c r="AP200" s="87">
        <v>280.0</v>
      </c>
      <c r="AQ200" s="87">
        <v>1371.0</v>
      </c>
      <c r="AR200" s="87">
        <v>395.0</v>
      </c>
      <c r="AS200" s="87">
        <v>12858.0</v>
      </c>
      <c r="AT200" s="87">
        <v>260.0</v>
      </c>
      <c r="AU200" s="87">
        <v>759.0</v>
      </c>
      <c r="AV200" s="87">
        <v>19.0</v>
      </c>
      <c r="AW200" s="87">
        <v>10.0</v>
      </c>
      <c r="AX200" s="87">
        <v>131.0</v>
      </c>
      <c r="AY200" s="87">
        <v>2.0</v>
      </c>
      <c r="AZ200" s="87"/>
      <c r="BA200" s="87">
        <v>2.0</v>
      </c>
      <c r="BB200" s="87">
        <v>46.0</v>
      </c>
      <c r="BC200" s="87">
        <v>1087.0</v>
      </c>
      <c r="BD200" s="87"/>
      <c r="BE200" s="87">
        <v>10402.0</v>
      </c>
      <c r="BF200" s="87">
        <v>5.0</v>
      </c>
      <c r="BG200" s="87">
        <v>4767.0</v>
      </c>
      <c r="BH200" s="87"/>
      <c r="BI200" s="87">
        <v>70680.0</v>
      </c>
      <c r="BJ200" s="87">
        <v>10399.0</v>
      </c>
      <c r="BK200" s="87">
        <v>973.0</v>
      </c>
      <c r="BL200" s="87">
        <v>2708.0</v>
      </c>
      <c r="BM200" s="87">
        <v>1087.0</v>
      </c>
      <c r="BN200" s="87"/>
      <c r="BO200" s="87">
        <v>7.0</v>
      </c>
      <c r="BP200" s="87">
        <v>10092.0</v>
      </c>
      <c r="BQ200" s="87">
        <v>198.0</v>
      </c>
      <c r="BR200" s="87">
        <v>193.0</v>
      </c>
      <c r="BS200" s="87">
        <v>1540.0</v>
      </c>
      <c r="BT200" s="87">
        <v>41.0</v>
      </c>
      <c r="BU200" s="87">
        <v>2.0</v>
      </c>
      <c r="BV200" s="87">
        <v>207.0</v>
      </c>
      <c r="BW200" s="87">
        <v>302.0</v>
      </c>
      <c r="BX200" s="87">
        <v>2161.0</v>
      </c>
      <c r="BY200" s="87"/>
      <c r="BZ200" s="87">
        <v>8.0</v>
      </c>
      <c r="CA200" s="87">
        <v>376.0</v>
      </c>
      <c r="CB200" s="87">
        <v>38.0</v>
      </c>
      <c r="CC200" s="87">
        <v>2.0</v>
      </c>
      <c r="CD200" s="87">
        <v>3.0</v>
      </c>
      <c r="CE200" s="87">
        <v>11.0</v>
      </c>
      <c r="CF200" s="87"/>
      <c r="CG200" s="87">
        <v>1897.0</v>
      </c>
      <c r="CH200" s="87">
        <v>13277.0</v>
      </c>
      <c r="CI200" s="87"/>
      <c r="CJ200" s="87">
        <v>7617.0</v>
      </c>
      <c r="CK200" s="87">
        <v>2643.0</v>
      </c>
      <c r="CL200" s="87">
        <v>3599.0</v>
      </c>
      <c r="CM200" s="87">
        <v>88.0</v>
      </c>
      <c r="CN200" s="87"/>
      <c r="CO200" s="87">
        <v>1058.0</v>
      </c>
      <c r="CP200" s="87"/>
      <c r="CQ200" s="87">
        <v>141.0</v>
      </c>
      <c r="CR200" s="87">
        <v>28.0</v>
      </c>
      <c r="CS200" s="87"/>
      <c r="CT200" s="87">
        <v>1796.0</v>
      </c>
      <c r="CU200" s="87">
        <v>581.0</v>
      </c>
      <c r="CV200" s="87">
        <v>114.0</v>
      </c>
      <c r="CW200" s="87">
        <v>556.0</v>
      </c>
      <c r="CX200" s="87">
        <v>1109.0</v>
      </c>
      <c r="CY200" s="87">
        <v>532.0</v>
      </c>
      <c r="CZ200" s="87">
        <v>14.0</v>
      </c>
      <c r="DA200" s="87">
        <v>14.0</v>
      </c>
      <c r="DB200" s="87">
        <v>2237.0</v>
      </c>
      <c r="DC200" s="87">
        <v>781.0</v>
      </c>
      <c r="DD200" s="87">
        <v>1672.0</v>
      </c>
      <c r="DE200" s="87">
        <v>304.0</v>
      </c>
      <c r="DF200" s="87">
        <v>1004.0</v>
      </c>
      <c r="DG200" s="87">
        <v>598.0</v>
      </c>
      <c r="DH200" s="87">
        <v>1185.0</v>
      </c>
      <c r="DI200" s="87">
        <v>1122.0</v>
      </c>
      <c r="DJ200" s="87">
        <v>16.0</v>
      </c>
      <c r="DK200" s="87">
        <v>216.0</v>
      </c>
      <c r="DL200" s="87">
        <v>1078.0</v>
      </c>
      <c r="DM200" s="87">
        <v>243.0</v>
      </c>
      <c r="DN200" s="87">
        <v>2.0</v>
      </c>
      <c r="DO200" s="87">
        <v>1500.0</v>
      </c>
      <c r="DP200" s="87">
        <v>1075.0</v>
      </c>
      <c r="DQ200" s="87">
        <v>1143.0</v>
      </c>
      <c r="DR200" s="87">
        <v>1734.0</v>
      </c>
      <c r="DS200" s="87">
        <v>7.0</v>
      </c>
      <c r="DT200" s="87">
        <v>8.0</v>
      </c>
      <c r="DU200" s="87">
        <v>1.0</v>
      </c>
      <c r="DV200" s="87">
        <v>204.0</v>
      </c>
      <c r="DW200" s="87">
        <v>44.0</v>
      </c>
      <c r="DX200" s="87">
        <v>327.0</v>
      </c>
      <c r="DY200" s="87">
        <v>1217.0</v>
      </c>
      <c r="DZ200" s="87">
        <v>261.0</v>
      </c>
      <c r="EA200" s="87">
        <v>36.0</v>
      </c>
      <c r="EB200" s="87">
        <v>282.0</v>
      </c>
      <c r="EC200" s="87">
        <v>168.0</v>
      </c>
      <c r="ED200" s="87">
        <v>6846.0</v>
      </c>
      <c r="EE200" s="87">
        <v>321.0</v>
      </c>
      <c r="EF200" s="87">
        <v>2.0</v>
      </c>
      <c r="EG200" s="87">
        <v>385.0</v>
      </c>
      <c r="EH200" s="87">
        <v>21.0</v>
      </c>
      <c r="EI200" s="87">
        <v>181.0</v>
      </c>
      <c r="EJ200" s="87">
        <v>14585.0</v>
      </c>
      <c r="EK200" s="88"/>
      <c r="EL200" s="88"/>
      <c r="EM200" s="88"/>
      <c r="EN200" s="88"/>
      <c r="EO200" s="88"/>
      <c r="EP200" s="88"/>
      <c r="EQ200" s="90"/>
    </row>
    <row r="201" ht="12.0" customHeight="1">
      <c r="A201" s="89">
        <v>1.06270777E8</v>
      </c>
      <c r="B201" s="89" t="s">
        <v>1507</v>
      </c>
      <c r="C201" s="89" t="s">
        <v>1500</v>
      </c>
      <c r="D201" s="89" t="s">
        <v>1508</v>
      </c>
      <c r="E201" s="89" t="s">
        <v>1509</v>
      </c>
      <c r="F201" s="89" t="s">
        <v>1510</v>
      </c>
      <c r="G201" s="89" t="s">
        <v>1511</v>
      </c>
      <c r="H201" s="89" t="s">
        <v>447</v>
      </c>
      <c r="I201" s="89" t="s">
        <v>543</v>
      </c>
      <c r="J201" s="89" t="s">
        <v>463</v>
      </c>
      <c r="K201" s="89" t="s">
        <v>669</v>
      </c>
      <c r="L201" s="89" t="s">
        <v>933</v>
      </c>
      <c r="M201" s="89" t="s">
        <v>1512</v>
      </c>
      <c r="N201" s="89" t="s">
        <v>547</v>
      </c>
      <c r="O201" s="87">
        <v>301.0</v>
      </c>
      <c r="P201" s="87">
        <v>101.0</v>
      </c>
      <c r="Q201" s="87"/>
      <c r="R201" s="87"/>
      <c r="S201" s="87"/>
      <c r="T201" s="87"/>
      <c r="U201" s="87">
        <v>200.0</v>
      </c>
      <c r="V201" s="87">
        <v>202.0</v>
      </c>
      <c r="W201" s="87"/>
      <c r="X201" s="87">
        <v>35.0</v>
      </c>
      <c r="Y201" s="87">
        <v>13.0</v>
      </c>
      <c r="Z201" s="87">
        <v>20.0</v>
      </c>
      <c r="AA201" s="87">
        <v>36.0</v>
      </c>
      <c r="AB201" s="87">
        <v>30.0</v>
      </c>
      <c r="AC201" s="87">
        <v>52.0</v>
      </c>
      <c r="AD201" s="87">
        <v>76.0</v>
      </c>
      <c r="AE201" s="87">
        <v>58.0</v>
      </c>
      <c r="AF201" s="87">
        <v>82.0</v>
      </c>
      <c r="AG201" s="87"/>
      <c r="AH201" s="87">
        <v>274.0</v>
      </c>
      <c r="AI201" s="87">
        <v>127.0</v>
      </c>
      <c r="AJ201" s="87">
        <v>1.0</v>
      </c>
      <c r="AK201" s="87"/>
      <c r="AL201" s="87"/>
      <c r="AM201" s="87"/>
      <c r="AN201" s="87"/>
      <c r="AO201" s="87">
        <v>154.0</v>
      </c>
      <c r="AP201" s="87">
        <v>16.0</v>
      </c>
      <c r="AQ201" s="87">
        <v>232.0</v>
      </c>
      <c r="AR201" s="87"/>
      <c r="AS201" s="87">
        <v>307.0</v>
      </c>
      <c r="AT201" s="87">
        <v>33.0</v>
      </c>
      <c r="AU201" s="87">
        <v>49.0</v>
      </c>
      <c r="AV201" s="87">
        <v>1.0</v>
      </c>
      <c r="AW201" s="87"/>
      <c r="AX201" s="87">
        <v>12.0</v>
      </c>
      <c r="AY201" s="87"/>
      <c r="AZ201" s="87"/>
      <c r="BA201" s="87"/>
      <c r="BB201" s="87"/>
      <c r="BC201" s="87"/>
      <c r="BD201" s="87"/>
      <c r="BE201" s="87">
        <v>297.0</v>
      </c>
      <c r="BF201" s="87"/>
      <c r="BG201" s="87">
        <v>105.0</v>
      </c>
      <c r="BH201" s="87"/>
      <c r="BI201" s="87">
        <v>5870.0</v>
      </c>
      <c r="BJ201" s="87">
        <v>296.0</v>
      </c>
      <c r="BK201" s="87">
        <v>1.0</v>
      </c>
      <c r="BL201" s="87">
        <v>105.0</v>
      </c>
      <c r="BM201" s="87"/>
      <c r="BN201" s="87"/>
      <c r="BO201" s="87"/>
      <c r="BP201" s="87">
        <v>289.0</v>
      </c>
      <c r="BQ201" s="87">
        <v>31.0</v>
      </c>
      <c r="BR201" s="87"/>
      <c r="BS201" s="87">
        <v>41.0</v>
      </c>
      <c r="BT201" s="87"/>
      <c r="BU201" s="87">
        <v>2.0</v>
      </c>
      <c r="BV201" s="87">
        <v>10.0</v>
      </c>
      <c r="BW201" s="87">
        <v>16.0</v>
      </c>
      <c r="BX201" s="87">
        <v>8.0</v>
      </c>
      <c r="BY201" s="87"/>
      <c r="BZ201" s="87">
        <v>1.0</v>
      </c>
      <c r="CA201" s="87">
        <v>1.0</v>
      </c>
      <c r="CB201" s="87"/>
      <c r="CC201" s="87"/>
      <c r="CD201" s="87">
        <v>3.0</v>
      </c>
      <c r="CE201" s="87"/>
      <c r="CF201" s="87"/>
      <c r="CG201" s="87">
        <v>50.0</v>
      </c>
      <c r="CH201" s="87">
        <v>352.0</v>
      </c>
      <c r="CI201" s="87"/>
      <c r="CJ201" s="87">
        <v>182.0</v>
      </c>
      <c r="CK201" s="87">
        <v>173.0</v>
      </c>
      <c r="CL201" s="87">
        <v>42.0</v>
      </c>
      <c r="CM201" s="87">
        <v>1.0</v>
      </c>
      <c r="CN201" s="87"/>
      <c r="CO201" s="87">
        <v>2.0</v>
      </c>
      <c r="CP201" s="87"/>
      <c r="CQ201" s="87">
        <v>2.0</v>
      </c>
      <c r="CR201" s="87"/>
      <c r="CS201" s="87"/>
      <c r="CT201" s="87">
        <v>59.0</v>
      </c>
      <c r="CU201" s="87">
        <v>6.0</v>
      </c>
      <c r="CV201" s="87">
        <v>1.0</v>
      </c>
      <c r="CW201" s="87">
        <v>29.0</v>
      </c>
      <c r="CX201" s="87">
        <v>4.0</v>
      </c>
      <c r="CY201" s="87">
        <v>9.0</v>
      </c>
      <c r="CZ201" s="87"/>
      <c r="DA201" s="87">
        <v>1.0</v>
      </c>
      <c r="DB201" s="87">
        <v>37.0</v>
      </c>
      <c r="DC201" s="87">
        <v>62.0</v>
      </c>
      <c r="DD201" s="87">
        <v>73.0</v>
      </c>
      <c r="DE201" s="87">
        <v>19.0</v>
      </c>
      <c r="DF201" s="87">
        <v>8.0</v>
      </c>
      <c r="DG201" s="87">
        <v>29.0</v>
      </c>
      <c r="DH201" s="87"/>
      <c r="DI201" s="87"/>
      <c r="DJ201" s="87"/>
      <c r="DK201" s="87">
        <v>32.0</v>
      </c>
      <c r="DL201" s="87">
        <v>20.0</v>
      </c>
      <c r="DM201" s="87">
        <v>9.0</v>
      </c>
      <c r="DN201" s="87">
        <v>4.0</v>
      </c>
      <c r="DO201" s="87">
        <v>31.0</v>
      </c>
      <c r="DP201" s="87"/>
      <c r="DQ201" s="87">
        <v>3.0</v>
      </c>
      <c r="DR201" s="87">
        <v>37.0</v>
      </c>
      <c r="DS201" s="87"/>
      <c r="DT201" s="87"/>
      <c r="DU201" s="87"/>
      <c r="DV201" s="87">
        <v>2.0</v>
      </c>
      <c r="DW201" s="87"/>
      <c r="DX201" s="87">
        <v>6.0</v>
      </c>
      <c r="DY201" s="87">
        <v>5.0</v>
      </c>
      <c r="DZ201" s="87">
        <v>1.0</v>
      </c>
      <c r="EA201" s="87"/>
      <c r="EB201" s="87">
        <v>2.0</v>
      </c>
      <c r="EC201" s="87">
        <v>2.0</v>
      </c>
      <c r="ED201" s="87">
        <v>308.0</v>
      </c>
      <c r="EE201" s="87">
        <v>5.0</v>
      </c>
      <c r="EF201" s="87"/>
      <c r="EG201" s="87">
        <v>15.0</v>
      </c>
      <c r="EH201" s="87"/>
      <c r="EI201" s="87">
        <v>3.0</v>
      </c>
      <c r="EJ201" s="87">
        <v>384.0</v>
      </c>
      <c r="EK201" s="88"/>
      <c r="EL201" s="88"/>
      <c r="EM201" s="88"/>
      <c r="EN201" s="88"/>
      <c r="EO201" s="88"/>
      <c r="EP201" s="88"/>
      <c r="EQ201" s="90"/>
    </row>
    <row r="202" ht="12.0" customHeight="1">
      <c r="A202" s="89">
        <v>1.06270875E8</v>
      </c>
      <c r="B202" s="89" t="s">
        <v>1513</v>
      </c>
      <c r="C202" s="89" t="s">
        <v>1500</v>
      </c>
      <c r="D202" s="89" t="s">
        <v>1514</v>
      </c>
      <c r="E202" s="89" t="s">
        <v>1515</v>
      </c>
      <c r="F202" s="89" t="s">
        <v>1516</v>
      </c>
      <c r="G202" s="89" t="s">
        <v>1517</v>
      </c>
      <c r="H202" s="89" t="s">
        <v>494</v>
      </c>
      <c r="I202" s="89" t="s">
        <v>543</v>
      </c>
      <c r="J202" s="89" t="s">
        <v>469</v>
      </c>
      <c r="K202" s="89" t="s">
        <v>669</v>
      </c>
      <c r="L202" s="89" t="s">
        <v>933</v>
      </c>
      <c r="M202" s="89" t="s">
        <v>1518</v>
      </c>
      <c r="N202" s="89" t="s">
        <v>441</v>
      </c>
      <c r="O202" s="87">
        <v>13088.0</v>
      </c>
      <c r="P202" s="87"/>
      <c r="Q202" s="87"/>
      <c r="R202" s="87"/>
      <c r="S202" s="87"/>
      <c r="T202" s="87"/>
      <c r="U202" s="87">
        <v>5869.0</v>
      </c>
      <c r="V202" s="87">
        <v>7219.0</v>
      </c>
      <c r="W202" s="87"/>
      <c r="X202" s="87">
        <v>1850.0</v>
      </c>
      <c r="Y202" s="87">
        <v>174.0</v>
      </c>
      <c r="Z202" s="87">
        <v>1158.0</v>
      </c>
      <c r="AA202" s="87">
        <v>1426.0</v>
      </c>
      <c r="AB202" s="87">
        <v>978.0</v>
      </c>
      <c r="AC202" s="87">
        <v>1408.0</v>
      </c>
      <c r="AD202" s="87">
        <v>1987.0</v>
      </c>
      <c r="AE202" s="87">
        <v>2069.0</v>
      </c>
      <c r="AF202" s="87">
        <v>2038.0</v>
      </c>
      <c r="AG202" s="87"/>
      <c r="AH202" s="87">
        <v>8264.0</v>
      </c>
      <c r="AI202" s="87">
        <v>4813.0</v>
      </c>
      <c r="AJ202" s="87">
        <v>11.0</v>
      </c>
      <c r="AK202" s="87">
        <v>23.0</v>
      </c>
      <c r="AL202" s="87">
        <v>512.0</v>
      </c>
      <c r="AM202" s="87">
        <v>55.0</v>
      </c>
      <c r="AN202" s="87">
        <v>253.0</v>
      </c>
      <c r="AO202" s="87">
        <v>3943.0</v>
      </c>
      <c r="AP202" s="87">
        <v>26.0</v>
      </c>
      <c r="AQ202" s="87">
        <v>8239.0</v>
      </c>
      <c r="AR202" s="87">
        <v>37.0</v>
      </c>
      <c r="AS202" s="87">
        <v>10415.0</v>
      </c>
      <c r="AT202" s="87">
        <v>916.0</v>
      </c>
      <c r="AU202" s="87">
        <v>161.0</v>
      </c>
      <c r="AV202" s="87">
        <v>3.0</v>
      </c>
      <c r="AW202" s="87">
        <v>13.0</v>
      </c>
      <c r="AX202" s="87"/>
      <c r="AY202" s="87">
        <v>44.0</v>
      </c>
      <c r="AZ202" s="87"/>
      <c r="BA202" s="87">
        <v>45.0</v>
      </c>
      <c r="BB202" s="87"/>
      <c r="BC202" s="87">
        <v>1491.0</v>
      </c>
      <c r="BD202" s="87"/>
      <c r="BE202" s="87">
        <v>9895.0</v>
      </c>
      <c r="BF202" s="87">
        <v>1.0</v>
      </c>
      <c r="BG202" s="87">
        <v>3191.0</v>
      </c>
      <c r="BH202" s="87">
        <v>1.0</v>
      </c>
      <c r="BI202" s="87">
        <v>48960.0</v>
      </c>
      <c r="BJ202" s="87">
        <v>9949.0</v>
      </c>
      <c r="BK202" s="87">
        <v>499.0</v>
      </c>
      <c r="BL202" s="87">
        <v>1149.0</v>
      </c>
      <c r="BM202" s="87">
        <v>1491.0</v>
      </c>
      <c r="BN202" s="87"/>
      <c r="BO202" s="87"/>
      <c r="BP202" s="87">
        <v>8007.0</v>
      </c>
      <c r="BQ202" s="87">
        <v>144.0</v>
      </c>
      <c r="BR202" s="87">
        <v>312.0</v>
      </c>
      <c r="BS202" s="87">
        <v>1147.0</v>
      </c>
      <c r="BT202" s="87"/>
      <c r="BU202" s="87">
        <v>91.0</v>
      </c>
      <c r="BV202" s="87">
        <v>167.0</v>
      </c>
      <c r="BW202" s="87">
        <v>300.0</v>
      </c>
      <c r="BX202" s="87">
        <v>2658.0</v>
      </c>
      <c r="BY202" s="87"/>
      <c r="BZ202" s="87">
        <v>38.0</v>
      </c>
      <c r="CA202" s="87">
        <v>216.0</v>
      </c>
      <c r="CB202" s="87">
        <v>3.0</v>
      </c>
      <c r="CC202" s="87">
        <v>1.0</v>
      </c>
      <c r="CD202" s="87"/>
      <c r="CE202" s="87">
        <v>4.0</v>
      </c>
      <c r="CF202" s="87"/>
      <c r="CG202" s="87">
        <v>3057.0</v>
      </c>
      <c r="CH202" s="87">
        <v>10031.0</v>
      </c>
      <c r="CI202" s="87"/>
      <c r="CJ202" s="87">
        <v>5390.0</v>
      </c>
      <c r="CK202" s="87">
        <v>4188.0</v>
      </c>
      <c r="CL202" s="87">
        <v>3243.0</v>
      </c>
      <c r="CM202" s="87">
        <v>32.0</v>
      </c>
      <c r="CN202" s="87"/>
      <c r="CO202" s="87">
        <v>143.0</v>
      </c>
      <c r="CP202" s="87"/>
      <c r="CQ202" s="87">
        <v>83.0</v>
      </c>
      <c r="CR202" s="87"/>
      <c r="CS202" s="87">
        <v>9.0</v>
      </c>
      <c r="CT202" s="87">
        <v>1424.0</v>
      </c>
      <c r="CU202" s="87">
        <v>374.0</v>
      </c>
      <c r="CV202" s="87">
        <v>104.0</v>
      </c>
      <c r="CW202" s="87">
        <v>625.0</v>
      </c>
      <c r="CX202" s="87">
        <v>199.0</v>
      </c>
      <c r="CY202" s="87">
        <v>431.0</v>
      </c>
      <c r="CZ202" s="87">
        <v>25.0</v>
      </c>
      <c r="DA202" s="87">
        <v>20.0</v>
      </c>
      <c r="DB202" s="87">
        <v>2110.0</v>
      </c>
      <c r="DC202" s="87">
        <v>837.0</v>
      </c>
      <c r="DD202" s="87">
        <v>1392.0</v>
      </c>
      <c r="DE202" s="87">
        <v>216.0</v>
      </c>
      <c r="DF202" s="87">
        <v>417.0</v>
      </c>
      <c r="DG202" s="87">
        <v>719.0</v>
      </c>
      <c r="DH202" s="87">
        <v>1665.0</v>
      </c>
      <c r="DI202" s="87">
        <v>1572.0</v>
      </c>
      <c r="DJ202" s="87">
        <v>14.0</v>
      </c>
      <c r="DK202" s="87">
        <v>240.0</v>
      </c>
      <c r="DL202" s="87">
        <v>648.0</v>
      </c>
      <c r="DM202" s="87">
        <v>55.0</v>
      </c>
      <c r="DN202" s="87">
        <v>1.0</v>
      </c>
      <c r="DO202" s="87">
        <v>978.0</v>
      </c>
      <c r="DP202" s="87">
        <v>1367.0</v>
      </c>
      <c r="DQ202" s="87">
        <v>1442.0</v>
      </c>
      <c r="DR202" s="87">
        <v>1255.0</v>
      </c>
      <c r="DS202" s="87">
        <v>5.0</v>
      </c>
      <c r="DT202" s="87">
        <v>13.0</v>
      </c>
      <c r="DU202" s="87"/>
      <c r="DV202" s="87">
        <v>154.0</v>
      </c>
      <c r="DW202" s="87">
        <v>35.0</v>
      </c>
      <c r="DX202" s="87">
        <v>278.0</v>
      </c>
      <c r="DY202" s="87">
        <v>562.0</v>
      </c>
      <c r="DZ202" s="87">
        <v>208.0</v>
      </c>
      <c r="EA202" s="87">
        <v>46.0</v>
      </c>
      <c r="EB202" s="87">
        <v>244.0</v>
      </c>
      <c r="EC202" s="87">
        <v>225.0</v>
      </c>
      <c r="ED202" s="87">
        <v>5986.0</v>
      </c>
      <c r="EE202" s="87">
        <v>290.0</v>
      </c>
      <c r="EF202" s="87"/>
      <c r="EG202" s="87">
        <v>322.0</v>
      </c>
      <c r="EH202" s="87">
        <v>1.0</v>
      </c>
      <c r="EI202" s="87">
        <v>57.0</v>
      </c>
      <c r="EJ202" s="87">
        <v>12708.0</v>
      </c>
      <c r="EK202" s="88"/>
      <c r="EL202" s="88"/>
      <c r="EM202" s="88"/>
      <c r="EN202" s="88"/>
      <c r="EO202" s="88"/>
      <c r="EP202" s="88"/>
      <c r="EQ202" s="90"/>
    </row>
    <row r="203" ht="12.0" customHeight="1">
      <c r="A203" s="89">
        <v>1.06274043E8</v>
      </c>
      <c r="B203" s="89" t="s">
        <v>1519</v>
      </c>
      <c r="C203" s="89" t="s">
        <v>1500</v>
      </c>
      <c r="D203" s="89" t="s">
        <v>1520</v>
      </c>
      <c r="E203" s="89" t="s">
        <v>1521</v>
      </c>
      <c r="F203" s="89" t="s">
        <v>1516</v>
      </c>
      <c r="G203" s="89" t="s">
        <v>1522</v>
      </c>
      <c r="H203" s="89" t="s">
        <v>435</v>
      </c>
      <c r="I203" s="89" t="s">
        <v>543</v>
      </c>
      <c r="J203" s="89" t="s">
        <v>457</v>
      </c>
      <c r="K203" s="89" t="s">
        <v>669</v>
      </c>
      <c r="L203" s="89" t="s">
        <v>933</v>
      </c>
      <c r="M203" s="89" t="s">
        <v>1518</v>
      </c>
      <c r="N203" s="89" t="s">
        <v>441</v>
      </c>
      <c r="O203" s="87">
        <v>9822.0</v>
      </c>
      <c r="P203" s="87"/>
      <c r="Q203" s="87">
        <v>584.0</v>
      </c>
      <c r="R203" s="87"/>
      <c r="S203" s="87">
        <v>698.0</v>
      </c>
      <c r="T203" s="87"/>
      <c r="U203" s="87">
        <v>4680.0</v>
      </c>
      <c r="V203" s="87">
        <v>6418.0</v>
      </c>
      <c r="W203" s="87">
        <v>6.0</v>
      </c>
      <c r="X203" s="87">
        <v>2914.0</v>
      </c>
      <c r="Y203" s="87">
        <v>416.0</v>
      </c>
      <c r="Z203" s="87">
        <v>1991.0</v>
      </c>
      <c r="AA203" s="87">
        <v>1755.0</v>
      </c>
      <c r="AB203" s="87">
        <v>925.0</v>
      </c>
      <c r="AC203" s="87">
        <v>893.0</v>
      </c>
      <c r="AD203" s="87">
        <v>922.0</v>
      </c>
      <c r="AE203" s="87">
        <v>670.0</v>
      </c>
      <c r="AF203" s="87">
        <v>618.0</v>
      </c>
      <c r="AG203" s="87"/>
      <c r="AH203" s="87">
        <v>8954.0</v>
      </c>
      <c r="AI203" s="87">
        <v>2076.0</v>
      </c>
      <c r="AJ203" s="87">
        <v>74.0</v>
      </c>
      <c r="AK203" s="87">
        <v>45.0</v>
      </c>
      <c r="AL203" s="87">
        <v>311.0</v>
      </c>
      <c r="AM203" s="87">
        <v>31.0</v>
      </c>
      <c r="AN203" s="87">
        <v>196.0</v>
      </c>
      <c r="AO203" s="87">
        <v>10347.0</v>
      </c>
      <c r="AP203" s="87">
        <v>37.0</v>
      </c>
      <c r="AQ203" s="87">
        <v>64.0</v>
      </c>
      <c r="AR203" s="87">
        <v>73.0</v>
      </c>
      <c r="AS203" s="87">
        <v>6386.0</v>
      </c>
      <c r="AT203" s="87">
        <v>778.0</v>
      </c>
      <c r="AU203" s="87">
        <v>825.0</v>
      </c>
      <c r="AV203" s="87">
        <v>20.0</v>
      </c>
      <c r="AW203" s="87">
        <v>13.0</v>
      </c>
      <c r="AX203" s="87">
        <v>92.0</v>
      </c>
      <c r="AY203" s="87">
        <v>243.0</v>
      </c>
      <c r="AZ203" s="87">
        <v>1.0</v>
      </c>
      <c r="BA203" s="87">
        <v>210.0</v>
      </c>
      <c r="BB203" s="87"/>
      <c r="BC203" s="87">
        <v>2536.0</v>
      </c>
      <c r="BD203" s="87"/>
      <c r="BE203" s="87">
        <v>6727.0</v>
      </c>
      <c r="BF203" s="87">
        <v>8.0</v>
      </c>
      <c r="BG203" s="87">
        <v>4369.0</v>
      </c>
      <c r="BH203" s="87"/>
      <c r="BI203" s="87">
        <v>49169.0</v>
      </c>
      <c r="BJ203" s="87">
        <v>6284.0</v>
      </c>
      <c r="BK203" s="87">
        <v>1004.0</v>
      </c>
      <c r="BL203" s="87">
        <v>816.0</v>
      </c>
      <c r="BM203" s="87">
        <v>2536.0</v>
      </c>
      <c r="BN203" s="87">
        <v>464.0</v>
      </c>
      <c r="BO203" s="87"/>
      <c r="BP203" s="87">
        <v>8950.0</v>
      </c>
      <c r="BQ203" s="87">
        <v>176.0</v>
      </c>
      <c r="BR203" s="87">
        <v>402.0</v>
      </c>
      <c r="BS203" s="87">
        <v>237.0</v>
      </c>
      <c r="BT203" s="87">
        <v>65.0</v>
      </c>
      <c r="BU203" s="87">
        <v>242.0</v>
      </c>
      <c r="BV203" s="87">
        <v>189.0</v>
      </c>
      <c r="BW203" s="87">
        <v>137.0</v>
      </c>
      <c r="BX203" s="87">
        <v>592.0</v>
      </c>
      <c r="BY203" s="87"/>
      <c r="BZ203" s="87">
        <v>55.0</v>
      </c>
      <c r="CA203" s="87">
        <v>31.0</v>
      </c>
      <c r="CB203" s="87">
        <v>28.0</v>
      </c>
      <c r="CC203" s="87"/>
      <c r="CD203" s="87"/>
      <c r="CE203" s="87"/>
      <c r="CF203" s="87"/>
      <c r="CG203" s="87">
        <v>426.0</v>
      </c>
      <c r="CH203" s="87">
        <v>10678.0</v>
      </c>
      <c r="CI203" s="87"/>
      <c r="CJ203" s="87">
        <v>1799.0</v>
      </c>
      <c r="CK203" s="87">
        <v>7455.0</v>
      </c>
      <c r="CL203" s="87">
        <v>1340.0</v>
      </c>
      <c r="CM203" s="87">
        <v>41.0</v>
      </c>
      <c r="CN203" s="87">
        <v>83.0</v>
      </c>
      <c r="CO203" s="87">
        <v>267.0</v>
      </c>
      <c r="CP203" s="87"/>
      <c r="CQ203" s="87">
        <v>119.0</v>
      </c>
      <c r="CR203" s="87"/>
      <c r="CS203" s="87"/>
      <c r="CT203" s="87">
        <v>462.0</v>
      </c>
      <c r="CU203" s="87">
        <v>72.0</v>
      </c>
      <c r="CV203" s="87">
        <v>41.0</v>
      </c>
      <c r="CW203" s="87">
        <v>437.0</v>
      </c>
      <c r="CX203" s="87">
        <v>740.0</v>
      </c>
      <c r="CY203" s="87">
        <v>199.0</v>
      </c>
      <c r="CZ203" s="87">
        <v>5.0</v>
      </c>
      <c r="DA203" s="87">
        <v>7.0</v>
      </c>
      <c r="DB203" s="87">
        <v>531.0</v>
      </c>
      <c r="DC203" s="87">
        <v>360.0</v>
      </c>
      <c r="DD203" s="87">
        <v>706.0</v>
      </c>
      <c r="DE203" s="87">
        <v>120.0</v>
      </c>
      <c r="DF203" s="87">
        <v>153.0</v>
      </c>
      <c r="DG203" s="87">
        <v>259.0</v>
      </c>
      <c r="DH203" s="87">
        <v>2712.0</v>
      </c>
      <c r="DI203" s="87">
        <v>2613.0</v>
      </c>
      <c r="DJ203" s="87">
        <v>2.0</v>
      </c>
      <c r="DK203" s="87">
        <v>151.0</v>
      </c>
      <c r="DL203" s="87">
        <v>1421.0</v>
      </c>
      <c r="DM203" s="87">
        <v>113.0</v>
      </c>
      <c r="DN203" s="87"/>
      <c r="DO203" s="87">
        <v>3077.0</v>
      </c>
      <c r="DP203" s="87">
        <v>2558.0</v>
      </c>
      <c r="DQ203" s="87">
        <v>300.0</v>
      </c>
      <c r="DR203" s="87">
        <v>694.0</v>
      </c>
      <c r="DS203" s="87">
        <v>5.0</v>
      </c>
      <c r="DT203" s="87">
        <v>1.0</v>
      </c>
      <c r="DU203" s="87">
        <v>2.0</v>
      </c>
      <c r="DV203" s="87">
        <v>87.0</v>
      </c>
      <c r="DW203" s="87">
        <v>12.0</v>
      </c>
      <c r="DX203" s="87">
        <v>173.0</v>
      </c>
      <c r="DY203" s="87">
        <v>687.0</v>
      </c>
      <c r="DZ203" s="87">
        <v>80.0</v>
      </c>
      <c r="EA203" s="87">
        <v>27.0</v>
      </c>
      <c r="EB203" s="87">
        <v>86.0</v>
      </c>
      <c r="EC203" s="87">
        <v>72.0</v>
      </c>
      <c r="ED203" s="87">
        <v>3040.0</v>
      </c>
      <c r="EE203" s="87">
        <v>203.0</v>
      </c>
      <c r="EF203" s="87">
        <v>62.0</v>
      </c>
      <c r="EG203" s="87">
        <v>446.0</v>
      </c>
      <c r="EH203" s="87"/>
      <c r="EI203" s="87">
        <v>38.0</v>
      </c>
      <c r="EJ203" s="87">
        <v>10558.0</v>
      </c>
      <c r="EK203" s="88"/>
      <c r="EL203" s="88"/>
      <c r="EM203" s="88"/>
      <c r="EN203" s="88"/>
      <c r="EO203" s="88"/>
      <c r="EP203" s="88"/>
      <c r="EQ203" s="90"/>
    </row>
    <row r="204" ht="12.0" customHeight="1">
      <c r="A204" s="89">
        <v>1.06281047E8</v>
      </c>
      <c r="B204" s="89" t="s">
        <v>1523</v>
      </c>
      <c r="C204" s="89" t="s">
        <v>1524</v>
      </c>
      <c r="D204" s="89" t="s">
        <v>1525</v>
      </c>
      <c r="E204" s="89" t="s">
        <v>1526</v>
      </c>
      <c r="F204" s="89" t="s">
        <v>1524</v>
      </c>
      <c r="G204" s="89" t="s">
        <v>1527</v>
      </c>
      <c r="H204" s="89" t="s">
        <v>475</v>
      </c>
      <c r="I204" s="89" t="s">
        <v>543</v>
      </c>
      <c r="J204" s="89" t="s">
        <v>457</v>
      </c>
      <c r="K204" s="89" t="s">
        <v>555</v>
      </c>
      <c r="L204" s="89" t="s">
        <v>554</v>
      </c>
      <c r="M204" s="89" t="s">
        <v>1528</v>
      </c>
      <c r="N204" s="89" t="s">
        <v>441</v>
      </c>
      <c r="O204" s="87">
        <v>6219.0</v>
      </c>
      <c r="P204" s="87"/>
      <c r="Q204" s="87"/>
      <c r="R204" s="87"/>
      <c r="S204" s="87">
        <v>250.0</v>
      </c>
      <c r="T204" s="87"/>
      <c r="U204" s="87">
        <v>3166.0</v>
      </c>
      <c r="V204" s="87">
        <v>3302.0</v>
      </c>
      <c r="W204" s="87">
        <v>1.0</v>
      </c>
      <c r="X204" s="87">
        <v>707.0</v>
      </c>
      <c r="Y204" s="87">
        <v>41.0</v>
      </c>
      <c r="Z204" s="87">
        <v>446.0</v>
      </c>
      <c r="AA204" s="87">
        <v>661.0</v>
      </c>
      <c r="AB204" s="87">
        <v>468.0</v>
      </c>
      <c r="AC204" s="87">
        <v>667.0</v>
      </c>
      <c r="AD204" s="87">
        <v>1050.0</v>
      </c>
      <c r="AE204" s="87">
        <v>1230.0</v>
      </c>
      <c r="AF204" s="87">
        <v>1199.0</v>
      </c>
      <c r="AG204" s="87"/>
      <c r="AH204" s="87">
        <v>1864.0</v>
      </c>
      <c r="AI204" s="87">
        <v>4342.0</v>
      </c>
      <c r="AJ204" s="87">
        <v>263.0</v>
      </c>
      <c r="AK204" s="87">
        <v>34.0</v>
      </c>
      <c r="AL204" s="87">
        <v>157.0</v>
      </c>
      <c r="AM204" s="87">
        <v>13.0</v>
      </c>
      <c r="AN204" s="87">
        <v>157.0</v>
      </c>
      <c r="AO204" s="87">
        <v>5080.0</v>
      </c>
      <c r="AP204" s="87">
        <v>311.0</v>
      </c>
      <c r="AQ204" s="87">
        <v>653.0</v>
      </c>
      <c r="AR204" s="87">
        <v>64.0</v>
      </c>
      <c r="AS204" s="87">
        <v>4623.0</v>
      </c>
      <c r="AT204" s="87">
        <v>46.0</v>
      </c>
      <c r="AU204" s="87">
        <v>877.0</v>
      </c>
      <c r="AV204" s="87">
        <v>120.0</v>
      </c>
      <c r="AW204" s="87">
        <v>29.0</v>
      </c>
      <c r="AX204" s="87">
        <v>78.0</v>
      </c>
      <c r="AY204" s="87"/>
      <c r="AZ204" s="87"/>
      <c r="BA204" s="87">
        <v>2.0</v>
      </c>
      <c r="BB204" s="87"/>
      <c r="BC204" s="87">
        <v>694.0</v>
      </c>
      <c r="BD204" s="87"/>
      <c r="BE204" s="87">
        <v>3643.0</v>
      </c>
      <c r="BF204" s="87">
        <v>440.0</v>
      </c>
      <c r="BG204" s="87">
        <v>2386.0</v>
      </c>
      <c r="BH204" s="87"/>
      <c r="BI204" s="87">
        <v>23910.0</v>
      </c>
      <c r="BJ204" s="87">
        <v>3527.0</v>
      </c>
      <c r="BK204" s="87">
        <v>930.0</v>
      </c>
      <c r="BL204" s="87">
        <v>1255.0</v>
      </c>
      <c r="BM204" s="87">
        <v>694.0</v>
      </c>
      <c r="BN204" s="87">
        <v>58.0</v>
      </c>
      <c r="BO204" s="87">
        <v>5.0</v>
      </c>
      <c r="BP204" s="87">
        <v>3701.0</v>
      </c>
      <c r="BQ204" s="87">
        <v>239.0</v>
      </c>
      <c r="BR204" s="87">
        <v>125.0</v>
      </c>
      <c r="BS204" s="87">
        <v>747.0</v>
      </c>
      <c r="BT204" s="87">
        <v>8.0</v>
      </c>
      <c r="BU204" s="87">
        <v>18.0</v>
      </c>
      <c r="BV204" s="87">
        <v>101.0</v>
      </c>
      <c r="BW204" s="87">
        <v>227.0</v>
      </c>
      <c r="BX204" s="87">
        <v>1076.0</v>
      </c>
      <c r="BY204" s="87"/>
      <c r="BZ204" s="87">
        <v>7.0</v>
      </c>
      <c r="CA204" s="87">
        <v>109.0</v>
      </c>
      <c r="CB204" s="87">
        <v>102.0</v>
      </c>
      <c r="CC204" s="87">
        <v>6.0</v>
      </c>
      <c r="CD204" s="87">
        <v>3.0</v>
      </c>
      <c r="CE204" s="87"/>
      <c r="CF204" s="87"/>
      <c r="CG204" s="87">
        <v>1017.0</v>
      </c>
      <c r="CH204" s="87">
        <v>5452.0</v>
      </c>
      <c r="CI204" s="87"/>
      <c r="CJ204" s="87">
        <v>3012.0</v>
      </c>
      <c r="CK204" s="87">
        <v>2042.0</v>
      </c>
      <c r="CL204" s="87">
        <v>1211.0</v>
      </c>
      <c r="CM204" s="87">
        <v>12.0</v>
      </c>
      <c r="CN204" s="87"/>
      <c r="CO204" s="87">
        <v>99.0</v>
      </c>
      <c r="CP204" s="87"/>
      <c r="CQ204" s="87">
        <v>51.0</v>
      </c>
      <c r="CR204" s="87">
        <v>42.0</v>
      </c>
      <c r="CS204" s="87"/>
      <c r="CT204" s="87">
        <v>884.0</v>
      </c>
      <c r="CU204" s="87">
        <v>124.0</v>
      </c>
      <c r="CV204" s="87">
        <v>48.0</v>
      </c>
      <c r="CW204" s="87">
        <v>372.0</v>
      </c>
      <c r="CX204" s="87">
        <v>80.0</v>
      </c>
      <c r="CY204" s="87">
        <v>164.0</v>
      </c>
      <c r="CZ204" s="87">
        <v>6.0</v>
      </c>
      <c r="DA204" s="87">
        <v>6.0</v>
      </c>
      <c r="DB204" s="87">
        <v>1077.0</v>
      </c>
      <c r="DC204" s="87">
        <v>315.0</v>
      </c>
      <c r="DD204" s="87">
        <v>585.0</v>
      </c>
      <c r="DE204" s="87">
        <v>84.0</v>
      </c>
      <c r="DF204" s="87">
        <v>155.0</v>
      </c>
      <c r="DG204" s="87">
        <v>338.0</v>
      </c>
      <c r="DH204" s="87">
        <v>741.0</v>
      </c>
      <c r="DI204" s="87">
        <v>707.0</v>
      </c>
      <c r="DJ204" s="87">
        <v>4.0</v>
      </c>
      <c r="DK204" s="87">
        <v>47.0</v>
      </c>
      <c r="DL204" s="87">
        <v>649.0</v>
      </c>
      <c r="DM204" s="87">
        <v>83.0</v>
      </c>
      <c r="DN204" s="87"/>
      <c r="DO204" s="87">
        <v>1616.0</v>
      </c>
      <c r="DP204" s="87">
        <v>687.0</v>
      </c>
      <c r="DQ204" s="87">
        <v>616.0</v>
      </c>
      <c r="DR204" s="87">
        <v>650.0</v>
      </c>
      <c r="DS204" s="87">
        <v>2.0</v>
      </c>
      <c r="DT204" s="87">
        <v>3.0</v>
      </c>
      <c r="DU204" s="87">
        <v>3.0</v>
      </c>
      <c r="DV204" s="87">
        <v>50.0</v>
      </c>
      <c r="DW204" s="87">
        <v>16.0</v>
      </c>
      <c r="DX204" s="87">
        <v>124.0</v>
      </c>
      <c r="DY204" s="87">
        <v>328.0</v>
      </c>
      <c r="DZ204" s="87">
        <v>44.0</v>
      </c>
      <c r="EA204" s="87">
        <v>18.0</v>
      </c>
      <c r="EB204" s="87">
        <v>110.0</v>
      </c>
      <c r="EC204" s="87">
        <v>118.0</v>
      </c>
      <c r="ED204" s="87">
        <v>1928.0</v>
      </c>
      <c r="EE204" s="87">
        <v>156.0</v>
      </c>
      <c r="EF204" s="87"/>
      <c r="EG204" s="87">
        <v>166.0</v>
      </c>
      <c r="EH204" s="87">
        <v>3.0</v>
      </c>
      <c r="EI204" s="87">
        <v>67.0</v>
      </c>
      <c r="EJ204" s="87">
        <v>6233.0</v>
      </c>
      <c r="EK204" s="88"/>
      <c r="EL204" s="88"/>
      <c r="EM204" s="88"/>
      <c r="EN204" s="88"/>
      <c r="EO204" s="88"/>
      <c r="EP204" s="88"/>
      <c r="EQ204" s="90"/>
    </row>
    <row r="205" ht="12.0" customHeight="1">
      <c r="A205" s="89">
        <v>1.06281078E8</v>
      </c>
      <c r="B205" s="89" t="s">
        <v>1529</v>
      </c>
      <c r="C205" s="89" t="s">
        <v>1524</v>
      </c>
      <c r="D205" s="89" t="s">
        <v>1530</v>
      </c>
      <c r="E205" s="89" t="s">
        <v>1531</v>
      </c>
      <c r="F205" s="89" t="s">
        <v>1532</v>
      </c>
      <c r="G205" s="89" t="s">
        <v>1533</v>
      </c>
      <c r="H205" s="89" t="s">
        <v>447</v>
      </c>
      <c r="I205" s="89" t="s">
        <v>543</v>
      </c>
      <c r="J205" s="89" t="s">
        <v>437</v>
      </c>
      <c r="K205" s="89" t="s">
        <v>555</v>
      </c>
      <c r="L205" s="89" t="s">
        <v>554</v>
      </c>
      <c r="M205" s="89" t="s">
        <v>1534</v>
      </c>
      <c r="N205" s="89" t="s">
        <v>547</v>
      </c>
      <c r="O205" s="87">
        <v>2903.0</v>
      </c>
      <c r="P205" s="87"/>
      <c r="Q205" s="87">
        <v>728.0</v>
      </c>
      <c r="R205" s="87"/>
      <c r="S205" s="87"/>
      <c r="T205" s="87"/>
      <c r="U205" s="87">
        <v>1978.0</v>
      </c>
      <c r="V205" s="87">
        <v>1653.0</v>
      </c>
      <c r="W205" s="87"/>
      <c r="X205" s="87"/>
      <c r="Y205" s="87">
        <v>29.0</v>
      </c>
      <c r="Z205" s="87">
        <v>289.0</v>
      </c>
      <c r="AA205" s="87">
        <v>305.0</v>
      </c>
      <c r="AB205" s="87">
        <v>307.0</v>
      </c>
      <c r="AC205" s="87">
        <v>427.0</v>
      </c>
      <c r="AD205" s="87">
        <v>800.0</v>
      </c>
      <c r="AE205" s="87">
        <v>884.0</v>
      </c>
      <c r="AF205" s="87">
        <v>590.0</v>
      </c>
      <c r="AG205" s="87"/>
      <c r="AH205" s="87">
        <v>476.0</v>
      </c>
      <c r="AI205" s="87">
        <v>2974.0</v>
      </c>
      <c r="AJ205" s="87">
        <v>181.0</v>
      </c>
      <c r="AK205" s="87">
        <v>65.0</v>
      </c>
      <c r="AL205" s="87">
        <v>58.0</v>
      </c>
      <c r="AM205" s="87">
        <v>14.0</v>
      </c>
      <c r="AN205" s="87">
        <v>119.0</v>
      </c>
      <c r="AO205" s="87">
        <v>2637.0</v>
      </c>
      <c r="AP205" s="87">
        <v>296.0</v>
      </c>
      <c r="AQ205" s="87">
        <v>442.0</v>
      </c>
      <c r="AR205" s="87"/>
      <c r="AS205" s="87">
        <v>1505.0</v>
      </c>
      <c r="AT205" s="87">
        <v>54.0</v>
      </c>
      <c r="AU205" s="87">
        <v>1984.0</v>
      </c>
      <c r="AV205" s="87">
        <v>17.0</v>
      </c>
      <c r="AW205" s="87">
        <v>10.0</v>
      </c>
      <c r="AX205" s="87">
        <v>49.0</v>
      </c>
      <c r="AY205" s="87">
        <v>2.0</v>
      </c>
      <c r="AZ205" s="87"/>
      <c r="BA205" s="87">
        <v>2.0</v>
      </c>
      <c r="BB205" s="87">
        <v>8.0</v>
      </c>
      <c r="BC205" s="87"/>
      <c r="BD205" s="87"/>
      <c r="BE205" s="87">
        <v>1072.0</v>
      </c>
      <c r="BF205" s="87">
        <v>1659.0</v>
      </c>
      <c r="BG205" s="87">
        <v>879.0</v>
      </c>
      <c r="BH205" s="87">
        <v>21.0</v>
      </c>
      <c r="BI205" s="87">
        <v>20596.0</v>
      </c>
      <c r="BJ205" s="87">
        <v>1347.0</v>
      </c>
      <c r="BK205" s="87">
        <v>1665.0</v>
      </c>
      <c r="BL205" s="87">
        <v>614.0</v>
      </c>
      <c r="BM205" s="87"/>
      <c r="BN205" s="87">
        <v>1.0</v>
      </c>
      <c r="BO205" s="87">
        <v>4.0</v>
      </c>
      <c r="BP205" s="87">
        <v>2393.0</v>
      </c>
      <c r="BQ205" s="87">
        <v>128.0</v>
      </c>
      <c r="BR205" s="87">
        <v>26.0</v>
      </c>
      <c r="BS205" s="87">
        <v>331.0</v>
      </c>
      <c r="BT205" s="87">
        <v>12.0</v>
      </c>
      <c r="BU205" s="87">
        <v>5.0</v>
      </c>
      <c r="BV205" s="87">
        <v>58.0</v>
      </c>
      <c r="BW205" s="87">
        <v>126.0</v>
      </c>
      <c r="BX205" s="87">
        <v>445.0</v>
      </c>
      <c r="BY205" s="87"/>
      <c r="BZ205" s="87"/>
      <c r="CA205" s="87">
        <v>39.0</v>
      </c>
      <c r="CB205" s="87">
        <v>45.0</v>
      </c>
      <c r="CC205" s="87">
        <v>2.0</v>
      </c>
      <c r="CD205" s="87">
        <v>12.0</v>
      </c>
      <c r="CE205" s="87">
        <v>4.0</v>
      </c>
      <c r="CF205" s="87">
        <v>5.0</v>
      </c>
      <c r="CG205" s="87">
        <v>387.0</v>
      </c>
      <c r="CH205" s="87">
        <v>3244.0</v>
      </c>
      <c r="CI205" s="87"/>
      <c r="CJ205" s="87">
        <v>1885.0</v>
      </c>
      <c r="CK205" s="87">
        <v>998.0</v>
      </c>
      <c r="CL205" s="87">
        <v>590.0</v>
      </c>
      <c r="CM205" s="87">
        <v>12.0</v>
      </c>
      <c r="CN205" s="87">
        <v>12.0</v>
      </c>
      <c r="CO205" s="87">
        <v>105.0</v>
      </c>
      <c r="CP205" s="87"/>
      <c r="CQ205" s="87">
        <v>25.0</v>
      </c>
      <c r="CR205" s="87">
        <v>1.0</v>
      </c>
      <c r="CS205" s="87">
        <v>3.0</v>
      </c>
      <c r="CT205" s="87">
        <v>370.0</v>
      </c>
      <c r="CU205" s="87">
        <v>135.0</v>
      </c>
      <c r="CV205" s="87">
        <v>24.0</v>
      </c>
      <c r="CW205" s="87">
        <v>141.0</v>
      </c>
      <c r="CX205" s="87">
        <v>867.0</v>
      </c>
      <c r="CY205" s="87">
        <v>44.0</v>
      </c>
      <c r="CZ205" s="87"/>
      <c r="DA205" s="87">
        <v>2.0</v>
      </c>
      <c r="DB205" s="87">
        <v>1145.0</v>
      </c>
      <c r="DC205" s="87">
        <v>123.0</v>
      </c>
      <c r="DD205" s="87">
        <v>237.0</v>
      </c>
      <c r="DE205" s="87">
        <v>38.0</v>
      </c>
      <c r="DF205" s="87">
        <v>53.0</v>
      </c>
      <c r="DG205" s="87">
        <v>178.0</v>
      </c>
      <c r="DH205" s="87"/>
      <c r="DI205" s="87"/>
      <c r="DJ205" s="87">
        <v>8.0</v>
      </c>
      <c r="DK205" s="87">
        <v>30.0</v>
      </c>
      <c r="DL205" s="87">
        <v>216.0</v>
      </c>
      <c r="DM205" s="87">
        <v>13.0</v>
      </c>
      <c r="DN205" s="87">
        <v>7.0</v>
      </c>
      <c r="DO205" s="87">
        <v>553.0</v>
      </c>
      <c r="DP205" s="87"/>
      <c r="DQ205" s="87">
        <v>1083.0</v>
      </c>
      <c r="DR205" s="87">
        <v>235.0</v>
      </c>
      <c r="DS205" s="87"/>
      <c r="DT205" s="87">
        <v>1.0</v>
      </c>
      <c r="DU205" s="87"/>
      <c r="DV205" s="87">
        <v>12.0</v>
      </c>
      <c r="DW205" s="87">
        <v>9.0</v>
      </c>
      <c r="DX205" s="87">
        <v>61.0</v>
      </c>
      <c r="DY205" s="87">
        <v>155.0</v>
      </c>
      <c r="DZ205" s="87">
        <v>13.0</v>
      </c>
      <c r="EA205" s="87">
        <v>10.0</v>
      </c>
      <c r="EB205" s="87">
        <v>169.0</v>
      </c>
      <c r="EC205" s="87">
        <v>40.0</v>
      </c>
      <c r="ED205" s="87">
        <v>1255.0</v>
      </c>
      <c r="EE205" s="87">
        <v>35.0</v>
      </c>
      <c r="EF205" s="87">
        <v>19.0</v>
      </c>
      <c r="EG205" s="87">
        <v>237.0</v>
      </c>
      <c r="EH205" s="87">
        <v>1.0</v>
      </c>
      <c r="EI205" s="87">
        <v>85.0</v>
      </c>
      <c r="EJ205" s="87">
        <v>3289.0</v>
      </c>
      <c r="EK205" s="88"/>
      <c r="EL205" s="88"/>
      <c r="EM205" s="88"/>
      <c r="EN205" s="88"/>
      <c r="EO205" s="88"/>
      <c r="EP205" s="88"/>
      <c r="EQ205" s="90"/>
    </row>
    <row r="206" ht="12.0" customHeight="1">
      <c r="A206" s="89">
        <v>1.06291023E8</v>
      </c>
      <c r="B206" s="89" t="s">
        <v>1535</v>
      </c>
      <c r="C206" s="89" t="s">
        <v>1536</v>
      </c>
      <c r="D206" s="89" t="s">
        <v>1537</v>
      </c>
      <c r="E206" s="89" t="s">
        <v>1538</v>
      </c>
      <c r="F206" s="89" t="s">
        <v>1539</v>
      </c>
      <c r="G206" s="89" t="s">
        <v>1540</v>
      </c>
      <c r="H206" s="89" t="s">
        <v>447</v>
      </c>
      <c r="I206" s="89" t="s">
        <v>543</v>
      </c>
      <c r="J206" s="89" t="s">
        <v>437</v>
      </c>
      <c r="K206" s="89" t="s">
        <v>645</v>
      </c>
      <c r="L206" s="89" t="s">
        <v>645</v>
      </c>
      <c r="M206" s="89" t="s">
        <v>1541</v>
      </c>
      <c r="N206" s="89" t="s">
        <v>547</v>
      </c>
      <c r="O206" s="87">
        <v>4423.0</v>
      </c>
      <c r="P206" s="87"/>
      <c r="Q206" s="87"/>
      <c r="R206" s="87"/>
      <c r="S206" s="87"/>
      <c r="T206" s="87"/>
      <c r="U206" s="87">
        <v>2053.0</v>
      </c>
      <c r="V206" s="87">
        <v>2369.0</v>
      </c>
      <c r="W206" s="87">
        <v>1.0</v>
      </c>
      <c r="X206" s="87">
        <v>355.0</v>
      </c>
      <c r="Y206" s="87">
        <v>28.0</v>
      </c>
      <c r="Z206" s="87">
        <v>224.0</v>
      </c>
      <c r="AA206" s="87">
        <v>376.0</v>
      </c>
      <c r="AB206" s="87">
        <v>224.0</v>
      </c>
      <c r="AC206" s="87">
        <v>451.0</v>
      </c>
      <c r="AD206" s="87">
        <v>755.0</v>
      </c>
      <c r="AE206" s="87">
        <v>943.0</v>
      </c>
      <c r="AF206" s="87">
        <v>1067.0</v>
      </c>
      <c r="AG206" s="87"/>
      <c r="AH206" s="87">
        <v>185.0</v>
      </c>
      <c r="AI206" s="87">
        <v>4025.0</v>
      </c>
      <c r="AJ206" s="87">
        <v>213.0</v>
      </c>
      <c r="AK206" s="87">
        <v>32.0</v>
      </c>
      <c r="AL206" s="87">
        <v>27.0</v>
      </c>
      <c r="AM206" s="87"/>
      <c r="AN206" s="87">
        <v>20.0</v>
      </c>
      <c r="AO206" s="87">
        <v>3989.0</v>
      </c>
      <c r="AP206" s="87">
        <v>154.0</v>
      </c>
      <c r="AQ206" s="87">
        <v>172.0</v>
      </c>
      <c r="AR206" s="87">
        <v>29.0</v>
      </c>
      <c r="AS206" s="87">
        <v>4025.0</v>
      </c>
      <c r="AT206" s="87">
        <v>32.0</v>
      </c>
      <c r="AU206" s="87">
        <v>8.0</v>
      </c>
      <c r="AV206" s="87">
        <v>14.0</v>
      </c>
      <c r="AW206" s="87">
        <v>2.0</v>
      </c>
      <c r="AX206" s="87"/>
      <c r="AY206" s="87">
        <v>1.0</v>
      </c>
      <c r="AZ206" s="87"/>
      <c r="BA206" s="87"/>
      <c r="BB206" s="87"/>
      <c r="BC206" s="87">
        <v>341.0</v>
      </c>
      <c r="BD206" s="87"/>
      <c r="BE206" s="87">
        <v>3708.0</v>
      </c>
      <c r="BF206" s="87">
        <v>2.0</v>
      </c>
      <c r="BG206" s="87">
        <v>692.0</v>
      </c>
      <c r="BH206" s="87">
        <v>21.0</v>
      </c>
      <c r="BI206" s="87">
        <v>18008.0</v>
      </c>
      <c r="BJ206" s="87">
        <v>1893.0</v>
      </c>
      <c r="BK206" s="87">
        <v>1916.0</v>
      </c>
      <c r="BL206" s="87">
        <v>206.0</v>
      </c>
      <c r="BM206" s="87">
        <v>341.0</v>
      </c>
      <c r="BN206" s="87">
        <v>67.0</v>
      </c>
      <c r="BO206" s="87"/>
      <c r="BP206" s="87">
        <v>2469.0</v>
      </c>
      <c r="BQ206" s="87">
        <v>178.0</v>
      </c>
      <c r="BR206" s="87">
        <v>26.0</v>
      </c>
      <c r="BS206" s="87">
        <v>682.0</v>
      </c>
      <c r="BT206" s="87">
        <v>9.0</v>
      </c>
      <c r="BU206" s="87">
        <v>3.0</v>
      </c>
      <c r="BV206" s="87">
        <v>144.0</v>
      </c>
      <c r="BW206" s="87">
        <v>158.0</v>
      </c>
      <c r="BX206" s="87">
        <v>616.0</v>
      </c>
      <c r="BY206" s="87"/>
      <c r="BZ206" s="87"/>
      <c r="CA206" s="87">
        <v>113.0</v>
      </c>
      <c r="CB206" s="87">
        <v>22.0</v>
      </c>
      <c r="CC206" s="87"/>
      <c r="CD206" s="87">
        <v>3.0</v>
      </c>
      <c r="CE206" s="87"/>
      <c r="CF206" s="87"/>
      <c r="CG206" s="87">
        <v>392.0</v>
      </c>
      <c r="CH206" s="87">
        <v>4031.0</v>
      </c>
      <c r="CI206" s="87"/>
      <c r="CJ206" s="87">
        <v>2528.0</v>
      </c>
      <c r="CK206" s="87">
        <v>1065.0</v>
      </c>
      <c r="CL206" s="87">
        <v>602.0</v>
      </c>
      <c r="CM206" s="87">
        <v>10.0</v>
      </c>
      <c r="CN206" s="87"/>
      <c r="CO206" s="87">
        <v>184.0</v>
      </c>
      <c r="CP206" s="87"/>
      <c r="CQ206" s="87">
        <v>29.0</v>
      </c>
      <c r="CR206" s="87"/>
      <c r="CS206" s="87">
        <v>5.0</v>
      </c>
      <c r="CT206" s="87">
        <v>738.0</v>
      </c>
      <c r="CU206" s="87">
        <v>83.0</v>
      </c>
      <c r="CV206" s="87">
        <v>29.0</v>
      </c>
      <c r="CW206" s="87">
        <v>194.0</v>
      </c>
      <c r="CX206" s="87">
        <v>126.0</v>
      </c>
      <c r="CY206" s="87">
        <v>100.0</v>
      </c>
      <c r="CZ206" s="87">
        <v>8.0</v>
      </c>
      <c r="DA206" s="87">
        <v>1.0</v>
      </c>
      <c r="DB206" s="87">
        <v>652.0</v>
      </c>
      <c r="DC206" s="87">
        <v>299.0</v>
      </c>
      <c r="DD206" s="87">
        <v>540.0</v>
      </c>
      <c r="DE206" s="87">
        <v>49.0</v>
      </c>
      <c r="DF206" s="87">
        <v>123.0</v>
      </c>
      <c r="DG206" s="87">
        <v>206.0</v>
      </c>
      <c r="DH206" s="87">
        <v>381.0</v>
      </c>
      <c r="DI206" s="87">
        <v>350.0</v>
      </c>
      <c r="DJ206" s="87"/>
      <c r="DK206" s="87">
        <v>70.0</v>
      </c>
      <c r="DL206" s="87">
        <v>456.0</v>
      </c>
      <c r="DM206" s="87">
        <v>18.0</v>
      </c>
      <c r="DN206" s="87"/>
      <c r="DO206" s="87">
        <v>762.0</v>
      </c>
      <c r="DP206" s="87">
        <v>330.0</v>
      </c>
      <c r="DQ206" s="87">
        <v>99.0</v>
      </c>
      <c r="DR206" s="87">
        <v>323.0</v>
      </c>
      <c r="DS206" s="87">
        <v>2.0</v>
      </c>
      <c r="DT206" s="87"/>
      <c r="DU206" s="87"/>
      <c r="DV206" s="87">
        <v>39.0</v>
      </c>
      <c r="DW206" s="87">
        <v>10.0</v>
      </c>
      <c r="DX206" s="87">
        <v>85.0</v>
      </c>
      <c r="DY206" s="87">
        <v>420.0</v>
      </c>
      <c r="DZ206" s="87">
        <v>17.0</v>
      </c>
      <c r="EA206" s="87">
        <v>7.0</v>
      </c>
      <c r="EB206" s="87">
        <v>89.0</v>
      </c>
      <c r="EC206" s="87">
        <v>51.0</v>
      </c>
      <c r="ED206" s="87">
        <v>2080.0</v>
      </c>
      <c r="EE206" s="87">
        <v>109.0</v>
      </c>
      <c r="EF206" s="87">
        <v>16.0</v>
      </c>
      <c r="EG206" s="87">
        <v>162.0</v>
      </c>
      <c r="EH206" s="87"/>
      <c r="EI206" s="87">
        <v>32.0</v>
      </c>
      <c r="EJ206" s="87">
        <v>4213.0</v>
      </c>
      <c r="EK206" s="88"/>
      <c r="EL206" s="88"/>
      <c r="EM206" s="88"/>
      <c r="EN206" s="88"/>
      <c r="EO206" s="88"/>
      <c r="EP206" s="88"/>
      <c r="EQ206" s="90"/>
    </row>
    <row r="207" ht="12.0" customHeight="1">
      <c r="A207" s="89">
        <v>1.06291053E8</v>
      </c>
      <c r="B207" s="89" t="s">
        <v>1542</v>
      </c>
      <c r="C207" s="89" t="s">
        <v>1536</v>
      </c>
      <c r="D207" s="89" t="s">
        <v>1543</v>
      </c>
      <c r="E207" s="89" t="s">
        <v>1544</v>
      </c>
      <c r="F207" s="89" t="s">
        <v>1545</v>
      </c>
      <c r="G207" s="89" t="s">
        <v>1546</v>
      </c>
      <c r="H207" s="89" t="s">
        <v>494</v>
      </c>
      <c r="I207" s="89" t="s">
        <v>543</v>
      </c>
      <c r="J207" s="89" t="s">
        <v>463</v>
      </c>
      <c r="K207" s="89" t="s">
        <v>645</v>
      </c>
      <c r="L207" s="89" t="s">
        <v>645</v>
      </c>
      <c r="M207" s="89" t="s">
        <v>1547</v>
      </c>
      <c r="N207" s="89" t="s">
        <v>547</v>
      </c>
      <c r="O207" s="87">
        <v>1874.0</v>
      </c>
      <c r="P207" s="87">
        <v>54.0</v>
      </c>
      <c r="Q207" s="87"/>
      <c r="R207" s="87"/>
      <c r="S207" s="87"/>
      <c r="T207" s="87"/>
      <c r="U207" s="87">
        <v>837.0</v>
      </c>
      <c r="V207" s="87">
        <v>1091.0</v>
      </c>
      <c r="W207" s="87"/>
      <c r="X207" s="87">
        <v>414.0</v>
      </c>
      <c r="Y207" s="87">
        <v>20.0</v>
      </c>
      <c r="Z207" s="87">
        <v>158.0</v>
      </c>
      <c r="AA207" s="87">
        <v>301.0</v>
      </c>
      <c r="AB207" s="87">
        <v>119.0</v>
      </c>
      <c r="AC207" s="87">
        <v>152.0</v>
      </c>
      <c r="AD207" s="87">
        <v>265.0</v>
      </c>
      <c r="AE207" s="87">
        <v>300.0</v>
      </c>
      <c r="AF207" s="87">
        <v>199.0</v>
      </c>
      <c r="AG207" s="87"/>
      <c r="AH207" s="87">
        <v>330.0</v>
      </c>
      <c r="AI207" s="87">
        <v>1584.0</v>
      </c>
      <c r="AJ207" s="87">
        <v>14.0</v>
      </c>
      <c r="AK207" s="87"/>
      <c r="AL207" s="87">
        <v>18.0</v>
      </c>
      <c r="AM207" s="87"/>
      <c r="AN207" s="87">
        <v>14.0</v>
      </c>
      <c r="AO207" s="87">
        <v>1833.0</v>
      </c>
      <c r="AP207" s="87">
        <v>23.0</v>
      </c>
      <c r="AQ207" s="87">
        <v>29.0</v>
      </c>
      <c r="AR207" s="87">
        <v>11.0</v>
      </c>
      <c r="AS207" s="87">
        <v>1374.0</v>
      </c>
      <c r="AT207" s="87">
        <v>23.0</v>
      </c>
      <c r="AU207" s="87">
        <v>53.0</v>
      </c>
      <c r="AV207" s="87">
        <v>5.0</v>
      </c>
      <c r="AW207" s="87">
        <v>35.0</v>
      </c>
      <c r="AX207" s="87">
        <v>50.0</v>
      </c>
      <c r="AY207" s="87">
        <v>3.0</v>
      </c>
      <c r="AZ207" s="87"/>
      <c r="BA207" s="87">
        <v>1.0</v>
      </c>
      <c r="BB207" s="87"/>
      <c r="BC207" s="87">
        <v>384.0</v>
      </c>
      <c r="BD207" s="87"/>
      <c r="BE207" s="87">
        <v>853.0</v>
      </c>
      <c r="BF207" s="87">
        <v>1.0</v>
      </c>
      <c r="BG207" s="87">
        <v>1074.0</v>
      </c>
      <c r="BH207" s="87"/>
      <c r="BI207" s="87">
        <v>8523.0</v>
      </c>
      <c r="BJ207" s="87">
        <v>780.0</v>
      </c>
      <c r="BK207" s="87">
        <v>117.0</v>
      </c>
      <c r="BL207" s="87">
        <v>596.0</v>
      </c>
      <c r="BM207" s="87">
        <v>384.0</v>
      </c>
      <c r="BN207" s="87">
        <v>51.0</v>
      </c>
      <c r="BO207" s="87"/>
      <c r="BP207" s="87">
        <v>1582.0</v>
      </c>
      <c r="BQ207" s="87">
        <v>50.0</v>
      </c>
      <c r="BR207" s="87">
        <v>4.0</v>
      </c>
      <c r="BS207" s="87">
        <v>121.0</v>
      </c>
      <c r="BT207" s="87"/>
      <c r="BU207" s="87"/>
      <c r="BV207" s="87"/>
      <c r="BW207" s="87">
        <v>35.0</v>
      </c>
      <c r="BX207" s="87">
        <v>109.0</v>
      </c>
      <c r="BY207" s="87"/>
      <c r="BZ207" s="87"/>
      <c r="CA207" s="87">
        <v>17.0</v>
      </c>
      <c r="CB207" s="87">
        <v>4.0</v>
      </c>
      <c r="CC207" s="87">
        <v>3.0</v>
      </c>
      <c r="CD207" s="87">
        <v>2.0</v>
      </c>
      <c r="CE207" s="87">
        <v>1.0</v>
      </c>
      <c r="CF207" s="87"/>
      <c r="CG207" s="87">
        <v>153.0</v>
      </c>
      <c r="CH207" s="87">
        <v>1775.0</v>
      </c>
      <c r="CI207" s="87"/>
      <c r="CJ207" s="87">
        <v>621.0</v>
      </c>
      <c r="CK207" s="87">
        <v>497.0</v>
      </c>
      <c r="CL207" s="87">
        <v>753.0</v>
      </c>
      <c r="CM207" s="87">
        <v>11.0</v>
      </c>
      <c r="CN207" s="87"/>
      <c r="CO207" s="87">
        <v>7.0</v>
      </c>
      <c r="CP207" s="87"/>
      <c r="CQ207" s="87">
        <v>29.0</v>
      </c>
      <c r="CR207" s="87">
        <v>10.0</v>
      </c>
      <c r="CS207" s="87"/>
      <c r="CT207" s="87">
        <v>177.0</v>
      </c>
      <c r="CU207" s="87">
        <v>47.0</v>
      </c>
      <c r="CV207" s="87">
        <v>12.0</v>
      </c>
      <c r="CW207" s="87">
        <v>39.0</v>
      </c>
      <c r="CX207" s="87">
        <v>38.0</v>
      </c>
      <c r="CY207" s="87">
        <v>16.0</v>
      </c>
      <c r="CZ207" s="87"/>
      <c r="DA207" s="87"/>
      <c r="DB207" s="87">
        <v>106.0</v>
      </c>
      <c r="DC207" s="87">
        <v>97.0</v>
      </c>
      <c r="DD207" s="87">
        <v>153.0</v>
      </c>
      <c r="DE207" s="87">
        <v>27.0</v>
      </c>
      <c r="DF207" s="87">
        <v>70.0</v>
      </c>
      <c r="DG207" s="87">
        <v>19.0</v>
      </c>
      <c r="DH207" s="87">
        <v>396.0</v>
      </c>
      <c r="DI207" s="87">
        <v>390.0</v>
      </c>
      <c r="DJ207" s="87"/>
      <c r="DK207" s="87">
        <v>30.0</v>
      </c>
      <c r="DL207" s="87">
        <v>290.0</v>
      </c>
      <c r="DM207" s="87">
        <v>21.0</v>
      </c>
      <c r="DN207" s="87"/>
      <c r="DO207" s="87">
        <v>163.0</v>
      </c>
      <c r="DP207" s="87">
        <v>379.0</v>
      </c>
      <c r="DQ207" s="87">
        <v>24.0</v>
      </c>
      <c r="DR207" s="87">
        <v>110.0</v>
      </c>
      <c r="DS207" s="87">
        <v>3.0</v>
      </c>
      <c r="DT207" s="87"/>
      <c r="DU207" s="87"/>
      <c r="DV207" s="87">
        <v>57.0</v>
      </c>
      <c r="DW207" s="87">
        <v>3.0</v>
      </c>
      <c r="DX207" s="87">
        <v>19.0</v>
      </c>
      <c r="DY207" s="87">
        <v>214.0</v>
      </c>
      <c r="DZ207" s="87">
        <v>3.0</v>
      </c>
      <c r="EA207" s="87">
        <v>15.0</v>
      </c>
      <c r="EB207" s="87">
        <v>24.0</v>
      </c>
      <c r="EC207" s="87">
        <v>12.0</v>
      </c>
      <c r="ED207" s="87">
        <v>876.0</v>
      </c>
      <c r="EE207" s="87">
        <v>26.0</v>
      </c>
      <c r="EF207" s="87"/>
      <c r="EG207" s="87">
        <v>21.0</v>
      </c>
      <c r="EH207" s="87">
        <v>3.0</v>
      </c>
      <c r="EI207" s="87">
        <v>236.0</v>
      </c>
      <c r="EJ207" s="87">
        <v>1668.0</v>
      </c>
      <c r="EK207" s="88"/>
      <c r="EL207" s="88"/>
      <c r="EM207" s="88"/>
      <c r="EN207" s="88"/>
      <c r="EO207" s="88"/>
      <c r="EP207" s="88"/>
      <c r="EQ207" s="90"/>
    </row>
    <row r="208" ht="12.0" customHeight="1">
      <c r="A208" s="89">
        <v>1.06300032E8</v>
      </c>
      <c r="B208" s="89" t="s">
        <v>1548</v>
      </c>
      <c r="C208" s="89" t="s">
        <v>1549</v>
      </c>
      <c r="D208" s="89" t="s">
        <v>1550</v>
      </c>
      <c r="E208" s="89" t="s">
        <v>1551</v>
      </c>
      <c r="F208" s="89" t="s">
        <v>1549</v>
      </c>
      <c r="G208" s="89" t="s">
        <v>1552</v>
      </c>
      <c r="H208" s="89" t="s">
        <v>447</v>
      </c>
      <c r="I208" s="89" t="s">
        <v>543</v>
      </c>
      <c r="J208" s="89" t="s">
        <v>448</v>
      </c>
      <c r="K208" s="89" t="s">
        <v>1553</v>
      </c>
      <c r="L208" s="89" t="s">
        <v>1554</v>
      </c>
      <c r="M208" s="89" t="s">
        <v>1555</v>
      </c>
      <c r="N208" s="89" t="s">
        <v>441</v>
      </c>
      <c r="O208" s="87">
        <v>11845.0</v>
      </c>
      <c r="P208" s="87"/>
      <c r="Q208" s="87">
        <v>738.0</v>
      </c>
      <c r="R208" s="87"/>
      <c r="S208" s="87"/>
      <c r="T208" s="87"/>
      <c r="U208" s="87">
        <v>6651.0</v>
      </c>
      <c r="V208" s="87">
        <v>5928.0</v>
      </c>
      <c r="W208" s="87">
        <v>4.0</v>
      </c>
      <c r="X208" s="87">
        <v>7903.0</v>
      </c>
      <c r="Y208" s="87">
        <v>4424.0</v>
      </c>
      <c r="Z208" s="87">
        <v>250.0</v>
      </c>
      <c r="AA208" s="87"/>
      <c r="AB208" s="87"/>
      <c r="AC208" s="87"/>
      <c r="AD208" s="87"/>
      <c r="AE208" s="87"/>
      <c r="AF208" s="87"/>
      <c r="AG208" s="87">
        <v>6.0</v>
      </c>
      <c r="AH208" s="87">
        <v>6904.0</v>
      </c>
      <c r="AI208" s="87">
        <v>5417.0</v>
      </c>
      <c r="AJ208" s="87">
        <v>262.0</v>
      </c>
      <c r="AK208" s="87">
        <v>12.0</v>
      </c>
      <c r="AL208" s="87">
        <v>1122.0</v>
      </c>
      <c r="AM208" s="87">
        <v>67.0</v>
      </c>
      <c r="AN208" s="87">
        <v>399.0</v>
      </c>
      <c r="AO208" s="87">
        <v>7579.0</v>
      </c>
      <c r="AP208" s="87">
        <v>275.0</v>
      </c>
      <c r="AQ208" s="87">
        <v>2902.0</v>
      </c>
      <c r="AR208" s="87">
        <v>227.0</v>
      </c>
      <c r="AS208" s="87">
        <v>10354.0</v>
      </c>
      <c r="AT208" s="87">
        <v>246.0</v>
      </c>
      <c r="AU208" s="87">
        <v>1802.0</v>
      </c>
      <c r="AV208" s="87">
        <v>13.0</v>
      </c>
      <c r="AW208" s="87">
        <v>44.0</v>
      </c>
      <c r="AX208" s="87">
        <v>61.0</v>
      </c>
      <c r="AY208" s="87">
        <v>33.0</v>
      </c>
      <c r="AZ208" s="87">
        <v>26.0</v>
      </c>
      <c r="BA208" s="87">
        <v>4.0</v>
      </c>
      <c r="BB208" s="87"/>
      <c r="BC208" s="87"/>
      <c r="BD208" s="87"/>
      <c r="BE208" s="87">
        <v>8615.0</v>
      </c>
      <c r="BF208" s="87">
        <v>719.0</v>
      </c>
      <c r="BG208" s="87">
        <v>3248.0</v>
      </c>
      <c r="BH208" s="87">
        <v>1.0</v>
      </c>
      <c r="BI208" s="87">
        <v>75968.0</v>
      </c>
      <c r="BJ208" s="87">
        <v>5.0</v>
      </c>
      <c r="BK208" s="87">
        <v>10578.0</v>
      </c>
      <c r="BL208" s="87">
        <v>1854.0</v>
      </c>
      <c r="BM208" s="87"/>
      <c r="BN208" s="87">
        <v>146.0</v>
      </c>
      <c r="BO208" s="87"/>
      <c r="BP208" s="87">
        <v>12105.0</v>
      </c>
      <c r="BQ208" s="87">
        <v>150.0</v>
      </c>
      <c r="BR208" s="87">
        <v>5.0</v>
      </c>
      <c r="BS208" s="87">
        <v>40.0</v>
      </c>
      <c r="BT208" s="87">
        <v>6.0</v>
      </c>
      <c r="BU208" s="87">
        <v>19.0</v>
      </c>
      <c r="BV208" s="87">
        <v>22.0</v>
      </c>
      <c r="BW208" s="87">
        <v>69.0</v>
      </c>
      <c r="BX208" s="87">
        <v>47.0</v>
      </c>
      <c r="BY208" s="87">
        <v>1.0</v>
      </c>
      <c r="BZ208" s="87">
        <v>4.0</v>
      </c>
      <c r="CA208" s="87">
        <v>6.0</v>
      </c>
      <c r="CB208" s="87">
        <v>71.0</v>
      </c>
      <c r="CC208" s="87"/>
      <c r="CD208" s="87">
        <v>34.0</v>
      </c>
      <c r="CE208" s="87"/>
      <c r="CF208" s="87">
        <v>4.0</v>
      </c>
      <c r="CG208" s="87">
        <v>37.0</v>
      </c>
      <c r="CH208" s="87">
        <v>12546.0</v>
      </c>
      <c r="CI208" s="87"/>
      <c r="CJ208" s="87">
        <v>16.0</v>
      </c>
      <c r="CK208" s="87">
        <v>7564.0</v>
      </c>
      <c r="CL208" s="87">
        <v>4804.0</v>
      </c>
      <c r="CM208" s="87"/>
      <c r="CN208" s="87"/>
      <c r="CO208" s="87">
        <v>160.0</v>
      </c>
      <c r="CP208" s="87"/>
      <c r="CQ208" s="87">
        <v>25.0</v>
      </c>
      <c r="CR208" s="87">
        <v>14.0</v>
      </c>
      <c r="CS208" s="87"/>
      <c r="CT208" s="87">
        <v>780.0</v>
      </c>
      <c r="CU208" s="87">
        <v>336.0</v>
      </c>
      <c r="CV208" s="87">
        <v>346.0</v>
      </c>
      <c r="CW208" s="87">
        <v>599.0</v>
      </c>
      <c r="CX208" s="87">
        <v>866.0</v>
      </c>
      <c r="CY208" s="87">
        <v>1372.0</v>
      </c>
      <c r="CZ208" s="87">
        <v>77.0</v>
      </c>
      <c r="DA208" s="87">
        <v>59.0</v>
      </c>
      <c r="DB208" s="87">
        <v>188.0</v>
      </c>
      <c r="DC208" s="87">
        <v>2480.0</v>
      </c>
      <c r="DD208" s="87">
        <v>1232.0</v>
      </c>
      <c r="DE208" s="87">
        <v>221.0</v>
      </c>
      <c r="DF208" s="87">
        <v>365.0</v>
      </c>
      <c r="DG208" s="87">
        <v>431.0</v>
      </c>
      <c r="DH208" s="87"/>
      <c r="DI208" s="87">
        <v>935.0</v>
      </c>
      <c r="DJ208" s="87">
        <v>587.0</v>
      </c>
      <c r="DK208" s="87">
        <v>532.0</v>
      </c>
      <c r="DL208" s="87">
        <v>714.0</v>
      </c>
      <c r="DM208" s="87">
        <v>459.0</v>
      </c>
      <c r="DN208" s="87">
        <v>4.0</v>
      </c>
      <c r="DO208" s="87">
        <v>2489.0</v>
      </c>
      <c r="DP208" s="87"/>
      <c r="DQ208" s="87">
        <v>442.0</v>
      </c>
      <c r="DR208" s="87">
        <v>919.0</v>
      </c>
      <c r="DS208" s="87">
        <v>44.0</v>
      </c>
      <c r="DT208" s="87">
        <v>15.0</v>
      </c>
      <c r="DU208" s="87">
        <v>7.0</v>
      </c>
      <c r="DV208" s="87">
        <v>65.0</v>
      </c>
      <c r="DW208" s="87">
        <v>115.0</v>
      </c>
      <c r="DX208" s="87">
        <v>201.0</v>
      </c>
      <c r="DY208" s="87">
        <v>358.0</v>
      </c>
      <c r="DZ208" s="87">
        <v>644.0</v>
      </c>
      <c r="EA208" s="87">
        <v>141.0</v>
      </c>
      <c r="EB208" s="87">
        <v>554.0</v>
      </c>
      <c r="EC208" s="87">
        <v>106.0</v>
      </c>
      <c r="ED208" s="87">
        <v>5853.0</v>
      </c>
      <c r="EE208" s="87">
        <v>630.0</v>
      </c>
      <c r="EF208" s="87">
        <v>6.0</v>
      </c>
      <c r="EG208" s="87">
        <v>18.0</v>
      </c>
      <c r="EH208" s="87">
        <v>8.0</v>
      </c>
      <c r="EI208" s="87">
        <v>147.0</v>
      </c>
      <c r="EJ208" s="87">
        <v>12404.0</v>
      </c>
      <c r="EK208" s="88"/>
      <c r="EL208" s="88"/>
      <c r="EM208" s="88"/>
      <c r="EN208" s="88"/>
      <c r="EO208" s="88"/>
      <c r="EP208" s="88"/>
      <c r="EQ208" s="90"/>
    </row>
    <row r="209" ht="12.0" customHeight="1">
      <c r="A209" s="89">
        <v>1.06300225E8</v>
      </c>
      <c r="B209" s="89" t="s">
        <v>1556</v>
      </c>
      <c r="C209" s="89" t="s">
        <v>1549</v>
      </c>
      <c r="D209" s="89" t="s">
        <v>1557</v>
      </c>
      <c r="E209" s="89" t="s">
        <v>1558</v>
      </c>
      <c r="F209" s="89" t="s">
        <v>1559</v>
      </c>
      <c r="G209" s="89" t="s">
        <v>1560</v>
      </c>
      <c r="H209" s="89" t="s">
        <v>447</v>
      </c>
      <c r="I209" s="89" t="s">
        <v>543</v>
      </c>
      <c r="J209" s="89" t="s">
        <v>469</v>
      </c>
      <c r="K209" s="89" t="s">
        <v>784</v>
      </c>
      <c r="L209" s="89" t="s">
        <v>1561</v>
      </c>
      <c r="M209" s="89" t="s">
        <v>1562</v>
      </c>
      <c r="N209" s="89" t="s">
        <v>441</v>
      </c>
      <c r="O209" s="87">
        <v>13091.0</v>
      </c>
      <c r="P209" s="87"/>
      <c r="Q209" s="87"/>
      <c r="R209" s="87"/>
      <c r="S209" s="87"/>
      <c r="T209" s="87"/>
      <c r="U209" s="87">
        <v>5458.0</v>
      </c>
      <c r="V209" s="87">
        <v>7633.0</v>
      </c>
      <c r="W209" s="87"/>
      <c r="X209" s="87">
        <v>1804.0</v>
      </c>
      <c r="Y209" s="87">
        <v>35.0</v>
      </c>
      <c r="Z209" s="87">
        <v>762.0</v>
      </c>
      <c r="AA209" s="87">
        <v>1834.0</v>
      </c>
      <c r="AB209" s="87">
        <v>913.0</v>
      </c>
      <c r="AC209" s="87">
        <v>1289.0</v>
      </c>
      <c r="AD209" s="87">
        <v>1891.0</v>
      </c>
      <c r="AE209" s="87">
        <v>2162.0</v>
      </c>
      <c r="AF209" s="87">
        <v>2401.0</v>
      </c>
      <c r="AG209" s="87"/>
      <c r="AH209" s="87">
        <v>2637.0</v>
      </c>
      <c r="AI209" s="87">
        <v>10402.0</v>
      </c>
      <c r="AJ209" s="87">
        <v>52.0</v>
      </c>
      <c r="AK209" s="87">
        <v>29.0</v>
      </c>
      <c r="AL209" s="87">
        <v>4180.0</v>
      </c>
      <c r="AM209" s="87">
        <v>72.0</v>
      </c>
      <c r="AN209" s="87">
        <v>262.0</v>
      </c>
      <c r="AO209" s="87">
        <v>5800.0</v>
      </c>
      <c r="AP209" s="87">
        <v>59.0</v>
      </c>
      <c r="AQ209" s="87">
        <v>2588.0</v>
      </c>
      <c r="AR209" s="87">
        <v>101.0</v>
      </c>
      <c r="AS209" s="87">
        <v>11092.0</v>
      </c>
      <c r="AT209" s="87">
        <v>68.0</v>
      </c>
      <c r="AU209" s="87">
        <v>73.0</v>
      </c>
      <c r="AV209" s="87">
        <v>42.0</v>
      </c>
      <c r="AW209" s="87">
        <v>9.0</v>
      </c>
      <c r="AX209" s="87"/>
      <c r="AY209" s="87"/>
      <c r="AZ209" s="87"/>
      <c r="BA209" s="87"/>
      <c r="BB209" s="87">
        <v>23.0</v>
      </c>
      <c r="BC209" s="87">
        <v>1784.0</v>
      </c>
      <c r="BD209" s="87"/>
      <c r="BE209" s="87">
        <v>8253.0</v>
      </c>
      <c r="BF209" s="87"/>
      <c r="BG209" s="87">
        <v>4838.0</v>
      </c>
      <c r="BH209" s="87"/>
      <c r="BI209" s="87">
        <v>54183.0</v>
      </c>
      <c r="BJ209" s="87">
        <v>7815.0</v>
      </c>
      <c r="BK209" s="87">
        <v>989.0</v>
      </c>
      <c r="BL209" s="87">
        <v>2503.0</v>
      </c>
      <c r="BM209" s="87">
        <v>1784.0</v>
      </c>
      <c r="BN209" s="87"/>
      <c r="BO209" s="87"/>
      <c r="BP209" s="87">
        <v>8543.0</v>
      </c>
      <c r="BQ209" s="87">
        <v>192.0</v>
      </c>
      <c r="BR209" s="87">
        <v>31.0</v>
      </c>
      <c r="BS209" s="87">
        <v>1100.0</v>
      </c>
      <c r="BT209" s="87">
        <v>2.0</v>
      </c>
      <c r="BU209" s="87"/>
      <c r="BV209" s="87"/>
      <c r="BW209" s="87">
        <v>304.0</v>
      </c>
      <c r="BX209" s="87">
        <v>2625.0</v>
      </c>
      <c r="BY209" s="87"/>
      <c r="BZ209" s="87">
        <v>13.0</v>
      </c>
      <c r="CA209" s="87">
        <v>265.0</v>
      </c>
      <c r="CB209" s="87">
        <v>15.0</v>
      </c>
      <c r="CC209" s="87"/>
      <c r="CD209" s="87">
        <v>1.0</v>
      </c>
      <c r="CE209" s="87"/>
      <c r="CF209" s="87"/>
      <c r="CG209" s="87">
        <v>529.0</v>
      </c>
      <c r="CH209" s="87">
        <v>12562.0</v>
      </c>
      <c r="CI209" s="87"/>
      <c r="CJ209" s="87">
        <v>5717.0</v>
      </c>
      <c r="CK209" s="87">
        <v>1910.0</v>
      </c>
      <c r="CL209" s="87">
        <v>5196.0</v>
      </c>
      <c r="CM209" s="87">
        <v>62.0</v>
      </c>
      <c r="CN209" s="87"/>
      <c r="CO209" s="87">
        <v>82.0</v>
      </c>
      <c r="CP209" s="87"/>
      <c r="CQ209" s="87">
        <v>124.0</v>
      </c>
      <c r="CR209" s="87"/>
      <c r="CS209" s="87"/>
      <c r="CT209" s="87">
        <v>1583.0</v>
      </c>
      <c r="CU209" s="87">
        <v>639.0</v>
      </c>
      <c r="CV209" s="87">
        <v>94.0</v>
      </c>
      <c r="CW209" s="87">
        <v>811.0</v>
      </c>
      <c r="CX209" s="87">
        <v>87.0</v>
      </c>
      <c r="CY209" s="87">
        <v>203.0</v>
      </c>
      <c r="CZ209" s="87">
        <v>9.0</v>
      </c>
      <c r="DA209" s="87">
        <v>17.0</v>
      </c>
      <c r="DB209" s="87">
        <v>1704.0</v>
      </c>
      <c r="DC209" s="87">
        <v>482.0</v>
      </c>
      <c r="DD209" s="87">
        <v>1393.0</v>
      </c>
      <c r="DE209" s="87">
        <v>153.0</v>
      </c>
      <c r="DF209" s="87">
        <v>614.0</v>
      </c>
      <c r="DG209" s="87">
        <v>511.0</v>
      </c>
      <c r="DH209" s="87">
        <v>1880.0</v>
      </c>
      <c r="DI209" s="87">
        <v>1804.0</v>
      </c>
      <c r="DJ209" s="87">
        <v>6.0</v>
      </c>
      <c r="DK209" s="87">
        <v>206.0</v>
      </c>
      <c r="DL209" s="87">
        <v>802.0</v>
      </c>
      <c r="DM209" s="87">
        <v>93.0</v>
      </c>
      <c r="DN209" s="87"/>
      <c r="DO209" s="87">
        <v>1930.0</v>
      </c>
      <c r="DP209" s="87">
        <v>1809.0</v>
      </c>
      <c r="DQ209" s="87">
        <v>1409.0</v>
      </c>
      <c r="DR209" s="87">
        <v>2196.0</v>
      </c>
      <c r="DS209" s="87">
        <v>5.0</v>
      </c>
      <c r="DT209" s="87">
        <v>13.0</v>
      </c>
      <c r="DU209" s="87"/>
      <c r="DV209" s="87">
        <v>401.0</v>
      </c>
      <c r="DW209" s="87">
        <v>57.0</v>
      </c>
      <c r="DX209" s="87">
        <v>214.0</v>
      </c>
      <c r="DY209" s="87">
        <v>820.0</v>
      </c>
      <c r="DZ209" s="87">
        <v>199.0</v>
      </c>
      <c r="EA209" s="87">
        <v>16.0</v>
      </c>
      <c r="EB209" s="87">
        <v>370.0</v>
      </c>
      <c r="EC209" s="87">
        <v>205.0</v>
      </c>
      <c r="ED209" s="87">
        <v>3098.0</v>
      </c>
      <c r="EE209" s="87">
        <v>349.0</v>
      </c>
      <c r="EF209" s="87">
        <v>2.0</v>
      </c>
      <c r="EG209" s="87">
        <v>187.0</v>
      </c>
      <c r="EH209" s="87">
        <v>1.0</v>
      </c>
      <c r="EI209" s="87">
        <v>59.0</v>
      </c>
      <c r="EJ209" s="87">
        <v>12842.0</v>
      </c>
      <c r="EK209" s="88"/>
      <c r="EL209" s="88"/>
      <c r="EM209" s="88"/>
      <c r="EN209" s="88"/>
      <c r="EO209" s="88"/>
      <c r="EP209" s="88"/>
      <c r="EQ209" s="90"/>
    </row>
    <row r="210" ht="12.0" customHeight="1">
      <c r="A210" s="89">
        <v>1.06301097E8</v>
      </c>
      <c r="B210" s="89" t="s">
        <v>1563</v>
      </c>
      <c r="C210" s="89" t="s">
        <v>1549</v>
      </c>
      <c r="D210" s="89" t="s">
        <v>1564</v>
      </c>
      <c r="E210" s="89" t="s">
        <v>1565</v>
      </c>
      <c r="F210" s="89" t="s">
        <v>1566</v>
      </c>
      <c r="G210" s="89" t="s">
        <v>1567</v>
      </c>
      <c r="H210" s="89" t="s">
        <v>475</v>
      </c>
      <c r="I210" s="89" t="s">
        <v>543</v>
      </c>
      <c r="J210" s="89" t="s">
        <v>463</v>
      </c>
      <c r="K210" s="89" t="s">
        <v>1505</v>
      </c>
      <c r="L210" s="89" t="s">
        <v>1568</v>
      </c>
      <c r="M210" s="89" t="s">
        <v>1569</v>
      </c>
      <c r="N210" s="89" t="s">
        <v>441</v>
      </c>
      <c r="O210" s="87">
        <v>8.0</v>
      </c>
      <c r="P210" s="87"/>
      <c r="Q210" s="87">
        <v>231.0</v>
      </c>
      <c r="R210" s="87"/>
      <c r="S210" s="87"/>
      <c r="T210" s="87"/>
      <c r="U210" s="87">
        <v>125.0</v>
      </c>
      <c r="V210" s="87">
        <v>114.0</v>
      </c>
      <c r="W210" s="87"/>
      <c r="X210" s="87"/>
      <c r="Y210" s="87">
        <v>13.0</v>
      </c>
      <c r="Z210" s="87">
        <v>72.0</v>
      </c>
      <c r="AA210" s="87">
        <v>76.0</v>
      </c>
      <c r="AB210" s="87">
        <v>34.0</v>
      </c>
      <c r="AC210" s="87">
        <v>31.0</v>
      </c>
      <c r="AD210" s="87">
        <v>13.0</v>
      </c>
      <c r="AE210" s="87"/>
      <c r="AF210" s="87"/>
      <c r="AG210" s="87"/>
      <c r="AH210" s="87">
        <v>51.0</v>
      </c>
      <c r="AI210" s="87">
        <v>80.0</v>
      </c>
      <c r="AJ210" s="87">
        <v>108.0</v>
      </c>
      <c r="AK210" s="87"/>
      <c r="AL210" s="87"/>
      <c r="AM210" s="87"/>
      <c r="AN210" s="87"/>
      <c r="AO210" s="87">
        <v>91.0</v>
      </c>
      <c r="AP210" s="87">
        <v>129.0</v>
      </c>
      <c r="AQ210" s="87">
        <v>19.0</v>
      </c>
      <c r="AR210" s="87"/>
      <c r="AS210" s="87">
        <v>10.0</v>
      </c>
      <c r="AT210" s="87"/>
      <c r="AU210" s="87">
        <v>229.0</v>
      </c>
      <c r="AV210" s="87"/>
      <c r="AW210" s="87"/>
      <c r="AX210" s="87"/>
      <c r="AY210" s="87"/>
      <c r="AZ210" s="87"/>
      <c r="BA210" s="87"/>
      <c r="BB210" s="87"/>
      <c r="BC210" s="87"/>
      <c r="BD210" s="87"/>
      <c r="BE210" s="87"/>
      <c r="BF210" s="87">
        <v>229.0</v>
      </c>
      <c r="BG210" s="87">
        <v>10.0</v>
      </c>
      <c r="BH210" s="87"/>
      <c r="BI210" s="87">
        <v>1723.0</v>
      </c>
      <c r="BJ210" s="87"/>
      <c r="BK210" s="87">
        <v>237.0</v>
      </c>
      <c r="BL210" s="87">
        <v>2.0</v>
      </c>
      <c r="BM210" s="87"/>
      <c r="BN210" s="87"/>
      <c r="BO210" s="87"/>
      <c r="BP210" s="87">
        <v>216.0</v>
      </c>
      <c r="BQ210" s="87">
        <v>6.0</v>
      </c>
      <c r="BR210" s="87"/>
      <c r="BS210" s="87"/>
      <c r="BT210" s="87">
        <v>1.0</v>
      </c>
      <c r="BU210" s="87"/>
      <c r="BV210" s="87">
        <v>14.0</v>
      </c>
      <c r="BW210" s="87"/>
      <c r="BX210" s="87"/>
      <c r="BY210" s="87"/>
      <c r="BZ210" s="87"/>
      <c r="CA210" s="87"/>
      <c r="CB210" s="87"/>
      <c r="CC210" s="87"/>
      <c r="CD210" s="87">
        <v>2.0</v>
      </c>
      <c r="CE210" s="87"/>
      <c r="CF210" s="87"/>
      <c r="CG210" s="87"/>
      <c r="CH210" s="87">
        <v>239.0</v>
      </c>
      <c r="CI210" s="87"/>
      <c r="CJ210" s="87">
        <v>1.0</v>
      </c>
      <c r="CK210" s="87">
        <v>228.0</v>
      </c>
      <c r="CL210" s="87">
        <v>5.0</v>
      </c>
      <c r="CM210" s="87"/>
      <c r="CN210" s="87"/>
      <c r="CO210" s="87"/>
      <c r="CP210" s="87"/>
      <c r="CQ210" s="87"/>
      <c r="CR210" s="87">
        <v>5.0</v>
      </c>
      <c r="CS210" s="87"/>
      <c r="CT210" s="87">
        <v>1.0</v>
      </c>
      <c r="CU210" s="87"/>
      <c r="CV210" s="87"/>
      <c r="CW210" s="87">
        <v>2.0</v>
      </c>
      <c r="CX210" s="87">
        <v>232.0</v>
      </c>
      <c r="CY210" s="87"/>
      <c r="CZ210" s="87"/>
      <c r="DA210" s="87"/>
      <c r="DB210" s="87"/>
      <c r="DC210" s="87"/>
      <c r="DD210" s="87"/>
      <c r="DE210" s="87">
        <v>1.0</v>
      </c>
      <c r="DF210" s="87"/>
      <c r="DG210" s="87"/>
      <c r="DH210" s="87"/>
      <c r="DI210" s="87"/>
      <c r="DJ210" s="87"/>
      <c r="DK210" s="87"/>
      <c r="DL210" s="87">
        <v>2.0</v>
      </c>
      <c r="DM210" s="87"/>
      <c r="DN210" s="87">
        <v>1.0</v>
      </c>
      <c r="DO210" s="87"/>
      <c r="DP210" s="87"/>
      <c r="DQ210" s="87"/>
      <c r="DR210" s="87"/>
      <c r="DS210" s="87"/>
      <c r="DT210" s="87"/>
      <c r="DU210" s="87"/>
      <c r="DV210" s="87"/>
      <c r="DW210" s="87"/>
      <c r="DX210" s="87"/>
      <c r="DY210" s="87"/>
      <c r="DZ210" s="87"/>
      <c r="EA210" s="87"/>
      <c r="EB210" s="87"/>
      <c r="EC210" s="87">
        <v>1.0</v>
      </c>
      <c r="ED210" s="87">
        <v>238.0</v>
      </c>
      <c r="EE210" s="87"/>
      <c r="EF210" s="87"/>
      <c r="EG210" s="87">
        <v>37.0</v>
      </c>
      <c r="EH210" s="87"/>
      <c r="EI210" s="87">
        <v>2.0</v>
      </c>
      <c r="EJ210" s="87">
        <v>200.0</v>
      </c>
      <c r="EK210" s="88"/>
      <c r="EL210" s="88"/>
      <c r="EM210" s="88"/>
      <c r="EN210" s="88"/>
      <c r="EO210" s="88"/>
      <c r="EP210" s="88"/>
      <c r="EQ210" s="90"/>
    </row>
    <row r="211" ht="12.0" customHeight="1">
      <c r="A211" s="89">
        <v>1.06301098E8</v>
      </c>
      <c r="B211" s="89" t="s">
        <v>1570</v>
      </c>
      <c r="C211" s="89" t="s">
        <v>1549</v>
      </c>
      <c r="D211" s="89" t="s">
        <v>1571</v>
      </c>
      <c r="E211" s="89" t="s">
        <v>1572</v>
      </c>
      <c r="F211" s="89" t="s">
        <v>1566</v>
      </c>
      <c r="G211" s="89" t="s">
        <v>1573</v>
      </c>
      <c r="H211" s="89" t="s">
        <v>696</v>
      </c>
      <c r="I211" s="89" t="s">
        <v>456</v>
      </c>
      <c r="J211" s="89" t="s">
        <v>469</v>
      </c>
      <c r="K211" s="89" t="s">
        <v>1505</v>
      </c>
      <c r="L211" s="89" t="s">
        <v>1574</v>
      </c>
      <c r="M211" s="89" t="s">
        <v>1575</v>
      </c>
      <c r="N211" s="89" t="s">
        <v>441</v>
      </c>
      <c r="O211" s="87">
        <v>7492.0</v>
      </c>
      <c r="P211" s="87"/>
      <c r="Q211" s="87"/>
      <c r="R211" s="87"/>
      <c r="S211" s="87"/>
      <c r="T211" s="87">
        <v>1.0</v>
      </c>
      <c r="U211" s="87">
        <v>3367.0</v>
      </c>
      <c r="V211" s="87">
        <v>4126.0</v>
      </c>
      <c r="W211" s="87"/>
      <c r="X211" s="87">
        <v>1027.0</v>
      </c>
      <c r="Y211" s="87">
        <v>83.0</v>
      </c>
      <c r="Z211" s="87">
        <v>673.0</v>
      </c>
      <c r="AA211" s="87">
        <v>888.0</v>
      </c>
      <c r="AB211" s="87">
        <v>642.0</v>
      </c>
      <c r="AC211" s="87">
        <v>886.0</v>
      </c>
      <c r="AD211" s="87">
        <v>1202.0</v>
      </c>
      <c r="AE211" s="87">
        <v>1047.0</v>
      </c>
      <c r="AF211" s="87">
        <v>1045.0</v>
      </c>
      <c r="AG211" s="87"/>
      <c r="AH211" s="87">
        <v>3140.0</v>
      </c>
      <c r="AI211" s="87">
        <v>4253.0</v>
      </c>
      <c r="AJ211" s="87">
        <v>100.0</v>
      </c>
      <c r="AK211" s="87">
        <v>15.0</v>
      </c>
      <c r="AL211" s="87">
        <v>857.0</v>
      </c>
      <c r="AM211" s="87">
        <v>30.0</v>
      </c>
      <c r="AN211" s="87">
        <v>241.0</v>
      </c>
      <c r="AO211" s="87">
        <v>5485.0</v>
      </c>
      <c r="AP211" s="87">
        <v>204.0</v>
      </c>
      <c r="AQ211" s="87">
        <v>661.0</v>
      </c>
      <c r="AR211" s="87"/>
      <c r="AS211" s="87">
        <v>6300.0</v>
      </c>
      <c r="AT211" s="87">
        <v>32.0</v>
      </c>
      <c r="AU211" s="87">
        <v>83.0</v>
      </c>
      <c r="AV211" s="87">
        <v>61.0</v>
      </c>
      <c r="AW211" s="87">
        <v>26.0</v>
      </c>
      <c r="AX211" s="87"/>
      <c r="AY211" s="87"/>
      <c r="AZ211" s="87"/>
      <c r="BA211" s="87"/>
      <c r="BB211" s="87"/>
      <c r="BC211" s="87">
        <v>991.0</v>
      </c>
      <c r="BD211" s="87"/>
      <c r="BE211" s="87">
        <v>5208.0</v>
      </c>
      <c r="BF211" s="87">
        <v>1.0</v>
      </c>
      <c r="BG211" s="87">
        <v>2284.0</v>
      </c>
      <c r="BH211" s="87"/>
      <c r="BI211" s="87">
        <v>33253.0</v>
      </c>
      <c r="BJ211" s="87">
        <v>5152.0</v>
      </c>
      <c r="BK211" s="87">
        <v>652.0</v>
      </c>
      <c r="BL211" s="87">
        <v>698.0</v>
      </c>
      <c r="BM211" s="87">
        <v>991.0</v>
      </c>
      <c r="BN211" s="87"/>
      <c r="BO211" s="87"/>
      <c r="BP211" s="87">
        <v>4708.0</v>
      </c>
      <c r="BQ211" s="87">
        <v>186.0</v>
      </c>
      <c r="BR211" s="87">
        <v>3.0</v>
      </c>
      <c r="BS211" s="87">
        <v>866.0</v>
      </c>
      <c r="BT211" s="87">
        <v>18.0</v>
      </c>
      <c r="BU211" s="87"/>
      <c r="BV211" s="87">
        <v>277.0</v>
      </c>
      <c r="BW211" s="87">
        <v>165.0</v>
      </c>
      <c r="BX211" s="87">
        <v>1121.0</v>
      </c>
      <c r="BY211" s="87"/>
      <c r="BZ211" s="87">
        <v>2.0</v>
      </c>
      <c r="CA211" s="87">
        <v>134.0</v>
      </c>
      <c r="CB211" s="87">
        <v>9.0</v>
      </c>
      <c r="CC211" s="87">
        <v>1.0</v>
      </c>
      <c r="CD211" s="87">
        <v>1.0</v>
      </c>
      <c r="CE211" s="87"/>
      <c r="CF211" s="87">
        <v>2.0</v>
      </c>
      <c r="CG211" s="87">
        <v>199.0</v>
      </c>
      <c r="CH211" s="87">
        <v>7291.0</v>
      </c>
      <c r="CI211" s="87">
        <v>3.0</v>
      </c>
      <c r="CJ211" s="87">
        <v>2194.0</v>
      </c>
      <c r="CK211" s="87">
        <v>3451.0</v>
      </c>
      <c r="CL211" s="87">
        <v>1523.0</v>
      </c>
      <c r="CM211" s="87">
        <v>8.0</v>
      </c>
      <c r="CN211" s="87"/>
      <c r="CO211" s="87">
        <v>15.0</v>
      </c>
      <c r="CP211" s="87">
        <v>3.0</v>
      </c>
      <c r="CQ211" s="87">
        <v>267.0</v>
      </c>
      <c r="CR211" s="87">
        <v>10.0</v>
      </c>
      <c r="CS211" s="87">
        <v>22.0</v>
      </c>
      <c r="CT211" s="87">
        <v>1235.0</v>
      </c>
      <c r="CU211" s="87">
        <v>217.0</v>
      </c>
      <c r="CV211" s="87">
        <v>76.0</v>
      </c>
      <c r="CW211" s="87">
        <v>368.0</v>
      </c>
      <c r="CX211" s="87">
        <v>83.0</v>
      </c>
      <c r="CY211" s="87">
        <v>180.0</v>
      </c>
      <c r="CZ211" s="87">
        <v>10.0</v>
      </c>
      <c r="DA211" s="87">
        <v>5.0</v>
      </c>
      <c r="DB211" s="87">
        <v>1037.0</v>
      </c>
      <c r="DC211" s="87">
        <v>365.0</v>
      </c>
      <c r="DD211" s="87">
        <v>776.0</v>
      </c>
      <c r="DE211" s="87">
        <v>115.0</v>
      </c>
      <c r="DF211" s="87">
        <v>83.0</v>
      </c>
      <c r="DG211" s="87">
        <v>318.0</v>
      </c>
      <c r="DH211" s="87">
        <v>1087.0</v>
      </c>
      <c r="DI211" s="87">
        <v>1027.0</v>
      </c>
      <c r="DJ211" s="87">
        <v>1.0</v>
      </c>
      <c r="DK211" s="87">
        <v>125.0</v>
      </c>
      <c r="DL211" s="87">
        <v>381.0</v>
      </c>
      <c r="DM211" s="87">
        <v>3.0</v>
      </c>
      <c r="DN211" s="87">
        <v>1.0</v>
      </c>
      <c r="DO211" s="87">
        <v>1468.0</v>
      </c>
      <c r="DP211" s="87">
        <v>1012.0</v>
      </c>
      <c r="DQ211" s="87">
        <v>905.0</v>
      </c>
      <c r="DR211" s="87">
        <v>717.0</v>
      </c>
      <c r="DS211" s="87"/>
      <c r="DT211" s="87">
        <v>1.0</v>
      </c>
      <c r="DU211" s="87">
        <v>1.0</v>
      </c>
      <c r="DV211" s="87">
        <v>50.0</v>
      </c>
      <c r="DW211" s="87">
        <v>27.0</v>
      </c>
      <c r="DX211" s="87">
        <v>111.0</v>
      </c>
      <c r="DY211" s="87">
        <v>290.0</v>
      </c>
      <c r="DZ211" s="87">
        <v>17.0</v>
      </c>
      <c r="EA211" s="87">
        <v>6.0</v>
      </c>
      <c r="EB211" s="87">
        <v>162.0</v>
      </c>
      <c r="EC211" s="87">
        <v>65.0</v>
      </c>
      <c r="ED211" s="87">
        <v>2532.0</v>
      </c>
      <c r="EE211" s="87">
        <v>129.0</v>
      </c>
      <c r="EF211" s="87">
        <v>3.0</v>
      </c>
      <c r="EG211" s="87">
        <v>199.0</v>
      </c>
      <c r="EH211" s="87">
        <v>1.0</v>
      </c>
      <c r="EI211" s="87">
        <v>56.0</v>
      </c>
      <c r="EJ211" s="87">
        <v>7234.0</v>
      </c>
      <c r="EK211" s="88"/>
      <c r="EL211" s="88"/>
      <c r="EM211" s="88"/>
      <c r="EN211" s="88"/>
      <c r="EO211" s="88"/>
      <c r="EP211" s="88"/>
      <c r="EQ211" s="90"/>
    </row>
    <row r="212" ht="12.0" customHeight="1">
      <c r="A212" s="89">
        <v>1.06301127E8</v>
      </c>
      <c r="B212" s="89" t="s">
        <v>1576</v>
      </c>
      <c r="C212" s="89" t="s">
        <v>1549</v>
      </c>
      <c r="D212" s="89" t="s">
        <v>1577</v>
      </c>
      <c r="E212" s="89" t="s">
        <v>1578</v>
      </c>
      <c r="F212" s="89" t="s">
        <v>1579</v>
      </c>
      <c r="G212" s="89" t="s">
        <v>1580</v>
      </c>
      <c r="H212" s="89" t="s">
        <v>475</v>
      </c>
      <c r="I212" s="89" t="s">
        <v>456</v>
      </c>
      <c r="J212" s="89" t="s">
        <v>463</v>
      </c>
      <c r="K212" s="89" t="s">
        <v>1505</v>
      </c>
      <c r="L212" s="89" t="s">
        <v>1581</v>
      </c>
      <c r="M212" s="89" t="s">
        <v>1582</v>
      </c>
      <c r="N212" s="89" t="s">
        <v>441</v>
      </c>
      <c r="O212" s="87">
        <v>411.0</v>
      </c>
      <c r="P212" s="87">
        <v>109.0</v>
      </c>
      <c r="Q212" s="87"/>
      <c r="R212" s="87"/>
      <c r="S212" s="87"/>
      <c r="T212" s="87"/>
      <c r="U212" s="87">
        <v>275.0</v>
      </c>
      <c r="V212" s="87">
        <v>245.0</v>
      </c>
      <c r="W212" s="87"/>
      <c r="X212" s="87"/>
      <c r="Y212" s="87"/>
      <c r="Z212" s="87"/>
      <c r="AA212" s="87"/>
      <c r="AB212" s="87">
        <v>28.0</v>
      </c>
      <c r="AC212" s="87">
        <v>63.0</v>
      </c>
      <c r="AD212" s="87">
        <v>113.0</v>
      </c>
      <c r="AE212" s="87">
        <v>165.0</v>
      </c>
      <c r="AF212" s="87">
        <v>142.0</v>
      </c>
      <c r="AG212" s="87">
        <v>9.0</v>
      </c>
      <c r="AH212" s="87">
        <v>130.0</v>
      </c>
      <c r="AI212" s="87">
        <v>388.0</v>
      </c>
      <c r="AJ212" s="87">
        <v>2.0</v>
      </c>
      <c r="AK212" s="87"/>
      <c r="AL212" s="87">
        <v>83.0</v>
      </c>
      <c r="AM212" s="87"/>
      <c r="AN212" s="87"/>
      <c r="AO212" s="87">
        <v>252.0</v>
      </c>
      <c r="AP212" s="87">
        <v>7.0</v>
      </c>
      <c r="AQ212" s="87">
        <v>178.0</v>
      </c>
      <c r="AR212" s="87"/>
      <c r="AS212" s="87"/>
      <c r="AT212" s="87"/>
      <c r="AU212" s="87">
        <v>520.0</v>
      </c>
      <c r="AV212" s="87"/>
      <c r="AW212" s="87"/>
      <c r="AX212" s="87"/>
      <c r="AY212" s="87"/>
      <c r="AZ212" s="87"/>
      <c r="BA212" s="87"/>
      <c r="BB212" s="87"/>
      <c r="BC212" s="87"/>
      <c r="BD212" s="87"/>
      <c r="BE212" s="87"/>
      <c r="BF212" s="87"/>
      <c r="BG212" s="87">
        <v>520.0</v>
      </c>
      <c r="BH212" s="87"/>
      <c r="BI212" s="87">
        <v>25170.0</v>
      </c>
      <c r="BJ212" s="87"/>
      <c r="BK212" s="87"/>
      <c r="BL212" s="87">
        <v>520.0</v>
      </c>
      <c r="BM212" s="87"/>
      <c r="BN212" s="87"/>
      <c r="BO212" s="87"/>
      <c r="BP212" s="87">
        <v>48.0</v>
      </c>
      <c r="BQ212" s="87">
        <v>92.0</v>
      </c>
      <c r="BR212" s="87">
        <v>8.0</v>
      </c>
      <c r="BS212" s="87">
        <v>190.0</v>
      </c>
      <c r="BT212" s="87">
        <v>1.0</v>
      </c>
      <c r="BU212" s="87"/>
      <c r="BV212" s="87">
        <v>6.0</v>
      </c>
      <c r="BW212" s="87">
        <v>102.0</v>
      </c>
      <c r="BX212" s="87">
        <v>43.0</v>
      </c>
      <c r="BY212" s="87"/>
      <c r="BZ212" s="87">
        <v>3.0</v>
      </c>
      <c r="CA212" s="87">
        <v>18.0</v>
      </c>
      <c r="CB212" s="87"/>
      <c r="CC212" s="87"/>
      <c r="CD212" s="87">
        <v>9.0</v>
      </c>
      <c r="CE212" s="87"/>
      <c r="CF212" s="87"/>
      <c r="CG212" s="87">
        <v>33.0</v>
      </c>
      <c r="CH212" s="87">
        <v>487.0</v>
      </c>
      <c r="CI212" s="87"/>
      <c r="CJ212" s="87">
        <v>291.0</v>
      </c>
      <c r="CK212" s="87">
        <v>82.0</v>
      </c>
      <c r="CL212" s="87">
        <v>127.0</v>
      </c>
      <c r="CM212" s="87">
        <v>5.0</v>
      </c>
      <c r="CN212" s="87">
        <v>3.0</v>
      </c>
      <c r="CO212" s="87"/>
      <c r="CP212" s="87"/>
      <c r="CQ212" s="87">
        <v>1.0</v>
      </c>
      <c r="CR212" s="87">
        <v>11.0</v>
      </c>
      <c r="CS212" s="87"/>
      <c r="CT212" s="87">
        <v>15.0</v>
      </c>
      <c r="CU212" s="87">
        <v>13.0</v>
      </c>
      <c r="CV212" s="87"/>
      <c r="CW212" s="87">
        <v>5.0</v>
      </c>
      <c r="CX212" s="87"/>
      <c r="CY212" s="87">
        <v>14.0</v>
      </c>
      <c r="CZ212" s="87"/>
      <c r="DA212" s="87"/>
      <c r="DB212" s="87">
        <v>48.0</v>
      </c>
      <c r="DC212" s="87">
        <v>323.0</v>
      </c>
      <c r="DD212" s="87">
        <v>21.0</v>
      </c>
      <c r="DE212" s="87">
        <v>7.0</v>
      </c>
      <c r="DF212" s="87">
        <v>16.0</v>
      </c>
      <c r="DG212" s="87">
        <v>19.0</v>
      </c>
      <c r="DH212" s="87"/>
      <c r="DI212" s="87"/>
      <c r="DJ212" s="87">
        <v>2.0</v>
      </c>
      <c r="DK212" s="87"/>
      <c r="DL212" s="87">
        <v>25.0</v>
      </c>
      <c r="DM212" s="87">
        <v>12.0</v>
      </c>
      <c r="DN212" s="87"/>
      <c r="DO212" s="87">
        <v>136.0</v>
      </c>
      <c r="DP212" s="87"/>
      <c r="DQ212" s="87">
        <v>54.0</v>
      </c>
      <c r="DR212" s="87">
        <v>17.0</v>
      </c>
      <c r="DS212" s="87"/>
      <c r="DT212" s="87"/>
      <c r="DU212" s="87"/>
      <c r="DV212" s="87"/>
      <c r="DW212" s="87"/>
      <c r="DX212" s="87">
        <v>6.0</v>
      </c>
      <c r="DY212" s="87"/>
      <c r="DZ212" s="87"/>
      <c r="EA212" s="87"/>
      <c r="EB212" s="87">
        <v>16.0</v>
      </c>
      <c r="EC212" s="87">
        <v>1.0</v>
      </c>
      <c r="ED212" s="87">
        <v>251.0</v>
      </c>
      <c r="EE212" s="87">
        <v>39.0</v>
      </c>
      <c r="EF212" s="87"/>
      <c r="EG212" s="87">
        <v>3.0</v>
      </c>
      <c r="EH212" s="87"/>
      <c r="EI212" s="87">
        <v>5.0</v>
      </c>
      <c r="EJ212" s="87">
        <v>512.0</v>
      </c>
      <c r="EK212" s="88"/>
      <c r="EL212" s="88"/>
      <c r="EM212" s="88"/>
      <c r="EN212" s="88"/>
      <c r="EO212" s="88"/>
      <c r="EP212" s="88"/>
      <c r="EQ212" s="90"/>
    </row>
    <row r="213" ht="12.0" customHeight="1">
      <c r="A213" s="89">
        <v>1.0630114E8</v>
      </c>
      <c r="B213" s="89" t="s">
        <v>1583</v>
      </c>
      <c r="C213" s="89" t="s">
        <v>1549</v>
      </c>
      <c r="D213" s="89" t="s">
        <v>1584</v>
      </c>
      <c r="E213" s="89" t="s">
        <v>1585</v>
      </c>
      <c r="F213" s="89" t="s">
        <v>1549</v>
      </c>
      <c r="G213" s="89" t="s">
        <v>1586</v>
      </c>
      <c r="H213" s="89" t="s">
        <v>503</v>
      </c>
      <c r="I213" s="89" t="s">
        <v>456</v>
      </c>
      <c r="J213" s="89" t="s">
        <v>437</v>
      </c>
      <c r="K213" s="89" t="s">
        <v>1553</v>
      </c>
      <c r="L213" s="89" t="s">
        <v>1554</v>
      </c>
      <c r="M213" s="89" t="s">
        <v>1587</v>
      </c>
      <c r="N213" s="89" t="s">
        <v>441</v>
      </c>
      <c r="O213" s="87">
        <v>1823.0</v>
      </c>
      <c r="P213" s="87">
        <v>10.0</v>
      </c>
      <c r="Q213" s="87">
        <v>231.0</v>
      </c>
      <c r="R213" s="87">
        <v>3.0</v>
      </c>
      <c r="S213" s="87"/>
      <c r="T213" s="87"/>
      <c r="U213" s="87">
        <v>943.0</v>
      </c>
      <c r="V213" s="87">
        <v>1124.0</v>
      </c>
      <c r="W213" s="87"/>
      <c r="X213" s="87"/>
      <c r="Y213" s="87">
        <v>12.0</v>
      </c>
      <c r="Z213" s="87">
        <v>102.0</v>
      </c>
      <c r="AA213" s="87">
        <v>227.0</v>
      </c>
      <c r="AB213" s="87">
        <v>283.0</v>
      </c>
      <c r="AC213" s="87">
        <v>346.0</v>
      </c>
      <c r="AD213" s="87">
        <v>397.0</v>
      </c>
      <c r="AE213" s="87">
        <v>358.0</v>
      </c>
      <c r="AF213" s="87">
        <v>342.0</v>
      </c>
      <c r="AG213" s="87"/>
      <c r="AH213" s="87">
        <v>641.0</v>
      </c>
      <c r="AI213" s="87">
        <v>1317.0</v>
      </c>
      <c r="AJ213" s="87">
        <v>109.0</v>
      </c>
      <c r="AK213" s="87"/>
      <c r="AL213" s="87">
        <v>231.0</v>
      </c>
      <c r="AM213" s="87"/>
      <c r="AN213" s="87">
        <v>70.0</v>
      </c>
      <c r="AO213" s="87">
        <v>1188.0</v>
      </c>
      <c r="AP213" s="87">
        <v>27.0</v>
      </c>
      <c r="AQ213" s="87">
        <v>551.0</v>
      </c>
      <c r="AR213" s="87"/>
      <c r="AS213" s="87">
        <v>1365.0</v>
      </c>
      <c r="AT213" s="87">
        <v>555.0</v>
      </c>
      <c r="AU213" s="87">
        <v>57.0</v>
      </c>
      <c r="AV213" s="87">
        <v>16.0</v>
      </c>
      <c r="AW213" s="87">
        <v>43.0</v>
      </c>
      <c r="AX213" s="87">
        <v>26.0</v>
      </c>
      <c r="AY213" s="87"/>
      <c r="AZ213" s="87"/>
      <c r="BA213" s="87">
        <v>1.0</v>
      </c>
      <c r="BB213" s="87">
        <v>4.0</v>
      </c>
      <c r="BC213" s="87"/>
      <c r="BD213" s="87"/>
      <c r="BE213" s="87">
        <v>1126.0</v>
      </c>
      <c r="BF213" s="87">
        <v>5.0</v>
      </c>
      <c r="BG213" s="87">
        <v>934.0</v>
      </c>
      <c r="BH213" s="87">
        <v>2.0</v>
      </c>
      <c r="BI213" s="87">
        <v>19822.0</v>
      </c>
      <c r="BJ213" s="87">
        <v>511.0</v>
      </c>
      <c r="BK213" s="87">
        <v>857.0</v>
      </c>
      <c r="BL213" s="87">
        <v>692.0</v>
      </c>
      <c r="BM213" s="87"/>
      <c r="BN213" s="87">
        <v>5.0</v>
      </c>
      <c r="BO213" s="87">
        <v>2.0</v>
      </c>
      <c r="BP213" s="87">
        <v>1091.0</v>
      </c>
      <c r="BQ213" s="87">
        <v>117.0</v>
      </c>
      <c r="BR213" s="87">
        <v>174.0</v>
      </c>
      <c r="BS213" s="87">
        <v>331.0</v>
      </c>
      <c r="BT213" s="87">
        <v>76.0</v>
      </c>
      <c r="BU213" s="87">
        <v>1.0</v>
      </c>
      <c r="BV213" s="87">
        <v>70.0</v>
      </c>
      <c r="BW213" s="87">
        <v>45.0</v>
      </c>
      <c r="BX213" s="87">
        <v>93.0</v>
      </c>
      <c r="BY213" s="87"/>
      <c r="BZ213" s="87"/>
      <c r="CA213" s="87">
        <v>25.0</v>
      </c>
      <c r="CB213" s="87">
        <v>33.0</v>
      </c>
      <c r="CC213" s="87">
        <v>1.0</v>
      </c>
      <c r="CD213" s="87">
        <v>6.0</v>
      </c>
      <c r="CE213" s="87">
        <v>4.0</v>
      </c>
      <c r="CF213" s="87"/>
      <c r="CG213" s="87">
        <v>47.0</v>
      </c>
      <c r="CH213" s="87">
        <v>2020.0</v>
      </c>
      <c r="CI213" s="87"/>
      <c r="CJ213" s="87">
        <v>899.0</v>
      </c>
      <c r="CK213" s="87">
        <v>531.0</v>
      </c>
      <c r="CL213" s="87">
        <v>463.0</v>
      </c>
      <c r="CM213" s="87">
        <v>160.0</v>
      </c>
      <c r="CN213" s="87"/>
      <c r="CO213" s="87">
        <v>4.0</v>
      </c>
      <c r="CP213" s="87">
        <v>1.0</v>
      </c>
      <c r="CQ213" s="87">
        <v>8.0</v>
      </c>
      <c r="CR213" s="87">
        <v>1.0</v>
      </c>
      <c r="CS213" s="87"/>
      <c r="CT213" s="87">
        <v>240.0</v>
      </c>
      <c r="CU213" s="87">
        <v>19.0</v>
      </c>
      <c r="CV213" s="87">
        <v>16.0</v>
      </c>
      <c r="CW213" s="87">
        <v>231.0</v>
      </c>
      <c r="CX213" s="87">
        <v>414.0</v>
      </c>
      <c r="CY213" s="87">
        <v>40.0</v>
      </c>
      <c r="CZ213" s="87">
        <v>1.0</v>
      </c>
      <c r="DA213" s="87">
        <v>5.0</v>
      </c>
      <c r="DB213" s="87">
        <v>126.0</v>
      </c>
      <c r="DC213" s="87">
        <v>81.0</v>
      </c>
      <c r="DD213" s="87">
        <v>184.0</v>
      </c>
      <c r="DE213" s="87">
        <v>40.0</v>
      </c>
      <c r="DF213" s="87">
        <v>390.0</v>
      </c>
      <c r="DG213" s="87">
        <v>87.0</v>
      </c>
      <c r="DH213" s="87"/>
      <c r="DI213" s="87"/>
      <c r="DJ213" s="87"/>
      <c r="DK213" s="87">
        <v>41.0</v>
      </c>
      <c r="DL213" s="87">
        <v>136.0</v>
      </c>
      <c r="DM213" s="87">
        <v>14.0</v>
      </c>
      <c r="DN213" s="87">
        <v>2.0</v>
      </c>
      <c r="DO213" s="87">
        <v>329.0</v>
      </c>
      <c r="DP213" s="87"/>
      <c r="DQ213" s="87">
        <v>49.0</v>
      </c>
      <c r="DR213" s="87">
        <v>302.0</v>
      </c>
      <c r="DS213" s="87"/>
      <c r="DT213" s="87"/>
      <c r="DU213" s="87"/>
      <c r="DV213" s="87">
        <v>3.0</v>
      </c>
      <c r="DW213" s="87">
        <v>2.0</v>
      </c>
      <c r="DX213" s="87">
        <v>128.0</v>
      </c>
      <c r="DY213" s="87">
        <v>433.0</v>
      </c>
      <c r="DZ213" s="87">
        <v>19.0</v>
      </c>
      <c r="EA213" s="87"/>
      <c r="EB213" s="87">
        <v>15.0</v>
      </c>
      <c r="EC213" s="87"/>
      <c r="ED213" s="87">
        <v>779.0</v>
      </c>
      <c r="EE213" s="87">
        <v>8.0</v>
      </c>
      <c r="EF213" s="87">
        <v>7.0</v>
      </c>
      <c r="EG213" s="87">
        <v>57.0</v>
      </c>
      <c r="EH213" s="87">
        <v>1.0</v>
      </c>
      <c r="EI213" s="87">
        <v>20.0</v>
      </c>
      <c r="EJ213" s="87">
        <v>1982.0</v>
      </c>
      <c r="EK213" s="88"/>
      <c r="EL213" s="88"/>
      <c r="EM213" s="88"/>
      <c r="EN213" s="88"/>
      <c r="EO213" s="88"/>
      <c r="EP213" s="88"/>
      <c r="EQ213" s="90"/>
    </row>
    <row r="214" ht="12.0" customHeight="1">
      <c r="A214" s="89">
        <v>1.06301155E8</v>
      </c>
      <c r="B214" s="89" t="s">
        <v>1588</v>
      </c>
      <c r="C214" s="89" t="s">
        <v>1549</v>
      </c>
      <c r="D214" s="89" t="s">
        <v>1589</v>
      </c>
      <c r="E214" s="89" t="s">
        <v>1590</v>
      </c>
      <c r="F214" s="89" t="s">
        <v>1591</v>
      </c>
      <c r="G214" s="89" t="s">
        <v>1592</v>
      </c>
      <c r="H214" s="89" t="s">
        <v>503</v>
      </c>
      <c r="I214" s="89" t="s">
        <v>456</v>
      </c>
      <c r="J214" s="89" t="s">
        <v>437</v>
      </c>
      <c r="K214" s="89" t="s">
        <v>1553</v>
      </c>
      <c r="L214" s="89" t="s">
        <v>1593</v>
      </c>
      <c r="M214" s="89" t="s">
        <v>1594</v>
      </c>
      <c r="N214" s="89" t="s">
        <v>441</v>
      </c>
      <c r="O214" s="87">
        <v>1308.0</v>
      </c>
      <c r="P214" s="87"/>
      <c r="Q214" s="87">
        <v>2548.0</v>
      </c>
      <c r="R214" s="87"/>
      <c r="S214" s="87"/>
      <c r="T214" s="87"/>
      <c r="U214" s="87">
        <v>2241.0</v>
      </c>
      <c r="V214" s="87">
        <v>1615.0</v>
      </c>
      <c r="W214" s="87"/>
      <c r="X214" s="87"/>
      <c r="Y214" s="87">
        <v>734.0</v>
      </c>
      <c r="Z214" s="87">
        <v>834.0</v>
      </c>
      <c r="AA214" s="87">
        <v>1026.0</v>
      </c>
      <c r="AB214" s="87">
        <v>589.0</v>
      </c>
      <c r="AC214" s="87">
        <v>463.0</v>
      </c>
      <c r="AD214" s="87">
        <v>188.0</v>
      </c>
      <c r="AE214" s="87">
        <v>19.0</v>
      </c>
      <c r="AF214" s="87"/>
      <c r="AG214" s="87">
        <v>3.0</v>
      </c>
      <c r="AH214" s="87">
        <v>1304.0</v>
      </c>
      <c r="AI214" s="87">
        <v>2517.0</v>
      </c>
      <c r="AJ214" s="87">
        <v>35.0</v>
      </c>
      <c r="AK214" s="87"/>
      <c r="AL214" s="87">
        <v>212.0</v>
      </c>
      <c r="AM214" s="87"/>
      <c r="AN214" s="87">
        <v>249.0</v>
      </c>
      <c r="AO214" s="87">
        <v>2002.0</v>
      </c>
      <c r="AP214" s="87">
        <v>18.0</v>
      </c>
      <c r="AQ214" s="87">
        <v>1330.0</v>
      </c>
      <c r="AR214" s="87">
        <v>45.0</v>
      </c>
      <c r="AS214" s="87">
        <v>1939.0</v>
      </c>
      <c r="AT214" s="87">
        <v>92.0</v>
      </c>
      <c r="AU214" s="87">
        <v>1817.0</v>
      </c>
      <c r="AV214" s="87">
        <v>4.0</v>
      </c>
      <c r="AW214" s="87"/>
      <c r="AX214" s="87"/>
      <c r="AY214" s="87"/>
      <c r="AZ214" s="87"/>
      <c r="BA214" s="87">
        <v>4.0</v>
      </c>
      <c r="BB214" s="87"/>
      <c r="BC214" s="87"/>
      <c r="BD214" s="87"/>
      <c r="BE214" s="87"/>
      <c r="BF214" s="87">
        <v>958.0</v>
      </c>
      <c r="BG214" s="87">
        <v>2898.0</v>
      </c>
      <c r="BH214" s="87"/>
      <c r="BI214" s="87">
        <v>38759.0</v>
      </c>
      <c r="BJ214" s="87">
        <v>2305.0</v>
      </c>
      <c r="BK214" s="87">
        <v>1551.0</v>
      </c>
      <c r="BL214" s="87"/>
      <c r="BM214" s="87"/>
      <c r="BN214" s="87"/>
      <c r="BO214" s="87"/>
      <c r="BP214" s="87">
        <v>2648.0</v>
      </c>
      <c r="BQ214" s="87">
        <v>31.0</v>
      </c>
      <c r="BR214" s="87"/>
      <c r="BS214" s="87">
        <v>11.0</v>
      </c>
      <c r="BT214" s="87">
        <v>107.0</v>
      </c>
      <c r="BU214" s="87"/>
      <c r="BV214" s="87">
        <v>1032.0</v>
      </c>
      <c r="BW214" s="87"/>
      <c r="BX214" s="87"/>
      <c r="BY214" s="87"/>
      <c r="BZ214" s="87">
        <v>23.0</v>
      </c>
      <c r="CA214" s="87"/>
      <c r="CB214" s="87">
        <v>4.0</v>
      </c>
      <c r="CC214" s="87"/>
      <c r="CD214" s="87"/>
      <c r="CE214" s="87"/>
      <c r="CF214" s="87"/>
      <c r="CG214" s="87"/>
      <c r="CH214" s="87">
        <v>3856.0</v>
      </c>
      <c r="CI214" s="87"/>
      <c r="CJ214" s="87">
        <v>87.0</v>
      </c>
      <c r="CK214" s="87">
        <v>3080.0</v>
      </c>
      <c r="CL214" s="87">
        <v>596.0</v>
      </c>
      <c r="CM214" s="87">
        <v>2.0</v>
      </c>
      <c r="CN214" s="87">
        <v>1.0</v>
      </c>
      <c r="CO214" s="87">
        <v>87.0</v>
      </c>
      <c r="CP214" s="87"/>
      <c r="CQ214" s="87">
        <v>3.0</v>
      </c>
      <c r="CR214" s="87"/>
      <c r="CS214" s="87"/>
      <c r="CT214" s="87">
        <v>1.0</v>
      </c>
      <c r="CU214" s="87"/>
      <c r="CV214" s="87"/>
      <c r="CW214" s="87"/>
      <c r="CX214" s="87">
        <v>3854.0</v>
      </c>
      <c r="CY214" s="87"/>
      <c r="CZ214" s="87"/>
      <c r="DA214" s="87"/>
      <c r="DB214" s="87"/>
      <c r="DC214" s="87"/>
      <c r="DD214" s="87"/>
      <c r="DE214" s="87"/>
      <c r="DF214" s="87"/>
      <c r="DG214" s="87"/>
      <c r="DH214" s="87"/>
      <c r="DI214" s="87"/>
      <c r="DJ214" s="87"/>
      <c r="DK214" s="87"/>
      <c r="DL214" s="87"/>
      <c r="DM214" s="87"/>
      <c r="DN214" s="87">
        <v>1.0</v>
      </c>
      <c r="DO214" s="87">
        <v>1356.0</v>
      </c>
      <c r="DP214" s="87"/>
      <c r="DQ214" s="87"/>
      <c r="DR214" s="87"/>
      <c r="DS214" s="87"/>
      <c r="DT214" s="87"/>
      <c r="DU214" s="87"/>
      <c r="DV214" s="87"/>
      <c r="DW214" s="87"/>
      <c r="DX214" s="87"/>
      <c r="DY214" s="87"/>
      <c r="DZ214" s="87"/>
      <c r="EA214" s="87"/>
      <c r="EB214" s="87"/>
      <c r="EC214" s="87"/>
      <c r="ED214" s="87">
        <v>2500.0</v>
      </c>
      <c r="EE214" s="87"/>
      <c r="EF214" s="87">
        <v>8.0</v>
      </c>
      <c r="EG214" s="87">
        <v>651.0</v>
      </c>
      <c r="EH214" s="87"/>
      <c r="EI214" s="87">
        <v>44.0</v>
      </c>
      <c r="EJ214" s="87">
        <v>3153.0</v>
      </c>
      <c r="EK214" s="88"/>
      <c r="EL214" s="88"/>
      <c r="EM214" s="88"/>
      <c r="EN214" s="88"/>
      <c r="EO214" s="88"/>
      <c r="EP214" s="88"/>
      <c r="EQ214" s="90"/>
    </row>
    <row r="215" ht="12.0" customHeight="1">
      <c r="A215" s="89">
        <v>1.06301175E8</v>
      </c>
      <c r="B215" s="89" t="s">
        <v>1595</v>
      </c>
      <c r="C215" s="89" t="s">
        <v>1549</v>
      </c>
      <c r="D215" s="89" t="s">
        <v>1596</v>
      </c>
      <c r="E215" s="89" t="s">
        <v>1597</v>
      </c>
      <c r="F215" s="89" t="s">
        <v>1559</v>
      </c>
      <c r="G215" s="89" t="s">
        <v>1560</v>
      </c>
      <c r="H215" s="89" t="s">
        <v>503</v>
      </c>
      <c r="I215" s="89" t="s">
        <v>456</v>
      </c>
      <c r="J215" s="89" t="s">
        <v>469</v>
      </c>
      <c r="K215" s="89" t="s">
        <v>784</v>
      </c>
      <c r="L215" s="89" t="s">
        <v>1561</v>
      </c>
      <c r="M215" s="89" t="s">
        <v>1562</v>
      </c>
      <c r="N215" s="89" t="s">
        <v>441</v>
      </c>
      <c r="O215" s="87">
        <v>15243.0</v>
      </c>
      <c r="P215" s="87"/>
      <c r="Q215" s="87"/>
      <c r="R215" s="87"/>
      <c r="S215" s="87"/>
      <c r="T215" s="87"/>
      <c r="U215" s="87">
        <v>6994.0</v>
      </c>
      <c r="V215" s="87">
        <v>8249.0</v>
      </c>
      <c r="W215" s="87"/>
      <c r="X215" s="87">
        <v>2087.0</v>
      </c>
      <c r="Y215" s="87">
        <v>347.0</v>
      </c>
      <c r="Z215" s="87">
        <v>1234.0</v>
      </c>
      <c r="AA215" s="87">
        <v>1702.0</v>
      </c>
      <c r="AB215" s="87">
        <v>1314.0</v>
      </c>
      <c r="AC215" s="87">
        <v>2186.0</v>
      </c>
      <c r="AD215" s="87">
        <v>2438.0</v>
      </c>
      <c r="AE215" s="87">
        <v>1961.0</v>
      </c>
      <c r="AF215" s="87">
        <v>1971.0</v>
      </c>
      <c r="AG215" s="87">
        <v>3.0</v>
      </c>
      <c r="AH215" s="87">
        <v>5771.0</v>
      </c>
      <c r="AI215" s="87">
        <v>8983.0</v>
      </c>
      <c r="AJ215" s="87">
        <v>489.0</v>
      </c>
      <c r="AK215" s="87">
        <v>53.0</v>
      </c>
      <c r="AL215" s="87">
        <v>4669.0</v>
      </c>
      <c r="AM215" s="87">
        <v>91.0</v>
      </c>
      <c r="AN215" s="87">
        <v>261.0</v>
      </c>
      <c r="AO215" s="87">
        <v>5554.0</v>
      </c>
      <c r="AP215" s="87">
        <v>212.0</v>
      </c>
      <c r="AQ215" s="87">
        <v>4403.0</v>
      </c>
      <c r="AR215" s="87"/>
      <c r="AS215" s="87">
        <v>12141.0</v>
      </c>
      <c r="AT215" s="87">
        <v>178.0</v>
      </c>
      <c r="AU215" s="87">
        <v>882.0</v>
      </c>
      <c r="AV215" s="87">
        <v>185.0</v>
      </c>
      <c r="AW215" s="87">
        <v>173.0</v>
      </c>
      <c r="AX215" s="87">
        <v>38.0</v>
      </c>
      <c r="AY215" s="87">
        <v>4.0</v>
      </c>
      <c r="AZ215" s="87">
        <v>1.0</v>
      </c>
      <c r="BA215" s="87"/>
      <c r="BB215" s="87">
        <v>2.0</v>
      </c>
      <c r="BC215" s="87">
        <v>1639.0</v>
      </c>
      <c r="BD215" s="87"/>
      <c r="BE215" s="87">
        <v>9812.0</v>
      </c>
      <c r="BF215" s="87">
        <v>670.0</v>
      </c>
      <c r="BG215" s="87">
        <v>4761.0</v>
      </c>
      <c r="BH215" s="87"/>
      <c r="BI215" s="87">
        <v>77951.0</v>
      </c>
      <c r="BJ215" s="87">
        <v>3199.0</v>
      </c>
      <c r="BK215" s="87">
        <v>9311.0</v>
      </c>
      <c r="BL215" s="87">
        <v>1092.0</v>
      </c>
      <c r="BM215" s="87">
        <v>1639.0</v>
      </c>
      <c r="BN215" s="87">
        <v>1.0</v>
      </c>
      <c r="BO215" s="87">
        <v>1.0</v>
      </c>
      <c r="BP215" s="87">
        <v>9760.0</v>
      </c>
      <c r="BQ215" s="87">
        <v>353.0</v>
      </c>
      <c r="BR215" s="87">
        <v>53.0</v>
      </c>
      <c r="BS215" s="87">
        <v>1231.0</v>
      </c>
      <c r="BT215" s="87">
        <v>31.0</v>
      </c>
      <c r="BU215" s="87">
        <v>1.0</v>
      </c>
      <c r="BV215" s="87">
        <v>628.0</v>
      </c>
      <c r="BW215" s="87">
        <v>413.0</v>
      </c>
      <c r="BX215" s="87">
        <v>2431.0</v>
      </c>
      <c r="BY215" s="87"/>
      <c r="BZ215" s="87">
        <v>8.0</v>
      </c>
      <c r="CA215" s="87">
        <v>297.0</v>
      </c>
      <c r="CB215" s="87">
        <v>29.0</v>
      </c>
      <c r="CC215" s="87"/>
      <c r="CD215" s="87">
        <v>8.0</v>
      </c>
      <c r="CE215" s="87"/>
      <c r="CF215" s="87"/>
      <c r="CG215" s="87">
        <v>285.0</v>
      </c>
      <c r="CH215" s="87">
        <v>14955.0</v>
      </c>
      <c r="CI215" s="87">
        <v>3.0</v>
      </c>
      <c r="CJ215" s="87">
        <v>4924.0</v>
      </c>
      <c r="CK215" s="87">
        <v>7392.0</v>
      </c>
      <c r="CL215" s="87">
        <v>2238.0</v>
      </c>
      <c r="CM215" s="87">
        <v>6.0</v>
      </c>
      <c r="CN215" s="87">
        <v>1.0</v>
      </c>
      <c r="CO215" s="87">
        <v>38.0</v>
      </c>
      <c r="CP215" s="87">
        <v>19.0</v>
      </c>
      <c r="CQ215" s="87">
        <v>436.0</v>
      </c>
      <c r="CR215" s="87">
        <v>189.0</v>
      </c>
      <c r="CS215" s="87"/>
      <c r="CT215" s="87">
        <v>1587.0</v>
      </c>
      <c r="CU215" s="87">
        <v>641.0</v>
      </c>
      <c r="CV215" s="87">
        <v>153.0</v>
      </c>
      <c r="CW215" s="87">
        <v>996.0</v>
      </c>
      <c r="CX215" s="87">
        <v>220.0</v>
      </c>
      <c r="CY215" s="87">
        <v>332.0</v>
      </c>
      <c r="CZ215" s="87">
        <v>9.0</v>
      </c>
      <c r="DA215" s="87">
        <v>51.0</v>
      </c>
      <c r="DB215" s="87">
        <v>2128.0</v>
      </c>
      <c r="DC215" s="87">
        <v>905.0</v>
      </c>
      <c r="DD215" s="87">
        <v>1818.0</v>
      </c>
      <c r="DE215" s="87">
        <v>299.0</v>
      </c>
      <c r="DF215" s="87">
        <v>570.0</v>
      </c>
      <c r="DG215" s="87">
        <v>744.0</v>
      </c>
      <c r="DH215" s="87">
        <v>1740.0</v>
      </c>
      <c r="DI215" s="87">
        <v>1699.0</v>
      </c>
      <c r="DJ215" s="87">
        <v>13.0</v>
      </c>
      <c r="DK215" s="87">
        <v>318.0</v>
      </c>
      <c r="DL215" s="87">
        <v>957.0</v>
      </c>
      <c r="DM215" s="87">
        <v>62.0</v>
      </c>
      <c r="DN215" s="87">
        <v>1.0</v>
      </c>
      <c r="DO215" s="87">
        <v>4497.0</v>
      </c>
      <c r="DP215" s="87">
        <v>1691.0</v>
      </c>
      <c r="DQ215" s="87">
        <v>1516.0</v>
      </c>
      <c r="DR215" s="87">
        <v>2065.0</v>
      </c>
      <c r="DS215" s="87">
        <v>5.0</v>
      </c>
      <c r="DT215" s="87">
        <v>15.0</v>
      </c>
      <c r="DU215" s="87"/>
      <c r="DV215" s="87">
        <v>225.0</v>
      </c>
      <c r="DW215" s="87">
        <v>49.0</v>
      </c>
      <c r="DX215" s="87">
        <v>316.0</v>
      </c>
      <c r="DY215" s="87">
        <v>812.0</v>
      </c>
      <c r="DZ215" s="87">
        <v>149.0</v>
      </c>
      <c r="EA215" s="87">
        <v>27.0</v>
      </c>
      <c r="EB215" s="87">
        <v>295.0</v>
      </c>
      <c r="EC215" s="87">
        <v>151.0</v>
      </c>
      <c r="ED215" s="87">
        <v>3230.0</v>
      </c>
      <c r="EE215" s="87">
        <v>200.0</v>
      </c>
      <c r="EF215" s="87">
        <v>141.0</v>
      </c>
      <c r="EG215" s="87">
        <v>287.0</v>
      </c>
      <c r="EH215" s="87"/>
      <c r="EI215" s="87">
        <v>100.0</v>
      </c>
      <c r="EJ215" s="87">
        <v>14715.0</v>
      </c>
      <c r="EK215" s="88"/>
      <c r="EL215" s="88"/>
      <c r="EM215" s="88"/>
      <c r="EN215" s="88"/>
      <c r="EO215" s="88"/>
      <c r="EP215" s="88"/>
      <c r="EQ215" s="90"/>
    </row>
    <row r="216" ht="12.0" customHeight="1">
      <c r="A216" s="89">
        <v>1.06301188E8</v>
      </c>
      <c r="B216" s="89" t="s">
        <v>1598</v>
      </c>
      <c r="C216" s="89" t="s">
        <v>1549</v>
      </c>
      <c r="D216" s="89" t="s">
        <v>1599</v>
      </c>
      <c r="E216" s="89" t="s">
        <v>1600</v>
      </c>
      <c r="F216" s="89" t="s">
        <v>1566</v>
      </c>
      <c r="G216" s="89" t="s">
        <v>1601</v>
      </c>
      <c r="H216" s="89" t="s">
        <v>503</v>
      </c>
      <c r="I216" s="89" t="s">
        <v>456</v>
      </c>
      <c r="J216" s="89" t="s">
        <v>457</v>
      </c>
      <c r="K216" s="89" t="s">
        <v>784</v>
      </c>
      <c r="L216" s="89" t="s">
        <v>1574</v>
      </c>
      <c r="M216" s="89" t="s">
        <v>1575</v>
      </c>
      <c r="N216" s="89" t="s">
        <v>441</v>
      </c>
      <c r="O216" s="87">
        <v>1788.0</v>
      </c>
      <c r="P216" s="87"/>
      <c r="Q216" s="87">
        <v>1725.0</v>
      </c>
      <c r="R216" s="87"/>
      <c r="S216" s="87"/>
      <c r="T216" s="87"/>
      <c r="U216" s="87">
        <v>2065.0</v>
      </c>
      <c r="V216" s="87">
        <v>1448.0</v>
      </c>
      <c r="W216" s="87"/>
      <c r="X216" s="87"/>
      <c r="Y216" s="87">
        <v>60.0</v>
      </c>
      <c r="Z216" s="87">
        <v>558.0</v>
      </c>
      <c r="AA216" s="87">
        <v>692.0</v>
      </c>
      <c r="AB216" s="87">
        <v>602.0</v>
      </c>
      <c r="AC216" s="87">
        <v>647.0</v>
      </c>
      <c r="AD216" s="87">
        <v>478.0</v>
      </c>
      <c r="AE216" s="87">
        <v>275.0</v>
      </c>
      <c r="AF216" s="87">
        <v>201.0</v>
      </c>
      <c r="AG216" s="87"/>
      <c r="AH216" s="87">
        <v>1377.0</v>
      </c>
      <c r="AI216" s="87">
        <v>2087.0</v>
      </c>
      <c r="AJ216" s="87">
        <v>49.0</v>
      </c>
      <c r="AK216" s="87"/>
      <c r="AL216" s="87">
        <v>183.0</v>
      </c>
      <c r="AM216" s="87">
        <v>13.0</v>
      </c>
      <c r="AN216" s="87">
        <v>209.0</v>
      </c>
      <c r="AO216" s="87">
        <v>1537.0</v>
      </c>
      <c r="AP216" s="87">
        <v>4.0</v>
      </c>
      <c r="AQ216" s="87">
        <v>1555.0</v>
      </c>
      <c r="AR216" s="87">
        <v>12.0</v>
      </c>
      <c r="AS216" s="87">
        <v>2832.0</v>
      </c>
      <c r="AT216" s="87">
        <v>70.0</v>
      </c>
      <c r="AU216" s="87">
        <v>102.0</v>
      </c>
      <c r="AV216" s="87">
        <v>40.0</v>
      </c>
      <c r="AW216" s="87">
        <v>244.0</v>
      </c>
      <c r="AX216" s="87">
        <v>147.0</v>
      </c>
      <c r="AY216" s="87"/>
      <c r="AZ216" s="87"/>
      <c r="BA216" s="87">
        <v>70.0</v>
      </c>
      <c r="BB216" s="87">
        <v>8.0</v>
      </c>
      <c r="BC216" s="87"/>
      <c r="BD216" s="87"/>
      <c r="BE216" s="87">
        <v>2658.0</v>
      </c>
      <c r="BF216" s="87">
        <v>14.0</v>
      </c>
      <c r="BG216" s="87">
        <v>835.0</v>
      </c>
      <c r="BH216" s="87">
        <v>6.0</v>
      </c>
      <c r="BI216" s="87">
        <v>34261.0</v>
      </c>
      <c r="BJ216" s="87">
        <v>1691.0</v>
      </c>
      <c r="BK216" s="87">
        <v>1666.0</v>
      </c>
      <c r="BL216" s="87">
        <v>148.0</v>
      </c>
      <c r="BM216" s="87"/>
      <c r="BN216" s="87">
        <v>2.0</v>
      </c>
      <c r="BO216" s="87">
        <v>6.0</v>
      </c>
      <c r="BP216" s="87">
        <v>2227.0</v>
      </c>
      <c r="BQ216" s="87">
        <v>86.0</v>
      </c>
      <c r="BR216" s="87">
        <v>13.0</v>
      </c>
      <c r="BS216" s="87">
        <v>280.0</v>
      </c>
      <c r="BT216" s="87">
        <v>66.0</v>
      </c>
      <c r="BU216" s="87">
        <v>139.0</v>
      </c>
      <c r="BV216" s="87">
        <v>323.0</v>
      </c>
      <c r="BW216" s="87">
        <v>54.0</v>
      </c>
      <c r="BX216" s="87">
        <v>54.0</v>
      </c>
      <c r="BY216" s="87"/>
      <c r="BZ216" s="87">
        <v>78.0</v>
      </c>
      <c r="CA216" s="87">
        <v>29.0</v>
      </c>
      <c r="CB216" s="87">
        <v>131.0</v>
      </c>
      <c r="CC216" s="87">
        <v>4.0</v>
      </c>
      <c r="CD216" s="87">
        <v>19.0</v>
      </c>
      <c r="CE216" s="87">
        <v>10.0</v>
      </c>
      <c r="CF216" s="87"/>
      <c r="CG216" s="87">
        <v>37.0</v>
      </c>
      <c r="CH216" s="87">
        <v>3476.0</v>
      </c>
      <c r="CI216" s="87"/>
      <c r="CJ216" s="87">
        <v>939.0</v>
      </c>
      <c r="CK216" s="87">
        <v>2028.0</v>
      </c>
      <c r="CL216" s="87">
        <v>239.0</v>
      </c>
      <c r="CM216" s="87">
        <v>5.0</v>
      </c>
      <c r="CN216" s="87"/>
      <c r="CO216" s="87">
        <v>237.0</v>
      </c>
      <c r="CP216" s="87">
        <v>3.0</v>
      </c>
      <c r="CQ216" s="87">
        <v>62.0</v>
      </c>
      <c r="CR216" s="87"/>
      <c r="CS216" s="87"/>
      <c r="CT216" s="87">
        <v>420.0</v>
      </c>
      <c r="CU216" s="87">
        <v>39.0</v>
      </c>
      <c r="CV216" s="87">
        <v>16.0</v>
      </c>
      <c r="CW216" s="87">
        <v>128.0</v>
      </c>
      <c r="CX216" s="87">
        <v>1784.0</v>
      </c>
      <c r="CY216" s="87">
        <v>55.0</v>
      </c>
      <c r="CZ216" s="87">
        <v>1.0</v>
      </c>
      <c r="DA216" s="87">
        <v>3.0</v>
      </c>
      <c r="DB216" s="87">
        <v>208.0</v>
      </c>
      <c r="DC216" s="87">
        <v>105.0</v>
      </c>
      <c r="DD216" s="87">
        <v>256.0</v>
      </c>
      <c r="DE216" s="87">
        <v>64.0</v>
      </c>
      <c r="DF216" s="87">
        <v>53.0</v>
      </c>
      <c r="DG216" s="87">
        <v>127.0</v>
      </c>
      <c r="DH216" s="87">
        <v>23.0</v>
      </c>
      <c r="DI216" s="87"/>
      <c r="DJ216" s="87">
        <v>1.0</v>
      </c>
      <c r="DK216" s="87">
        <v>47.0</v>
      </c>
      <c r="DL216" s="87">
        <v>180.0</v>
      </c>
      <c r="DM216" s="87">
        <v>3.0</v>
      </c>
      <c r="DN216" s="87"/>
      <c r="DO216" s="87">
        <v>323.0</v>
      </c>
      <c r="DP216" s="87">
        <v>1.0</v>
      </c>
      <c r="DQ216" s="87">
        <v>110.0</v>
      </c>
      <c r="DR216" s="87">
        <v>211.0</v>
      </c>
      <c r="DS216" s="87">
        <v>1.0</v>
      </c>
      <c r="DT216" s="87">
        <v>1.0</v>
      </c>
      <c r="DU216" s="87"/>
      <c r="DV216" s="87">
        <v>47.0</v>
      </c>
      <c r="DW216" s="87">
        <v>1.0</v>
      </c>
      <c r="DX216" s="87">
        <v>68.0</v>
      </c>
      <c r="DY216" s="87">
        <v>79.0</v>
      </c>
      <c r="DZ216" s="87">
        <v>3.0</v>
      </c>
      <c r="EA216" s="87">
        <v>4.0</v>
      </c>
      <c r="EB216" s="87">
        <v>18.0</v>
      </c>
      <c r="EC216" s="87">
        <v>13.0</v>
      </c>
      <c r="ED216" s="87">
        <v>2585.0</v>
      </c>
      <c r="EE216" s="87">
        <v>48.0</v>
      </c>
      <c r="EF216" s="87">
        <v>5.0</v>
      </c>
      <c r="EG216" s="87">
        <v>1012.0</v>
      </c>
      <c r="EH216" s="87">
        <v>71.0</v>
      </c>
      <c r="EI216" s="87">
        <v>65.0</v>
      </c>
      <c r="EJ216" s="87">
        <v>2360.0</v>
      </c>
      <c r="EK216" s="88"/>
      <c r="EL216" s="88"/>
      <c r="EM216" s="88"/>
      <c r="EN216" s="88"/>
      <c r="EO216" s="88"/>
      <c r="EP216" s="88"/>
      <c r="EQ216" s="90"/>
    </row>
    <row r="217" ht="12.0" customHeight="1">
      <c r="A217" s="89">
        <v>1.06301205E8</v>
      </c>
      <c r="B217" s="89" t="s">
        <v>1602</v>
      </c>
      <c r="C217" s="89" t="s">
        <v>1549</v>
      </c>
      <c r="D217" s="89" t="s">
        <v>1603</v>
      </c>
      <c r="E217" s="89" t="s">
        <v>1604</v>
      </c>
      <c r="F217" s="89" t="s">
        <v>1605</v>
      </c>
      <c r="G217" s="89" t="s">
        <v>1606</v>
      </c>
      <c r="H217" s="89" t="s">
        <v>447</v>
      </c>
      <c r="I217" s="89" t="s">
        <v>456</v>
      </c>
      <c r="J217" s="89" t="s">
        <v>448</v>
      </c>
      <c r="K217" s="89" t="s">
        <v>1553</v>
      </c>
      <c r="L217" s="89" t="s">
        <v>1593</v>
      </c>
      <c r="M217" s="89" t="s">
        <v>1594</v>
      </c>
      <c r="N217" s="89" t="s">
        <v>441</v>
      </c>
      <c r="O217" s="87">
        <v>39672.0</v>
      </c>
      <c r="P217" s="87"/>
      <c r="Q217" s="87"/>
      <c r="R217" s="87">
        <v>630.0</v>
      </c>
      <c r="S217" s="87">
        <v>540.0</v>
      </c>
      <c r="T217" s="87"/>
      <c r="U217" s="87">
        <v>16807.0</v>
      </c>
      <c r="V217" s="87">
        <v>24034.0</v>
      </c>
      <c r="W217" s="87">
        <v>1.0</v>
      </c>
      <c r="X217" s="87">
        <v>7934.0</v>
      </c>
      <c r="Y217" s="87">
        <v>195.0</v>
      </c>
      <c r="Z217" s="87">
        <v>2685.0</v>
      </c>
      <c r="AA217" s="87">
        <v>7225.0</v>
      </c>
      <c r="AB217" s="87">
        <v>2616.0</v>
      </c>
      <c r="AC217" s="87">
        <v>3062.0</v>
      </c>
      <c r="AD217" s="87">
        <v>4253.0</v>
      </c>
      <c r="AE217" s="87">
        <v>5768.0</v>
      </c>
      <c r="AF217" s="87">
        <v>7104.0</v>
      </c>
      <c r="AG217" s="87"/>
      <c r="AH217" s="87">
        <v>5425.0</v>
      </c>
      <c r="AI217" s="87">
        <v>34881.0</v>
      </c>
      <c r="AJ217" s="87">
        <v>536.0</v>
      </c>
      <c r="AK217" s="87">
        <v>93.0</v>
      </c>
      <c r="AL217" s="87">
        <v>6028.0</v>
      </c>
      <c r="AM217" s="87">
        <v>123.0</v>
      </c>
      <c r="AN217" s="87">
        <v>567.0</v>
      </c>
      <c r="AO217" s="87">
        <v>31410.0</v>
      </c>
      <c r="AP217" s="87">
        <v>558.0</v>
      </c>
      <c r="AQ217" s="87">
        <v>1652.0</v>
      </c>
      <c r="AR217" s="87">
        <v>411.0</v>
      </c>
      <c r="AS217" s="87">
        <v>31478.0</v>
      </c>
      <c r="AT217" s="87">
        <v>320.0</v>
      </c>
      <c r="AU217" s="87">
        <v>296.0</v>
      </c>
      <c r="AV217" s="87">
        <v>105.0</v>
      </c>
      <c r="AW217" s="87">
        <v>49.0</v>
      </c>
      <c r="AX217" s="87">
        <v>686.0</v>
      </c>
      <c r="AY217" s="87"/>
      <c r="AZ217" s="87"/>
      <c r="BA217" s="87">
        <v>2.0</v>
      </c>
      <c r="BB217" s="87">
        <v>4.0</v>
      </c>
      <c r="BC217" s="87">
        <v>7902.0</v>
      </c>
      <c r="BD217" s="87"/>
      <c r="BE217" s="87">
        <v>20450.0</v>
      </c>
      <c r="BF217" s="87">
        <v>45.0</v>
      </c>
      <c r="BG217" s="87">
        <v>20347.0</v>
      </c>
      <c r="BH217" s="87"/>
      <c r="BI217" s="87">
        <v>155855.0</v>
      </c>
      <c r="BJ217" s="87">
        <v>1605.0</v>
      </c>
      <c r="BK217" s="87">
        <v>20070.0</v>
      </c>
      <c r="BL217" s="87">
        <v>11263.0</v>
      </c>
      <c r="BM217" s="87">
        <v>7902.0</v>
      </c>
      <c r="BN217" s="87"/>
      <c r="BO217" s="87">
        <v>2.0</v>
      </c>
      <c r="BP217" s="87">
        <v>27237.0</v>
      </c>
      <c r="BQ217" s="87">
        <v>600.0</v>
      </c>
      <c r="BR217" s="87">
        <v>631.0</v>
      </c>
      <c r="BS217" s="87">
        <v>2898.0</v>
      </c>
      <c r="BT217" s="87">
        <v>5.0</v>
      </c>
      <c r="BU217" s="87">
        <v>5.0</v>
      </c>
      <c r="BV217" s="87">
        <v>503.0</v>
      </c>
      <c r="BW217" s="87">
        <v>894.0</v>
      </c>
      <c r="BX217" s="87">
        <v>6943.0</v>
      </c>
      <c r="BY217" s="87"/>
      <c r="BZ217" s="87">
        <v>98.0</v>
      </c>
      <c r="CA217" s="87">
        <v>879.0</v>
      </c>
      <c r="CB217" s="87">
        <v>121.0</v>
      </c>
      <c r="CC217" s="87">
        <v>1.0</v>
      </c>
      <c r="CD217" s="87">
        <v>27.0</v>
      </c>
      <c r="CE217" s="87"/>
      <c r="CF217" s="87"/>
      <c r="CG217" s="87">
        <v>2152.0</v>
      </c>
      <c r="CH217" s="87">
        <v>38690.0</v>
      </c>
      <c r="CI217" s="87"/>
      <c r="CJ217" s="87">
        <v>14593.0</v>
      </c>
      <c r="CK217" s="87">
        <v>4461.0</v>
      </c>
      <c r="CL217" s="87">
        <v>20740.0</v>
      </c>
      <c r="CM217" s="87">
        <v>53.0</v>
      </c>
      <c r="CN217" s="87"/>
      <c r="CO217" s="87">
        <v>266.0</v>
      </c>
      <c r="CP217" s="87"/>
      <c r="CQ217" s="87">
        <v>724.0</v>
      </c>
      <c r="CR217" s="87">
        <v>5.0</v>
      </c>
      <c r="CS217" s="87"/>
      <c r="CT217" s="87">
        <v>4023.0</v>
      </c>
      <c r="CU217" s="87">
        <v>1778.0</v>
      </c>
      <c r="CV217" s="87">
        <v>198.0</v>
      </c>
      <c r="CW217" s="87">
        <v>1061.0</v>
      </c>
      <c r="CX217" s="87">
        <v>1171.0</v>
      </c>
      <c r="CY217" s="87">
        <v>862.0</v>
      </c>
      <c r="CZ217" s="87">
        <v>17.0</v>
      </c>
      <c r="DA217" s="87">
        <v>18.0</v>
      </c>
      <c r="DB217" s="87">
        <v>4148.0</v>
      </c>
      <c r="DC217" s="87">
        <v>1240.0</v>
      </c>
      <c r="DD217" s="87">
        <v>3769.0</v>
      </c>
      <c r="DE217" s="87">
        <v>436.0</v>
      </c>
      <c r="DF217" s="87">
        <v>820.0</v>
      </c>
      <c r="DG217" s="87">
        <v>1361.0</v>
      </c>
      <c r="DH217" s="87">
        <v>8311.0</v>
      </c>
      <c r="DI217" s="87">
        <v>7933.0</v>
      </c>
      <c r="DJ217" s="87">
        <v>75.0</v>
      </c>
      <c r="DK217" s="87">
        <v>544.0</v>
      </c>
      <c r="DL217" s="87">
        <v>2679.0</v>
      </c>
      <c r="DM217" s="87">
        <v>397.0</v>
      </c>
      <c r="DN217" s="87">
        <v>1.0</v>
      </c>
      <c r="DO217" s="87">
        <v>8478.0</v>
      </c>
      <c r="DP217" s="87">
        <v>7851.0</v>
      </c>
      <c r="DQ217" s="87">
        <v>2640.0</v>
      </c>
      <c r="DR217" s="87">
        <v>3760.0</v>
      </c>
      <c r="DS217" s="87">
        <v>14.0</v>
      </c>
      <c r="DT217" s="87">
        <v>46.0</v>
      </c>
      <c r="DU217" s="87">
        <v>6.0</v>
      </c>
      <c r="DV217" s="87">
        <v>2341.0</v>
      </c>
      <c r="DW217" s="87">
        <v>159.0</v>
      </c>
      <c r="DX217" s="87">
        <v>553.0</v>
      </c>
      <c r="DY217" s="87">
        <v>1460.0</v>
      </c>
      <c r="DZ217" s="87">
        <v>750.0</v>
      </c>
      <c r="EA217" s="87">
        <v>82.0</v>
      </c>
      <c r="EB217" s="87">
        <v>941.0</v>
      </c>
      <c r="EC217" s="87">
        <v>579.0</v>
      </c>
      <c r="ED217" s="87">
        <v>10608.0</v>
      </c>
      <c r="EE217" s="87">
        <v>574.0</v>
      </c>
      <c r="EF217" s="87">
        <v>7.0</v>
      </c>
      <c r="EG217" s="87">
        <v>219.0</v>
      </c>
      <c r="EH217" s="87">
        <v>20.0</v>
      </c>
      <c r="EI217" s="87">
        <v>525.0</v>
      </c>
      <c r="EJ217" s="87">
        <v>40071.0</v>
      </c>
      <c r="EK217" s="88"/>
      <c r="EL217" s="88"/>
      <c r="EM217" s="88"/>
      <c r="EN217" s="88"/>
      <c r="EO217" s="88"/>
      <c r="EP217" s="88"/>
      <c r="EQ217" s="90"/>
    </row>
    <row r="218" ht="12.0" customHeight="1">
      <c r="A218" s="89">
        <v>1.06301209E8</v>
      </c>
      <c r="B218" s="89" t="s">
        <v>1607</v>
      </c>
      <c r="C218" s="89" t="s">
        <v>1549</v>
      </c>
      <c r="D218" s="89" t="s">
        <v>1608</v>
      </c>
      <c r="E218" s="89" t="s">
        <v>1609</v>
      </c>
      <c r="F218" s="89" t="s">
        <v>1610</v>
      </c>
      <c r="G218" s="89" t="s">
        <v>1611</v>
      </c>
      <c r="H218" s="89" t="s">
        <v>475</v>
      </c>
      <c r="I218" s="89" t="s">
        <v>456</v>
      </c>
      <c r="J218" s="89" t="s">
        <v>437</v>
      </c>
      <c r="K218" s="89" t="s">
        <v>784</v>
      </c>
      <c r="L218" s="89" t="s">
        <v>1561</v>
      </c>
      <c r="M218" s="89" t="s">
        <v>1612</v>
      </c>
      <c r="N218" s="89" t="s">
        <v>441</v>
      </c>
      <c r="O218" s="87">
        <v>2102.0</v>
      </c>
      <c r="P218" s="87"/>
      <c r="Q218" s="87">
        <v>637.0</v>
      </c>
      <c r="R218" s="87"/>
      <c r="S218" s="87"/>
      <c r="T218" s="87"/>
      <c r="U218" s="87">
        <v>1560.0</v>
      </c>
      <c r="V218" s="87">
        <v>1179.0</v>
      </c>
      <c r="W218" s="87"/>
      <c r="X218" s="87"/>
      <c r="Y218" s="87">
        <v>27.0</v>
      </c>
      <c r="Z218" s="87">
        <v>218.0</v>
      </c>
      <c r="AA218" s="87">
        <v>270.0</v>
      </c>
      <c r="AB218" s="87">
        <v>322.0</v>
      </c>
      <c r="AC218" s="87">
        <v>456.0</v>
      </c>
      <c r="AD218" s="87">
        <v>532.0</v>
      </c>
      <c r="AE218" s="87">
        <v>424.0</v>
      </c>
      <c r="AF218" s="87">
        <v>490.0</v>
      </c>
      <c r="AG218" s="87"/>
      <c r="AH218" s="87">
        <v>547.0</v>
      </c>
      <c r="AI218" s="87">
        <v>2174.0</v>
      </c>
      <c r="AJ218" s="87">
        <v>18.0</v>
      </c>
      <c r="AK218" s="87">
        <v>12.0</v>
      </c>
      <c r="AL218" s="87">
        <v>380.0</v>
      </c>
      <c r="AM218" s="87"/>
      <c r="AN218" s="87">
        <v>101.0</v>
      </c>
      <c r="AO218" s="87">
        <v>1704.0</v>
      </c>
      <c r="AP218" s="87">
        <v>20.0</v>
      </c>
      <c r="AQ218" s="87">
        <v>474.0</v>
      </c>
      <c r="AR218" s="87">
        <v>48.0</v>
      </c>
      <c r="AS218" s="87">
        <v>2067.0</v>
      </c>
      <c r="AT218" s="87">
        <v>2.0</v>
      </c>
      <c r="AU218" s="87">
        <v>5.0</v>
      </c>
      <c r="AV218" s="87">
        <v>560.0</v>
      </c>
      <c r="AW218" s="87">
        <v>30.0</v>
      </c>
      <c r="AX218" s="87">
        <v>72.0</v>
      </c>
      <c r="AY218" s="87"/>
      <c r="AZ218" s="87"/>
      <c r="BA218" s="87"/>
      <c r="BB218" s="87">
        <v>3.0</v>
      </c>
      <c r="BC218" s="87"/>
      <c r="BD218" s="87"/>
      <c r="BE218" s="87">
        <v>2593.0</v>
      </c>
      <c r="BF218" s="87">
        <v>5.0</v>
      </c>
      <c r="BG218" s="87">
        <v>141.0</v>
      </c>
      <c r="BH218" s="87"/>
      <c r="BI218" s="87">
        <v>20320.0</v>
      </c>
      <c r="BJ218" s="87">
        <v>2588.0</v>
      </c>
      <c r="BK218" s="87">
        <v>11.0</v>
      </c>
      <c r="BL218" s="87">
        <v>137.0</v>
      </c>
      <c r="BM218" s="87"/>
      <c r="BN218" s="87"/>
      <c r="BO218" s="87">
        <v>3.0</v>
      </c>
      <c r="BP218" s="87">
        <v>1373.0</v>
      </c>
      <c r="BQ218" s="87">
        <v>113.0</v>
      </c>
      <c r="BR218" s="87">
        <v>4.0</v>
      </c>
      <c r="BS218" s="87">
        <v>621.0</v>
      </c>
      <c r="BT218" s="87">
        <v>66.0</v>
      </c>
      <c r="BU218" s="87">
        <v>1.0</v>
      </c>
      <c r="BV218" s="87">
        <v>209.0</v>
      </c>
      <c r="BW218" s="87">
        <v>76.0</v>
      </c>
      <c r="BX218" s="87">
        <v>197.0</v>
      </c>
      <c r="BY218" s="87"/>
      <c r="BZ218" s="87"/>
      <c r="CA218" s="87">
        <v>33.0</v>
      </c>
      <c r="CB218" s="87">
        <v>46.0</v>
      </c>
      <c r="CC218" s="87"/>
      <c r="CD218" s="87"/>
      <c r="CE218" s="87"/>
      <c r="CF218" s="87"/>
      <c r="CG218" s="87">
        <v>99.0</v>
      </c>
      <c r="CH218" s="87">
        <v>2640.0</v>
      </c>
      <c r="CI218" s="87"/>
      <c r="CJ218" s="87">
        <v>1375.0</v>
      </c>
      <c r="CK218" s="87">
        <v>970.0</v>
      </c>
      <c r="CL218" s="87">
        <v>237.0</v>
      </c>
      <c r="CM218" s="87">
        <v>3.0</v>
      </c>
      <c r="CN218" s="87"/>
      <c r="CO218" s="87">
        <v>11.0</v>
      </c>
      <c r="CP218" s="87"/>
      <c r="CQ218" s="87">
        <v>101.0</v>
      </c>
      <c r="CR218" s="87">
        <v>42.0</v>
      </c>
      <c r="CS218" s="87"/>
      <c r="CT218" s="87">
        <v>562.0</v>
      </c>
      <c r="CU218" s="87">
        <v>16.0</v>
      </c>
      <c r="CV218" s="87">
        <v>10.0</v>
      </c>
      <c r="CW218" s="87">
        <v>109.0</v>
      </c>
      <c r="CX218" s="87">
        <v>687.0</v>
      </c>
      <c r="CY218" s="87">
        <v>129.0</v>
      </c>
      <c r="CZ218" s="87"/>
      <c r="DA218" s="87">
        <v>9.0</v>
      </c>
      <c r="DB218" s="87">
        <v>276.0</v>
      </c>
      <c r="DC218" s="87">
        <v>152.0</v>
      </c>
      <c r="DD218" s="87">
        <v>313.0</v>
      </c>
      <c r="DE218" s="87">
        <v>60.0</v>
      </c>
      <c r="DF218" s="87">
        <v>84.0</v>
      </c>
      <c r="DG218" s="87">
        <v>109.0</v>
      </c>
      <c r="DH218" s="87"/>
      <c r="DI218" s="87"/>
      <c r="DJ218" s="87"/>
      <c r="DK218" s="87">
        <v>34.0</v>
      </c>
      <c r="DL218" s="87">
        <v>179.0</v>
      </c>
      <c r="DM218" s="87">
        <v>2.0</v>
      </c>
      <c r="DN218" s="87">
        <v>8.0</v>
      </c>
      <c r="DO218" s="87">
        <v>578.0</v>
      </c>
      <c r="DP218" s="87"/>
      <c r="DQ218" s="87">
        <v>138.0</v>
      </c>
      <c r="DR218" s="87">
        <v>181.0</v>
      </c>
      <c r="DS218" s="87">
        <v>6.0</v>
      </c>
      <c r="DT218" s="87"/>
      <c r="DU218" s="87"/>
      <c r="DV218" s="87">
        <v>8.0</v>
      </c>
      <c r="DW218" s="87">
        <v>1.0</v>
      </c>
      <c r="DX218" s="87">
        <v>42.0</v>
      </c>
      <c r="DY218" s="87">
        <v>94.0</v>
      </c>
      <c r="DZ218" s="87">
        <v>9.0</v>
      </c>
      <c r="EA218" s="87">
        <v>9.0</v>
      </c>
      <c r="EB218" s="87">
        <v>41.0</v>
      </c>
      <c r="EC218" s="87">
        <v>4.0</v>
      </c>
      <c r="ED218" s="87">
        <v>1579.0</v>
      </c>
      <c r="EE218" s="87">
        <v>49.0</v>
      </c>
      <c r="EF218" s="87">
        <v>14.0</v>
      </c>
      <c r="EG218" s="87">
        <v>270.0</v>
      </c>
      <c r="EH218" s="87"/>
      <c r="EI218" s="87">
        <v>50.0</v>
      </c>
      <c r="EJ218" s="87">
        <v>2405.0</v>
      </c>
      <c r="EK218" s="88"/>
      <c r="EL218" s="88"/>
      <c r="EM218" s="88"/>
      <c r="EN218" s="88"/>
      <c r="EO218" s="88"/>
      <c r="EP218" s="88"/>
      <c r="EQ218" s="90"/>
    </row>
    <row r="219" ht="12.0" customHeight="1">
      <c r="A219" s="89">
        <v>1.06301234E8</v>
      </c>
      <c r="B219" s="89" t="s">
        <v>1613</v>
      </c>
      <c r="C219" s="89" t="s">
        <v>1549</v>
      </c>
      <c r="D219" s="89" t="s">
        <v>1614</v>
      </c>
      <c r="E219" s="89" t="s">
        <v>1615</v>
      </c>
      <c r="F219" s="89" t="s">
        <v>1616</v>
      </c>
      <c r="G219" s="89" t="s">
        <v>1617</v>
      </c>
      <c r="H219" s="89" t="s">
        <v>475</v>
      </c>
      <c r="I219" s="89" t="s">
        <v>456</v>
      </c>
      <c r="J219" s="89" t="s">
        <v>437</v>
      </c>
      <c r="K219" s="89" t="s">
        <v>1505</v>
      </c>
      <c r="L219" s="89" t="s">
        <v>1568</v>
      </c>
      <c r="M219" s="89" t="s">
        <v>1618</v>
      </c>
      <c r="N219" s="89" t="s">
        <v>441</v>
      </c>
      <c r="O219" s="87">
        <v>2573.0</v>
      </c>
      <c r="P219" s="87"/>
      <c r="Q219" s="87">
        <v>460.0</v>
      </c>
      <c r="R219" s="87"/>
      <c r="S219" s="87"/>
      <c r="T219" s="87"/>
      <c r="U219" s="87">
        <v>1492.0</v>
      </c>
      <c r="V219" s="87">
        <v>1541.0</v>
      </c>
      <c r="W219" s="87"/>
      <c r="X219" s="87"/>
      <c r="Y219" s="87">
        <v>14.0</v>
      </c>
      <c r="Z219" s="87">
        <v>181.0</v>
      </c>
      <c r="AA219" s="87">
        <v>246.0</v>
      </c>
      <c r="AB219" s="87">
        <v>328.0</v>
      </c>
      <c r="AC219" s="87">
        <v>500.0</v>
      </c>
      <c r="AD219" s="87">
        <v>591.0</v>
      </c>
      <c r="AE219" s="87">
        <v>478.0</v>
      </c>
      <c r="AF219" s="87">
        <v>695.0</v>
      </c>
      <c r="AG219" s="87"/>
      <c r="AH219" s="87">
        <v>821.0</v>
      </c>
      <c r="AI219" s="87">
        <v>2172.0</v>
      </c>
      <c r="AJ219" s="87">
        <v>40.0</v>
      </c>
      <c r="AK219" s="87"/>
      <c r="AL219" s="87">
        <v>772.0</v>
      </c>
      <c r="AM219" s="87">
        <v>20.0</v>
      </c>
      <c r="AN219" s="87">
        <v>309.0</v>
      </c>
      <c r="AO219" s="87">
        <v>1121.0</v>
      </c>
      <c r="AP219" s="87">
        <v>63.0</v>
      </c>
      <c r="AQ219" s="87">
        <v>684.0</v>
      </c>
      <c r="AR219" s="87">
        <v>64.0</v>
      </c>
      <c r="AS219" s="87">
        <v>2302.0</v>
      </c>
      <c r="AT219" s="87">
        <v>2.0</v>
      </c>
      <c r="AU219" s="87">
        <v>121.0</v>
      </c>
      <c r="AV219" s="87">
        <v>513.0</v>
      </c>
      <c r="AW219" s="87">
        <v>27.0</v>
      </c>
      <c r="AX219" s="87">
        <v>30.0</v>
      </c>
      <c r="AY219" s="87"/>
      <c r="AZ219" s="87"/>
      <c r="BA219" s="87"/>
      <c r="BB219" s="87">
        <v>38.0</v>
      </c>
      <c r="BC219" s="87"/>
      <c r="BD219" s="87"/>
      <c r="BE219" s="87">
        <v>2770.0</v>
      </c>
      <c r="BF219" s="87">
        <v>131.0</v>
      </c>
      <c r="BG219" s="87">
        <v>132.0</v>
      </c>
      <c r="BH219" s="87"/>
      <c r="BI219" s="87">
        <v>15973.0</v>
      </c>
      <c r="BJ219" s="87">
        <v>2782.0</v>
      </c>
      <c r="BK219" s="87">
        <v>117.0</v>
      </c>
      <c r="BL219" s="87">
        <v>131.0</v>
      </c>
      <c r="BM219" s="87"/>
      <c r="BN219" s="87"/>
      <c r="BO219" s="87">
        <v>3.0</v>
      </c>
      <c r="BP219" s="87">
        <v>1548.0</v>
      </c>
      <c r="BQ219" s="87">
        <v>168.0</v>
      </c>
      <c r="BR219" s="87">
        <v>7.0</v>
      </c>
      <c r="BS219" s="87">
        <v>596.0</v>
      </c>
      <c r="BT219" s="87">
        <v>80.0</v>
      </c>
      <c r="BU219" s="87"/>
      <c r="BV219" s="87">
        <v>242.0</v>
      </c>
      <c r="BW219" s="87">
        <v>85.0</v>
      </c>
      <c r="BX219" s="87">
        <v>231.0</v>
      </c>
      <c r="BY219" s="87"/>
      <c r="BZ219" s="87"/>
      <c r="CA219" s="87">
        <v>44.0</v>
      </c>
      <c r="CB219" s="87">
        <v>31.0</v>
      </c>
      <c r="CC219" s="87"/>
      <c r="CD219" s="87">
        <v>1.0</v>
      </c>
      <c r="CE219" s="87"/>
      <c r="CF219" s="87"/>
      <c r="CG219" s="87">
        <v>168.0</v>
      </c>
      <c r="CH219" s="87">
        <v>2865.0</v>
      </c>
      <c r="CI219" s="87"/>
      <c r="CJ219" s="87">
        <v>1535.0</v>
      </c>
      <c r="CK219" s="87">
        <v>1068.0</v>
      </c>
      <c r="CL219" s="87">
        <v>280.0</v>
      </c>
      <c r="CM219" s="87">
        <v>10.0</v>
      </c>
      <c r="CN219" s="87"/>
      <c r="CO219" s="87">
        <v>4.0</v>
      </c>
      <c r="CP219" s="87"/>
      <c r="CQ219" s="87">
        <v>78.0</v>
      </c>
      <c r="CR219" s="87">
        <v>58.0</v>
      </c>
      <c r="CS219" s="87"/>
      <c r="CT219" s="87">
        <v>704.0</v>
      </c>
      <c r="CU219" s="87">
        <v>20.0</v>
      </c>
      <c r="CV219" s="87">
        <v>28.0</v>
      </c>
      <c r="CW219" s="87">
        <v>170.0</v>
      </c>
      <c r="CX219" s="87">
        <v>473.0</v>
      </c>
      <c r="CY219" s="87">
        <v>132.0</v>
      </c>
      <c r="CZ219" s="87"/>
      <c r="DA219" s="87">
        <v>3.0</v>
      </c>
      <c r="DB219" s="87">
        <v>419.0</v>
      </c>
      <c r="DC219" s="87">
        <v>149.0</v>
      </c>
      <c r="DD219" s="87">
        <v>374.0</v>
      </c>
      <c r="DE219" s="87">
        <v>53.0</v>
      </c>
      <c r="DF219" s="87">
        <v>58.0</v>
      </c>
      <c r="DG219" s="87">
        <v>155.0</v>
      </c>
      <c r="DH219" s="87"/>
      <c r="DI219" s="87"/>
      <c r="DJ219" s="87"/>
      <c r="DK219" s="87">
        <v>118.0</v>
      </c>
      <c r="DL219" s="87">
        <v>166.0</v>
      </c>
      <c r="DM219" s="87">
        <v>1.0</v>
      </c>
      <c r="DN219" s="87">
        <v>10.0</v>
      </c>
      <c r="DO219" s="87">
        <v>640.0</v>
      </c>
      <c r="DP219" s="87">
        <v>1.0</v>
      </c>
      <c r="DQ219" s="87">
        <v>177.0</v>
      </c>
      <c r="DR219" s="87">
        <v>317.0</v>
      </c>
      <c r="DS219" s="87"/>
      <c r="DT219" s="87">
        <v>1.0</v>
      </c>
      <c r="DU219" s="87"/>
      <c r="DV219" s="87">
        <v>9.0</v>
      </c>
      <c r="DW219" s="87"/>
      <c r="DX219" s="87">
        <v>58.0</v>
      </c>
      <c r="DY219" s="87">
        <v>102.0</v>
      </c>
      <c r="DZ219" s="87">
        <v>10.0</v>
      </c>
      <c r="EA219" s="87"/>
      <c r="EB219" s="87">
        <v>44.0</v>
      </c>
      <c r="EC219" s="87">
        <v>10.0</v>
      </c>
      <c r="ED219" s="87">
        <v>1604.0</v>
      </c>
      <c r="EE219" s="87">
        <v>60.0</v>
      </c>
      <c r="EF219" s="87">
        <v>13.0</v>
      </c>
      <c r="EG219" s="87">
        <v>235.0</v>
      </c>
      <c r="EH219" s="87"/>
      <c r="EI219" s="87">
        <v>17.0</v>
      </c>
      <c r="EJ219" s="87">
        <v>2768.0</v>
      </c>
      <c r="EK219" s="88"/>
      <c r="EL219" s="88"/>
      <c r="EM219" s="88"/>
      <c r="EN219" s="88"/>
      <c r="EO219" s="88"/>
      <c r="EP219" s="88"/>
      <c r="EQ219" s="90"/>
    </row>
    <row r="220" ht="12.0" customHeight="1">
      <c r="A220" s="89">
        <v>1.06301248E8</v>
      </c>
      <c r="B220" s="89" t="s">
        <v>1619</v>
      </c>
      <c r="C220" s="89" t="s">
        <v>1549</v>
      </c>
      <c r="D220" s="89" t="s">
        <v>1620</v>
      </c>
      <c r="E220" s="89" t="s">
        <v>1621</v>
      </c>
      <c r="F220" s="89" t="s">
        <v>1622</v>
      </c>
      <c r="G220" s="89" t="s">
        <v>1623</v>
      </c>
      <c r="H220" s="89" t="s">
        <v>503</v>
      </c>
      <c r="I220" s="89" t="s">
        <v>456</v>
      </c>
      <c r="J220" s="89" t="s">
        <v>457</v>
      </c>
      <c r="K220" s="89" t="s">
        <v>784</v>
      </c>
      <c r="L220" s="89" t="s">
        <v>1561</v>
      </c>
      <c r="M220" s="89" t="s">
        <v>1624</v>
      </c>
      <c r="N220" s="89" t="s">
        <v>441</v>
      </c>
      <c r="O220" s="87">
        <v>8317.0</v>
      </c>
      <c r="P220" s="87"/>
      <c r="Q220" s="87"/>
      <c r="R220" s="87"/>
      <c r="S220" s="87"/>
      <c r="T220" s="87"/>
      <c r="U220" s="87">
        <v>3957.0</v>
      </c>
      <c r="V220" s="87">
        <v>4360.0</v>
      </c>
      <c r="W220" s="87"/>
      <c r="X220" s="87"/>
      <c r="Y220" s="87">
        <v>32.0</v>
      </c>
      <c r="Z220" s="87">
        <v>197.0</v>
      </c>
      <c r="AA220" s="87">
        <v>331.0</v>
      </c>
      <c r="AB220" s="87">
        <v>507.0</v>
      </c>
      <c r="AC220" s="87">
        <v>1047.0</v>
      </c>
      <c r="AD220" s="87">
        <v>1480.0</v>
      </c>
      <c r="AE220" s="87">
        <v>1962.0</v>
      </c>
      <c r="AF220" s="87">
        <v>2761.0</v>
      </c>
      <c r="AG220" s="87"/>
      <c r="AH220" s="87">
        <v>1197.0</v>
      </c>
      <c r="AI220" s="87">
        <v>6950.0</v>
      </c>
      <c r="AJ220" s="87">
        <v>170.0</v>
      </c>
      <c r="AK220" s="87"/>
      <c r="AL220" s="87">
        <v>961.0</v>
      </c>
      <c r="AM220" s="87">
        <v>102.0</v>
      </c>
      <c r="AN220" s="87">
        <v>407.0</v>
      </c>
      <c r="AO220" s="87">
        <v>6079.0</v>
      </c>
      <c r="AP220" s="87">
        <v>338.0</v>
      </c>
      <c r="AQ220" s="87">
        <v>402.0</v>
      </c>
      <c r="AR220" s="87">
        <v>28.0</v>
      </c>
      <c r="AS220" s="87">
        <v>7351.0</v>
      </c>
      <c r="AT220" s="87">
        <v>132.0</v>
      </c>
      <c r="AU220" s="87">
        <v>140.0</v>
      </c>
      <c r="AV220" s="87">
        <v>404.0</v>
      </c>
      <c r="AW220" s="87">
        <v>269.0</v>
      </c>
      <c r="AX220" s="87">
        <v>17.0</v>
      </c>
      <c r="AY220" s="87">
        <v>1.0</v>
      </c>
      <c r="AZ220" s="87">
        <v>3.0</v>
      </c>
      <c r="BA220" s="87"/>
      <c r="BB220" s="87"/>
      <c r="BC220" s="87"/>
      <c r="BD220" s="87"/>
      <c r="BE220" s="87">
        <v>7739.0</v>
      </c>
      <c r="BF220" s="87">
        <v>130.0</v>
      </c>
      <c r="BG220" s="87">
        <v>448.0</v>
      </c>
      <c r="BH220" s="87"/>
      <c r="BI220" s="87">
        <v>52470.0</v>
      </c>
      <c r="BJ220" s="87">
        <v>1835.0</v>
      </c>
      <c r="BK220" s="87">
        <v>6207.0</v>
      </c>
      <c r="BL220" s="87">
        <v>275.0</v>
      </c>
      <c r="BM220" s="87"/>
      <c r="BN220" s="87"/>
      <c r="BO220" s="87"/>
      <c r="BP220" s="87">
        <v>3613.0</v>
      </c>
      <c r="BQ220" s="87">
        <v>276.0</v>
      </c>
      <c r="BR220" s="87">
        <v>87.0</v>
      </c>
      <c r="BS220" s="87">
        <v>1566.0</v>
      </c>
      <c r="BT220" s="87">
        <v>67.0</v>
      </c>
      <c r="BU220" s="87"/>
      <c r="BV220" s="87">
        <v>294.0</v>
      </c>
      <c r="BW220" s="87">
        <v>428.0</v>
      </c>
      <c r="BX220" s="87">
        <v>1687.0</v>
      </c>
      <c r="BY220" s="87"/>
      <c r="BZ220" s="87"/>
      <c r="CA220" s="87">
        <v>282.0</v>
      </c>
      <c r="CB220" s="87">
        <v>11.0</v>
      </c>
      <c r="CC220" s="87"/>
      <c r="CD220" s="87">
        <v>6.0</v>
      </c>
      <c r="CE220" s="87"/>
      <c r="CF220" s="87"/>
      <c r="CG220" s="87">
        <v>772.0</v>
      </c>
      <c r="CH220" s="87">
        <v>7542.0</v>
      </c>
      <c r="CI220" s="87">
        <v>3.0</v>
      </c>
      <c r="CJ220" s="87">
        <v>5302.0</v>
      </c>
      <c r="CK220" s="87">
        <v>988.0</v>
      </c>
      <c r="CL220" s="87">
        <v>1825.0</v>
      </c>
      <c r="CM220" s="87">
        <v>19.0</v>
      </c>
      <c r="CN220" s="87"/>
      <c r="CO220" s="87">
        <v>63.0</v>
      </c>
      <c r="CP220" s="87">
        <v>2.0</v>
      </c>
      <c r="CQ220" s="87">
        <v>4.0</v>
      </c>
      <c r="CR220" s="87">
        <v>114.0</v>
      </c>
      <c r="CS220" s="87"/>
      <c r="CT220" s="87">
        <v>1329.0</v>
      </c>
      <c r="CU220" s="87">
        <v>419.0</v>
      </c>
      <c r="CV220" s="87">
        <v>103.0</v>
      </c>
      <c r="CW220" s="87">
        <v>426.0</v>
      </c>
      <c r="CX220" s="87">
        <v>114.0</v>
      </c>
      <c r="CY220" s="87">
        <v>371.0</v>
      </c>
      <c r="CZ220" s="87">
        <v>7.0</v>
      </c>
      <c r="DA220" s="87">
        <v>25.0</v>
      </c>
      <c r="DB220" s="87">
        <v>1781.0</v>
      </c>
      <c r="DC220" s="87">
        <v>505.0</v>
      </c>
      <c r="DD220" s="87">
        <v>1100.0</v>
      </c>
      <c r="DE220" s="87">
        <v>136.0</v>
      </c>
      <c r="DF220" s="87">
        <v>258.0</v>
      </c>
      <c r="DG220" s="87">
        <v>558.0</v>
      </c>
      <c r="DH220" s="87">
        <v>11.0</v>
      </c>
      <c r="DI220" s="87"/>
      <c r="DJ220" s="87">
        <v>4.0</v>
      </c>
      <c r="DK220" s="87">
        <v>202.0</v>
      </c>
      <c r="DL220" s="87">
        <v>939.0</v>
      </c>
      <c r="DM220" s="87">
        <v>29.0</v>
      </c>
      <c r="DN220" s="87"/>
      <c r="DO220" s="87">
        <v>2621.0</v>
      </c>
      <c r="DP220" s="87">
        <v>2.0</v>
      </c>
      <c r="DQ220" s="87">
        <v>823.0</v>
      </c>
      <c r="DR220" s="87">
        <v>904.0</v>
      </c>
      <c r="DS220" s="87">
        <v>3.0</v>
      </c>
      <c r="DT220" s="87">
        <v>10.0</v>
      </c>
      <c r="DU220" s="87">
        <v>2.0</v>
      </c>
      <c r="DV220" s="87">
        <v>86.0</v>
      </c>
      <c r="DW220" s="87">
        <v>39.0</v>
      </c>
      <c r="DX220" s="87">
        <v>202.0</v>
      </c>
      <c r="DY220" s="87">
        <v>619.0</v>
      </c>
      <c r="DZ220" s="87">
        <v>142.0</v>
      </c>
      <c r="EA220" s="87">
        <v>19.0</v>
      </c>
      <c r="EB220" s="87">
        <v>158.0</v>
      </c>
      <c r="EC220" s="87">
        <v>205.0</v>
      </c>
      <c r="ED220" s="87">
        <v>2256.0</v>
      </c>
      <c r="EE220" s="87">
        <v>226.0</v>
      </c>
      <c r="EF220" s="87">
        <v>18.0</v>
      </c>
      <c r="EG220" s="87">
        <v>96.0</v>
      </c>
      <c r="EH220" s="87"/>
      <c r="EI220" s="87">
        <v>89.0</v>
      </c>
      <c r="EJ220" s="87">
        <v>8114.0</v>
      </c>
      <c r="EK220" s="88"/>
      <c r="EL220" s="88"/>
      <c r="EM220" s="88"/>
      <c r="EN220" s="88"/>
      <c r="EO220" s="88"/>
      <c r="EP220" s="88"/>
      <c r="EQ220" s="90"/>
    </row>
    <row r="221" ht="12.0" customHeight="1">
      <c r="A221" s="89">
        <v>1.06301258E8</v>
      </c>
      <c r="B221" s="89" t="s">
        <v>1625</v>
      </c>
      <c r="C221" s="89" t="s">
        <v>1549</v>
      </c>
      <c r="D221" s="89" t="s">
        <v>1626</v>
      </c>
      <c r="E221" s="89" t="s">
        <v>1627</v>
      </c>
      <c r="F221" s="89" t="s">
        <v>1628</v>
      </c>
      <c r="G221" s="89" t="s">
        <v>1629</v>
      </c>
      <c r="H221" s="89" t="s">
        <v>503</v>
      </c>
      <c r="I221" s="89" t="s">
        <v>456</v>
      </c>
      <c r="J221" s="89" t="s">
        <v>457</v>
      </c>
      <c r="K221" s="89" t="s">
        <v>784</v>
      </c>
      <c r="L221" s="89" t="s">
        <v>1574</v>
      </c>
      <c r="M221" s="89" t="s">
        <v>1630</v>
      </c>
      <c r="N221" s="89" t="s">
        <v>441</v>
      </c>
      <c r="O221" s="87">
        <v>2372.0</v>
      </c>
      <c r="P221" s="87">
        <v>35.0</v>
      </c>
      <c r="Q221" s="87">
        <v>230.0</v>
      </c>
      <c r="R221" s="87"/>
      <c r="S221" s="87"/>
      <c r="T221" s="87"/>
      <c r="U221" s="87">
        <v>1162.0</v>
      </c>
      <c r="V221" s="87">
        <v>1475.0</v>
      </c>
      <c r="W221" s="87"/>
      <c r="X221" s="87">
        <v>390.0</v>
      </c>
      <c r="Y221" s="87">
        <v>34.0</v>
      </c>
      <c r="Z221" s="87">
        <v>235.0</v>
      </c>
      <c r="AA221" s="87">
        <v>419.0</v>
      </c>
      <c r="AB221" s="87">
        <v>318.0</v>
      </c>
      <c r="AC221" s="87">
        <v>377.0</v>
      </c>
      <c r="AD221" s="87">
        <v>376.0</v>
      </c>
      <c r="AE221" s="87">
        <v>300.0</v>
      </c>
      <c r="AF221" s="87">
        <v>188.0</v>
      </c>
      <c r="AG221" s="87"/>
      <c r="AH221" s="87">
        <v>1457.0</v>
      </c>
      <c r="AI221" s="87">
        <v>1169.0</v>
      </c>
      <c r="AJ221" s="87">
        <v>11.0</v>
      </c>
      <c r="AK221" s="87"/>
      <c r="AL221" s="87">
        <v>403.0</v>
      </c>
      <c r="AM221" s="87"/>
      <c r="AN221" s="87">
        <v>46.0</v>
      </c>
      <c r="AO221" s="87">
        <v>1510.0</v>
      </c>
      <c r="AP221" s="87">
        <v>9.0</v>
      </c>
      <c r="AQ221" s="87">
        <v>669.0</v>
      </c>
      <c r="AR221" s="87"/>
      <c r="AS221" s="87">
        <v>1799.0</v>
      </c>
      <c r="AT221" s="87">
        <v>309.0</v>
      </c>
      <c r="AU221" s="87">
        <v>16.0</v>
      </c>
      <c r="AV221" s="87">
        <v>23.0</v>
      </c>
      <c r="AW221" s="87">
        <v>45.0</v>
      </c>
      <c r="AX221" s="87">
        <v>55.0</v>
      </c>
      <c r="AY221" s="87"/>
      <c r="AZ221" s="87"/>
      <c r="BA221" s="87"/>
      <c r="BB221" s="87">
        <v>1.0</v>
      </c>
      <c r="BC221" s="87">
        <v>389.0</v>
      </c>
      <c r="BD221" s="87"/>
      <c r="BE221" s="87">
        <v>1470.0</v>
      </c>
      <c r="BF221" s="87">
        <v>11.0</v>
      </c>
      <c r="BG221" s="87">
        <v>1156.0</v>
      </c>
      <c r="BH221" s="87"/>
      <c r="BI221" s="87">
        <v>32746.0</v>
      </c>
      <c r="BJ221" s="87">
        <v>792.0</v>
      </c>
      <c r="BK221" s="87">
        <v>876.0</v>
      </c>
      <c r="BL221" s="87">
        <v>575.0</v>
      </c>
      <c r="BM221" s="87">
        <v>389.0</v>
      </c>
      <c r="BN221" s="87">
        <v>5.0</v>
      </c>
      <c r="BO221" s="87"/>
      <c r="BP221" s="87">
        <v>1817.0</v>
      </c>
      <c r="BQ221" s="87">
        <v>143.0</v>
      </c>
      <c r="BR221" s="87">
        <v>22.0</v>
      </c>
      <c r="BS221" s="87">
        <v>320.0</v>
      </c>
      <c r="BT221" s="87">
        <v>51.0</v>
      </c>
      <c r="BU221" s="87">
        <v>3.0</v>
      </c>
      <c r="BV221" s="87">
        <v>102.0</v>
      </c>
      <c r="BW221" s="87">
        <v>66.0</v>
      </c>
      <c r="BX221" s="87">
        <v>38.0</v>
      </c>
      <c r="BY221" s="87"/>
      <c r="BZ221" s="87"/>
      <c r="CA221" s="87">
        <v>11.0</v>
      </c>
      <c r="CB221" s="87">
        <v>46.0</v>
      </c>
      <c r="CC221" s="87">
        <v>6.0</v>
      </c>
      <c r="CD221" s="87">
        <v>2.0</v>
      </c>
      <c r="CE221" s="87">
        <v>10.0</v>
      </c>
      <c r="CF221" s="87"/>
      <c r="CG221" s="87">
        <v>27.0</v>
      </c>
      <c r="CH221" s="87">
        <v>2610.0</v>
      </c>
      <c r="CI221" s="87"/>
      <c r="CJ221" s="87">
        <v>678.0</v>
      </c>
      <c r="CK221" s="87">
        <v>1355.0</v>
      </c>
      <c r="CL221" s="87">
        <v>163.0</v>
      </c>
      <c r="CM221" s="87"/>
      <c r="CN221" s="87"/>
      <c r="CO221" s="87">
        <v>3.0</v>
      </c>
      <c r="CP221" s="87"/>
      <c r="CQ221" s="87">
        <v>438.0</v>
      </c>
      <c r="CR221" s="87"/>
      <c r="CS221" s="87"/>
      <c r="CT221" s="87">
        <v>312.0</v>
      </c>
      <c r="CU221" s="87">
        <v>77.0</v>
      </c>
      <c r="CV221" s="87">
        <v>19.0</v>
      </c>
      <c r="CW221" s="87">
        <v>101.0</v>
      </c>
      <c r="CX221" s="87">
        <v>271.0</v>
      </c>
      <c r="CY221" s="87">
        <v>41.0</v>
      </c>
      <c r="CZ221" s="87">
        <v>4.0</v>
      </c>
      <c r="DA221" s="87">
        <v>2.0</v>
      </c>
      <c r="DB221" s="87">
        <v>157.0</v>
      </c>
      <c r="DC221" s="87">
        <v>112.0</v>
      </c>
      <c r="DD221" s="87">
        <v>361.0</v>
      </c>
      <c r="DE221" s="87">
        <v>54.0</v>
      </c>
      <c r="DF221" s="87">
        <v>33.0</v>
      </c>
      <c r="DG221" s="87">
        <v>129.0</v>
      </c>
      <c r="DH221" s="87">
        <v>408.0</v>
      </c>
      <c r="DI221" s="87">
        <v>390.0</v>
      </c>
      <c r="DJ221" s="87">
        <v>1.0</v>
      </c>
      <c r="DK221" s="87">
        <v>31.0</v>
      </c>
      <c r="DL221" s="87">
        <v>124.0</v>
      </c>
      <c r="DM221" s="87">
        <v>10.0</v>
      </c>
      <c r="DN221" s="87"/>
      <c r="DO221" s="87">
        <v>692.0</v>
      </c>
      <c r="DP221" s="87">
        <v>383.0</v>
      </c>
      <c r="DQ221" s="87">
        <v>85.0</v>
      </c>
      <c r="DR221" s="87">
        <v>279.0</v>
      </c>
      <c r="DS221" s="87">
        <v>2.0</v>
      </c>
      <c r="DT221" s="87">
        <v>3.0</v>
      </c>
      <c r="DU221" s="87">
        <v>1.0</v>
      </c>
      <c r="DV221" s="87">
        <v>100.0</v>
      </c>
      <c r="DW221" s="87">
        <v>3.0</v>
      </c>
      <c r="DX221" s="87">
        <v>66.0</v>
      </c>
      <c r="DY221" s="87">
        <v>71.0</v>
      </c>
      <c r="DZ221" s="87">
        <v>6.0</v>
      </c>
      <c r="EA221" s="87">
        <v>7.0</v>
      </c>
      <c r="EB221" s="87">
        <v>41.0</v>
      </c>
      <c r="EC221" s="87">
        <v>2.0</v>
      </c>
      <c r="ED221" s="87">
        <v>878.0</v>
      </c>
      <c r="EE221" s="87">
        <v>18.0</v>
      </c>
      <c r="EF221" s="87">
        <v>7.0</v>
      </c>
      <c r="EG221" s="87">
        <v>143.0</v>
      </c>
      <c r="EH221" s="87">
        <v>5.0</v>
      </c>
      <c r="EI221" s="87">
        <v>27.0</v>
      </c>
      <c r="EJ221" s="87">
        <v>2455.0</v>
      </c>
      <c r="EK221" s="88"/>
      <c r="EL221" s="88"/>
      <c r="EM221" s="88"/>
      <c r="EN221" s="88"/>
      <c r="EO221" s="88"/>
      <c r="EP221" s="88"/>
      <c r="EQ221" s="90"/>
    </row>
    <row r="222" ht="12.0" customHeight="1">
      <c r="A222" s="89">
        <v>1.06301262E8</v>
      </c>
      <c r="B222" s="89" t="s">
        <v>1631</v>
      </c>
      <c r="C222" s="89" t="s">
        <v>1549</v>
      </c>
      <c r="D222" s="89" t="s">
        <v>1632</v>
      </c>
      <c r="E222" s="89" t="s">
        <v>1633</v>
      </c>
      <c r="F222" s="89" t="s">
        <v>1634</v>
      </c>
      <c r="G222" s="89" t="s">
        <v>1635</v>
      </c>
      <c r="H222" s="89" t="s">
        <v>447</v>
      </c>
      <c r="I222" s="89" t="s">
        <v>456</v>
      </c>
      <c r="J222" s="89" t="s">
        <v>448</v>
      </c>
      <c r="K222" s="89" t="s">
        <v>885</v>
      </c>
      <c r="L222" s="89" t="s">
        <v>1636</v>
      </c>
      <c r="M222" s="89" t="s">
        <v>1637</v>
      </c>
      <c r="N222" s="89" t="s">
        <v>441</v>
      </c>
      <c r="O222" s="87">
        <v>15715.0</v>
      </c>
      <c r="P222" s="87"/>
      <c r="Q222" s="87">
        <v>3.0</v>
      </c>
      <c r="R222" s="87"/>
      <c r="S222" s="87">
        <v>278.0</v>
      </c>
      <c r="T222" s="87"/>
      <c r="U222" s="87">
        <v>7294.0</v>
      </c>
      <c r="V222" s="87">
        <v>8702.0</v>
      </c>
      <c r="W222" s="87"/>
      <c r="X222" s="87">
        <v>2094.0</v>
      </c>
      <c r="Y222" s="87">
        <v>133.0</v>
      </c>
      <c r="Z222" s="87">
        <v>1206.0</v>
      </c>
      <c r="AA222" s="87">
        <v>1857.0</v>
      </c>
      <c r="AB222" s="87">
        <v>1033.0</v>
      </c>
      <c r="AC222" s="87">
        <v>1472.0</v>
      </c>
      <c r="AD222" s="87">
        <v>2090.0</v>
      </c>
      <c r="AE222" s="87">
        <v>2869.0</v>
      </c>
      <c r="AF222" s="87">
        <v>3242.0</v>
      </c>
      <c r="AG222" s="87"/>
      <c r="AH222" s="87">
        <v>2720.0</v>
      </c>
      <c r="AI222" s="87">
        <v>12505.0</v>
      </c>
      <c r="AJ222" s="87">
        <v>771.0</v>
      </c>
      <c r="AK222" s="87">
        <v>24.0</v>
      </c>
      <c r="AL222" s="87">
        <v>668.0</v>
      </c>
      <c r="AM222" s="87">
        <v>23.0</v>
      </c>
      <c r="AN222" s="87">
        <v>217.0</v>
      </c>
      <c r="AO222" s="87">
        <v>11766.0</v>
      </c>
      <c r="AP222" s="87">
        <v>768.0</v>
      </c>
      <c r="AQ222" s="87">
        <v>2158.0</v>
      </c>
      <c r="AR222" s="87">
        <v>372.0</v>
      </c>
      <c r="AS222" s="87">
        <v>12492.0</v>
      </c>
      <c r="AT222" s="87">
        <v>661.0</v>
      </c>
      <c r="AU222" s="87">
        <v>251.0</v>
      </c>
      <c r="AV222" s="87">
        <v>139.0</v>
      </c>
      <c r="AW222" s="87">
        <v>13.0</v>
      </c>
      <c r="AX222" s="87">
        <v>347.0</v>
      </c>
      <c r="AY222" s="87"/>
      <c r="AZ222" s="87">
        <v>2.0</v>
      </c>
      <c r="BA222" s="87">
        <v>1.0</v>
      </c>
      <c r="BB222" s="87">
        <v>4.0</v>
      </c>
      <c r="BC222" s="87">
        <v>2086.0</v>
      </c>
      <c r="BD222" s="87"/>
      <c r="BE222" s="87">
        <v>9714.0</v>
      </c>
      <c r="BF222" s="87">
        <v>52.0</v>
      </c>
      <c r="BG222" s="87">
        <v>6230.0</v>
      </c>
      <c r="BH222" s="87"/>
      <c r="BI222" s="87">
        <v>68966.0</v>
      </c>
      <c r="BJ222" s="87">
        <v>7052.0</v>
      </c>
      <c r="BK222" s="87">
        <v>1818.0</v>
      </c>
      <c r="BL222" s="87">
        <v>3875.0</v>
      </c>
      <c r="BM222" s="87">
        <v>2086.0</v>
      </c>
      <c r="BN222" s="87">
        <v>1130.0</v>
      </c>
      <c r="BO222" s="87">
        <v>35.0</v>
      </c>
      <c r="BP222" s="87">
        <v>9065.0</v>
      </c>
      <c r="BQ222" s="87">
        <v>347.0</v>
      </c>
      <c r="BR222" s="87">
        <v>378.0</v>
      </c>
      <c r="BS222" s="87">
        <v>1499.0</v>
      </c>
      <c r="BT222" s="87">
        <v>30.0</v>
      </c>
      <c r="BU222" s="87">
        <v>4.0</v>
      </c>
      <c r="BV222" s="87">
        <v>144.0</v>
      </c>
      <c r="BW222" s="87">
        <v>450.0</v>
      </c>
      <c r="BX222" s="87">
        <v>3445.0</v>
      </c>
      <c r="BY222" s="87"/>
      <c r="BZ222" s="87">
        <v>166.0</v>
      </c>
      <c r="CA222" s="87">
        <v>420.0</v>
      </c>
      <c r="CB222" s="87">
        <v>38.0</v>
      </c>
      <c r="CC222" s="87">
        <v>3.0</v>
      </c>
      <c r="CD222" s="87">
        <v>7.0</v>
      </c>
      <c r="CE222" s="87"/>
      <c r="CF222" s="87"/>
      <c r="CG222" s="87">
        <v>1245.0</v>
      </c>
      <c r="CH222" s="87">
        <v>14751.0</v>
      </c>
      <c r="CI222" s="87"/>
      <c r="CJ222" s="87">
        <v>6114.0</v>
      </c>
      <c r="CK222" s="87">
        <v>3446.0</v>
      </c>
      <c r="CL222" s="87">
        <v>6011.0</v>
      </c>
      <c r="CM222" s="87">
        <v>65.0</v>
      </c>
      <c r="CN222" s="87"/>
      <c r="CO222" s="87">
        <v>185.0</v>
      </c>
      <c r="CP222" s="87"/>
      <c r="CQ222" s="87">
        <v>175.0</v>
      </c>
      <c r="CR222" s="87"/>
      <c r="CS222" s="87"/>
      <c r="CT222" s="87">
        <v>1738.0</v>
      </c>
      <c r="CU222" s="87">
        <v>655.0</v>
      </c>
      <c r="CV222" s="87">
        <v>81.0</v>
      </c>
      <c r="CW222" s="87">
        <v>360.0</v>
      </c>
      <c r="CX222" s="87">
        <v>148.0</v>
      </c>
      <c r="CY222" s="87">
        <v>346.0</v>
      </c>
      <c r="CZ222" s="87">
        <v>11.0</v>
      </c>
      <c r="DA222" s="87">
        <v>15.0</v>
      </c>
      <c r="DB222" s="87">
        <v>2337.0</v>
      </c>
      <c r="DC222" s="87">
        <v>631.0</v>
      </c>
      <c r="DD222" s="87">
        <v>1513.0</v>
      </c>
      <c r="DE222" s="87">
        <v>190.0</v>
      </c>
      <c r="DF222" s="87">
        <v>569.0</v>
      </c>
      <c r="DG222" s="87">
        <v>555.0</v>
      </c>
      <c r="DH222" s="87">
        <v>2192.0</v>
      </c>
      <c r="DI222" s="87">
        <v>2093.0</v>
      </c>
      <c r="DJ222" s="87">
        <v>17.0</v>
      </c>
      <c r="DK222" s="87">
        <v>139.0</v>
      </c>
      <c r="DL222" s="87">
        <v>2247.0</v>
      </c>
      <c r="DM222" s="87">
        <v>157.0</v>
      </c>
      <c r="DN222" s="87">
        <v>2.0</v>
      </c>
      <c r="DO222" s="87">
        <v>1872.0</v>
      </c>
      <c r="DP222" s="87">
        <v>2019.0</v>
      </c>
      <c r="DQ222" s="87">
        <v>1729.0</v>
      </c>
      <c r="DR222" s="87">
        <v>1495.0</v>
      </c>
      <c r="DS222" s="87">
        <v>27.0</v>
      </c>
      <c r="DT222" s="87">
        <v>21.0</v>
      </c>
      <c r="DU222" s="87">
        <v>2.0</v>
      </c>
      <c r="DV222" s="87">
        <v>593.0</v>
      </c>
      <c r="DW222" s="87">
        <v>76.0</v>
      </c>
      <c r="DX222" s="87">
        <v>425.0</v>
      </c>
      <c r="DY222" s="87">
        <v>1338.0</v>
      </c>
      <c r="DZ222" s="87">
        <v>344.0</v>
      </c>
      <c r="EA222" s="87">
        <v>64.0</v>
      </c>
      <c r="EB222" s="87">
        <v>495.0</v>
      </c>
      <c r="EC222" s="87">
        <v>233.0</v>
      </c>
      <c r="ED222" s="87">
        <v>5023.0</v>
      </c>
      <c r="EE222" s="87">
        <v>240.0</v>
      </c>
      <c r="EF222" s="87">
        <v>18.0</v>
      </c>
      <c r="EG222" s="87">
        <v>115.0</v>
      </c>
      <c r="EH222" s="87">
        <v>11.0</v>
      </c>
      <c r="EI222" s="87">
        <v>219.0</v>
      </c>
      <c r="EJ222" s="87">
        <v>15633.0</v>
      </c>
      <c r="EK222" s="88"/>
      <c r="EL222" s="88"/>
      <c r="EM222" s="88"/>
      <c r="EN222" s="88"/>
      <c r="EO222" s="88"/>
      <c r="EP222" s="88"/>
      <c r="EQ222" s="90"/>
    </row>
    <row r="223" ht="12.0" customHeight="1">
      <c r="A223" s="89">
        <v>1.06301279E8</v>
      </c>
      <c r="B223" s="89" t="s">
        <v>1638</v>
      </c>
      <c r="C223" s="89" t="s">
        <v>1549</v>
      </c>
      <c r="D223" s="89" t="s">
        <v>1639</v>
      </c>
      <c r="E223" s="89" t="s">
        <v>1640</v>
      </c>
      <c r="F223" s="89" t="s">
        <v>1549</v>
      </c>
      <c r="G223" s="89" t="s">
        <v>1552</v>
      </c>
      <c r="H223" s="89" t="s">
        <v>1256</v>
      </c>
      <c r="I223" s="89" t="s">
        <v>456</v>
      </c>
      <c r="J223" s="89" t="s">
        <v>448</v>
      </c>
      <c r="K223" s="89" t="s">
        <v>784</v>
      </c>
      <c r="L223" s="89" t="s">
        <v>1574</v>
      </c>
      <c r="M223" s="89" t="s">
        <v>1641</v>
      </c>
      <c r="N223" s="89" t="s">
        <v>441</v>
      </c>
      <c r="O223" s="87">
        <v>20525.0</v>
      </c>
      <c r="P223" s="87"/>
      <c r="Q223" s="87">
        <v>670.0</v>
      </c>
      <c r="R223" s="87"/>
      <c r="S223" s="87">
        <v>241.0</v>
      </c>
      <c r="T223" s="87"/>
      <c r="U223" s="87">
        <v>10609.0</v>
      </c>
      <c r="V223" s="87">
        <v>10827.0</v>
      </c>
      <c r="W223" s="87"/>
      <c r="X223" s="87">
        <v>1764.0</v>
      </c>
      <c r="Y223" s="87">
        <v>610.0</v>
      </c>
      <c r="Z223" s="87">
        <v>2238.0</v>
      </c>
      <c r="AA223" s="87">
        <v>2895.0</v>
      </c>
      <c r="AB223" s="87">
        <v>2436.0</v>
      </c>
      <c r="AC223" s="87">
        <v>3128.0</v>
      </c>
      <c r="AD223" s="87">
        <v>3528.0</v>
      </c>
      <c r="AE223" s="87">
        <v>2855.0</v>
      </c>
      <c r="AF223" s="87">
        <v>1982.0</v>
      </c>
      <c r="AG223" s="87"/>
      <c r="AH223" s="87">
        <v>8958.0</v>
      </c>
      <c r="AI223" s="87">
        <v>12206.0</v>
      </c>
      <c r="AJ223" s="87">
        <v>272.0</v>
      </c>
      <c r="AK223" s="87">
        <v>37.0</v>
      </c>
      <c r="AL223" s="87">
        <v>3460.0</v>
      </c>
      <c r="AM223" s="87">
        <v>123.0</v>
      </c>
      <c r="AN223" s="87">
        <v>740.0</v>
      </c>
      <c r="AO223" s="87">
        <v>11180.0</v>
      </c>
      <c r="AP223" s="87">
        <v>305.0</v>
      </c>
      <c r="AQ223" s="87">
        <v>4289.0</v>
      </c>
      <c r="AR223" s="87">
        <v>1302.0</v>
      </c>
      <c r="AS223" s="87">
        <v>15585.0</v>
      </c>
      <c r="AT223" s="87">
        <v>1822.0</v>
      </c>
      <c r="AU223" s="87">
        <v>1700.0</v>
      </c>
      <c r="AV223" s="87">
        <v>318.0</v>
      </c>
      <c r="AW223" s="87">
        <v>44.0</v>
      </c>
      <c r="AX223" s="87">
        <v>284.0</v>
      </c>
      <c r="AY223" s="87">
        <v>11.0</v>
      </c>
      <c r="AZ223" s="87">
        <v>6.0</v>
      </c>
      <c r="BA223" s="87">
        <v>23.0</v>
      </c>
      <c r="BB223" s="87">
        <v>17.0</v>
      </c>
      <c r="BC223" s="87">
        <v>1626.0</v>
      </c>
      <c r="BD223" s="87"/>
      <c r="BE223" s="87">
        <v>12583.0</v>
      </c>
      <c r="BF223" s="87">
        <v>185.0</v>
      </c>
      <c r="BG223" s="87">
        <v>8668.0</v>
      </c>
      <c r="BH223" s="87"/>
      <c r="BI223" s="87">
        <v>139054.0</v>
      </c>
      <c r="BJ223" s="87">
        <v>4167.0</v>
      </c>
      <c r="BK223" s="87">
        <v>9267.0</v>
      </c>
      <c r="BL223" s="87">
        <v>4677.0</v>
      </c>
      <c r="BM223" s="87">
        <v>1626.0</v>
      </c>
      <c r="BN223" s="87">
        <v>1699.0</v>
      </c>
      <c r="BO223" s="87"/>
      <c r="BP223" s="87">
        <v>13717.0</v>
      </c>
      <c r="BQ223" s="87">
        <v>581.0</v>
      </c>
      <c r="BR223" s="87">
        <v>386.0</v>
      </c>
      <c r="BS223" s="87">
        <v>1376.0</v>
      </c>
      <c r="BT223" s="87">
        <v>107.0</v>
      </c>
      <c r="BU223" s="87">
        <v>31.0</v>
      </c>
      <c r="BV223" s="87">
        <v>504.0</v>
      </c>
      <c r="BW223" s="87">
        <v>338.0</v>
      </c>
      <c r="BX223" s="87">
        <v>3703.0</v>
      </c>
      <c r="BY223" s="87">
        <v>2.0</v>
      </c>
      <c r="BZ223" s="87">
        <v>24.0</v>
      </c>
      <c r="CA223" s="87">
        <v>568.0</v>
      </c>
      <c r="CB223" s="87">
        <v>82.0</v>
      </c>
      <c r="CC223" s="87"/>
      <c r="CD223" s="87">
        <v>17.0</v>
      </c>
      <c r="CE223" s="87"/>
      <c r="CF223" s="87"/>
      <c r="CG223" s="87">
        <v>1003.0</v>
      </c>
      <c r="CH223" s="87">
        <v>20432.0</v>
      </c>
      <c r="CI223" s="87">
        <v>1.0</v>
      </c>
      <c r="CJ223" s="87">
        <v>6680.0</v>
      </c>
      <c r="CK223" s="87">
        <v>8857.0</v>
      </c>
      <c r="CL223" s="87">
        <v>4765.0</v>
      </c>
      <c r="CM223" s="87">
        <v>127.0</v>
      </c>
      <c r="CN223" s="87"/>
      <c r="CO223" s="87">
        <v>618.0</v>
      </c>
      <c r="CP223" s="87"/>
      <c r="CQ223" s="87">
        <v>389.0</v>
      </c>
      <c r="CR223" s="87"/>
      <c r="CS223" s="87"/>
      <c r="CT223" s="87">
        <v>1814.0</v>
      </c>
      <c r="CU223" s="87">
        <v>2105.0</v>
      </c>
      <c r="CV223" s="87">
        <v>177.0</v>
      </c>
      <c r="CW223" s="87">
        <v>906.0</v>
      </c>
      <c r="CX223" s="87">
        <v>891.0</v>
      </c>
      <c r="CY223" s="87">
        <v>823.0</v>
      </c>
      <c r="CZ223" s="87">
        <v>89.0</v>
      </c>
      <c r="DA223" s="87">
        <v>14.0</v>
      </c>
      <c r="DB223" s="87">
        <v>2430.0</v>
      </c>
      <c r="DC223" s="87">
        <v>457.0</v>
      </c>
      <c r="DD223" s="87">
        <v>1805.0</v>
      </c>
      <c r="DE223" s="87">
        <v>225.0</v>
      </c>
      <c r="DF223" s="87">
        <v>853.0</v>
      </c>
      <c r="DG223" s="87">
        <v>795.0</v>
      </c>
      <c r="DH223" s="87">
        <v>2006.0</v>
      </c>
      <c r="DI223" s="87">
        <v>1667.0</v>
      </c>
      <c r="DJ223" s="87">
        <v>58.0</v>
      </c>
      <c r="DK223" s="87">
        <v>242.0</v>
      </c>
      <c r="DL223" s="87">
        <v>3581.0</v>
      </c>
      <c r="DM223" s="87">
        <v>496.0</v>
      </c>
      <c r="DN223" s="87">
        <v>2.0</v>
      </c>
      <c r="DO223" s="87">
        <v>3089.0</v>
      </c>
      <c r="DP223" s="87">
        <v>1780.0</v>
      </c>
      <c r="DQ223" s="87">
        <v>2023.0</v>
      </c>
      <c r="DR223" s="87">
        <v>2379.0</v>
      </c>
      <c r="DS223" s="87">
        <v>39.0</v>
      </c>
      <c r="DT223" s="87">
        <v>106.0</v>
      </c>
      <c r="DU223" s="87">
        <v>72.0</v>
      </c>
      <c r="DV223" s="87">
        <v>479.0</v>
      </c>
      <c r="DW223" s="87">
        <v>239.0</v>
      </c>
      <c r="DX223" s="87">
        <v>839.0</v>
      </c>
      <c r="DY223" s="87">
        <v>2103.0</v>
      </c>
      <c r="DZ223" s="87">
        <v>850.0</v>
      </c>
      <c r="EA223" s="87">
        <v>124.0</v>
      </c>
      <c r="EB223" s="87">
        <v>573.0</v>
      </c>
      <c r="EC223" s="87">
        <v>737.0</v>
      </c>
      <c r="ED223" s="87">
        <v>5343.0</v>
      </c>
      <c r="EE223" s="87">
        <v>661.0</v>
      </c>
      <c r="EF223" s="87"/>
      <c r="EG223" s="87">
        <v>831.0</v>
      </c>
      <c r="EH223" s="87">
        <v>30.0</v>
      </c>
      <c r="EI223" s="87">
        <v>288.0</v>
      </c>
      <c r="EJ223" s="87">
        <v>20287.0</v>
      </c>
      <c r="EK223" s="88"/>
      <c r="EL223" s="88"/>
      <c r="EM223" s="88"/>
      <c r="EN223" s="88"/>
      <c r="EO223" s="88"/>
      <c r="EP223" s="88"/>
      <c r="EQ223" s="90"/>
    </row>
    <row r="224" ht="12.0" customHeight="1">
      <c r="A224" s="89">
        <v>1.06301283E8</v>
      </c>
      <c r="B224" s="89" t="s">
        <v>1642</v>
      </c>
      <c r="C224" s="89" t="s">
        <v>1549</v>
      </c>
      <c r="D224" s="89" t="s">
        <v>1643</v>
      </c>
      <c r="E224" s="89" t="s">
        <v>1644</v>
      </c>
      <c r="F224" s="89" t="s">
        <v>1645</v>
      </c>
      <c r="G224" s="89" t="s">
        <v>1646</v>
      </c>
      <c r="H224" s="89" t="s">
        <v>475</v>
      </c>
      <c r="I224" s="89" t="s">
        <v>456</v>
      </c>
      <c r="J224" s="89" t="s">
        <v>457</v>
      </c>
      <c r="K224" s="89" t="s">
        <v>784</v>
      </c>
      <c r="L224" s="89" t="s">
        <v>1574</v>
      </c>
      <c r="M224" s="89" t="s">
        <v>1641</v>
      </c>
      <c r="N224" s="89" t="s">
        <v>441</v>
      </c>
      <c r="O224" s="87">
        <v>3266.0</v>
      </c>
      <c r="P224" s="87"/>
      <c r="Q224" s="87"/>
      <c r="R224" s="87"/>
      <c r="S224" s="87"/>
      <c r="T224" s="87"/>
      <c r="U224" s="87">
        <v>1748.0</v>
      </c>
      <c r="V224" s="87">
        <v>1518.0</v>
      </c>
      <c r="W224" s="87"/>
      <c r="X224" s="87"/>
      <c r="Y224" s="87">
        <v>19.0</v>
      </c>
      <c r="Z224" s="87">
        <v>169.0</v>
      </c>
      <c r="AA224" s="87">
        <v>222.0</v>
      </c>
      <c r="AB224" s="87">
        <v>308.0</v>
      </c>
      <c r="AC224" s="87">
        <v>501.0</v>
      </c>
      <c r="AD224" s="87">
        <v>590.0</v>
      </c>
      <c r="AE224" s="87">
        <v>601.0</v>
      </c>
      <c r="AF224" s="87">
        <v>856.0</v>
      </c>
      <c r="AG224" s="87"/>
      <c r="AH224" s="87">
        <v>1101.0</v>
      </c>
      <c r="AI224" s="87">
        <v>2164.0</v>
      </c>
      <c r="AJ224" s="87">
        <v>1.0</v>
      </c>
      <c r="AK224" s="87"/>
      <c r="AL224" s="87">
        <v>1232.0</v>
      </c>
      <c r="AM224" s="87">
        <v>30.0</v>
      </c>
      <c r="AN224" s="87">
        <v>65.0</v>
      </c>
      <c r="AO224" s="87">
        <v>1824.0</v>
      </c>
      <c r="AP224" s="87">
        <v>8.0</v>
      </c>
      <c r="AQ224" s="87">
        <v>68.0</v>
      </c>
      <c r="AR224" s="87">
        <v>39.0</v>
      </c>
      <c r="AS224" s="87">
        <v>2650.0</v>
      </c>
      <c r="AT224" s="87">
        <v>66.0</v>
      </c>
      <c r="AU224" s="87">
        <v>2.0</v>
      </c>
      <c r="AV224" s="87">
        <v>528.0</v>
      </c>
      <c r="AW224" s="87">
        <v>14.0</v>
      </c>
      <c r="AX224" s="87"/>
      <c r="AY224" s="87"/>
      <c r="AZ224" s="87"/>
      <c r="BA224" s="87"/>
      <c r="BB224" s="87">
        <v>6.0</v>
      </c>
      <c r="BC224" s="87"/>
      <c r="BD224" s="87"/>
      <c r="BE224" s="87">
        <v>3255.0</v>
      </c>
      <c r="BF224" s="87"/>
      <c r="BG224" s="87">
        <v>11.0</v>
      </c>
      <c r="BH224" s="87"/>
      <c r="BI224" s="87">
        <v>16097.0</v>
      </c>
      <c r="BJ224" s="87">
        <v>3255.0</v>
      </c>
      <c r="BK224" s="87">
        <v>1.0</v>
      </c>
      <c r="BL224" s="87">
        <v>10.0</v>
      </c>
      <c r="BM224" s="87"/>
      <c r="BN224" s="87"/>
      <c r="BO224" s="87"/>
      <c r="BP224" s="87">
        <v>1457.0</v>
      </c>
      <c r="BQ224" s="87">
        <v>203.0</v>
      </c>
      <c r="BR224" s="87">
        <v>6.0</v>
      </c>
      <c r="BS224" s="87">
        <v>723.0</v>
      </c>
      <c r="BT224" s="87">
        <v>39.0</v>
      </c>
      <c r="BU224" s="87">
        <v>4.0</v>
      </c>
      <c r="BV224" s="87">
        <v>248.0</v>
      </c>
      <c r="BW224" s="87">
        <v>164.0</v>
      </c>
      <c r="BX224" s="87">
        <v>329.0</v>
      </c>
      <c r="BY224" s="87"/>
      <c r="BZ224" s="87"/>
      <c r="CA224" s="87">
        <v>77.0</v>
      </c>
      <c r="CB224" s="87">
        <v>16.0</v>
      </c>
      <c r="CC224" s="87"/>
      <c r="CD224" s="87"/>
      <c r="CE224" s="87"/>
      <c r="CF224" s="87"/>
      <c r="CG224" s="87">
        <v>228.0</v>
      </c>
      <c r="CH224" s="87">
        <v>3038.0</v>
      </c>
      <c r="CI224" s="87"/>
      <c r="CJ224" s="87">
        <v>1719.0</v>
      </c>
      <c r="CK224" s="87">
        <v>1203.0</v>
      </c>
      <c r="CL224" s="87">
        <v>226.0</v>
      </c>
      <c r="CM224" s="87">
        <v>4.0</v>
      </c>
      <c r="CN224" s="87"/>
      <c r="CO224" s="87">
        <v>3.0</v>
      </c>
      <c r="CP224" s="87">
        <v>5.0</v>
      </c>
      <c r="CQ224" s="87">
        <v>69.0</v>
      </c>
      <c r="CR224" s="87">
        <v>37.0</v>
      </c>
      <c r="CS224" s="87"/>
      <c r="CT224" s="87">
        <v>1043.0</v>
      </c>
      <c r="CU224" s="87">
        <v>41.0</v>
      </c>
      <c r="CV224" s="87">
        <v>27.0</v>
      </c>
      <c r="CW224" s="87">
        <v>239.0</v>
      </c>
      <c r="CX224" s="87">
        <v>25.0</v>
      </c>
      <c r="CY224" s="87">
        <v>157.0</v>
      </c>
      <c r="CZ224" s="87">
        <v>2.0</v>
      </c>
      <c r="DA224" s="87">
        <v>11.0</v>
      </c>
      <c r="DB224" s="87">
        <v>437.0</v>
      </c>
      <c r="DC224" s="87">
        <v>173.0</v>
      </c>
      <c r="DD224" s="87">
        <v>476.0</v>
      </c>
      <c r="DE224" s="87">
        <v>65.0</v>
      </c>
      <c r="DF224" s="87">
        <v>94.0</v>
      </c>
      <c r="DG224" s="87">
        <v>176.0</v>
      </c>
      <c r="DH224" s="87">
        <v>11.0</v>
      </c>
      <c r="DI224" s="87"/>
      <c r="DJ224" s="87"/>
      <c r="DK224" s="87">
        <v>82.0</v>
      </c>
      <c r="DL224" s="87">
        <v>207.0</v>
      </c>
      <c r="DM224" s="87"/>
      <c r="DN224" s="87"/>
      <c r="DO224" s="87">
        <v>718.0</v>
      </c>
      <c r="DP224" s="87">
        <v>2.0</v>
      </c>
      <c r="DQ224" s="87">
        <v>321.0</v>
      </c>
      <c r="DR224" s="87">
        <v>384.0</v>
      </c>
      <c r="DS224" s="87">
        <v>4.0</v>
      </c>
      <c r="DT224" s="87"/>
      <c r="DU224" s="87"/>
      <c r="DV224" s="87">
        <v>24.0</v>
      </c>
      <c r="DW224" s="87">
        <v>3.0</v>
      </c>
      <c r="DX224" s="87">
        <v>66.0</v>
      </c>
      <c r="DY224" s="87">
        <v>121.0</v>
      </c>
      <c r="DZ224" s="87">
        <v>4.0</v>
      </c>
      <c r="EA224" s="87">
        <v>10.0</v>
      </c>
      <c r="EB224" s="87">
        <v>77.0</v>
      </c>
      <c r="EC224" s="87">
        <v>9.0</v>
      </c>
      <c r="ED224" s="87">
        <v>1457.0</v>
      </c>
      <c r="EE224" s="87">
        <v>66.0</v>
      </c>
      <c r="EF224" s="87">
        <v>7.0</v>
      </c>
      <c r="EG224" s="87">
        <v>144.0</v>
      </c>
      <c r="EH224" s="87">
        <v>1.0</v>
      </c>
      <c r="EI224" s="87">
        <v>37.0</v>
      </c>
      <c r="EJ224" s="87">
        <v>3077.0</v>
      </c>
      <c r="EK224" s="88"/>
      <c r="EL224" s="88"/>
      <c r="EM224" s="88"/>
      <c r="EN224" s="88"/>
      <c r="EO224" s="88"/>
      <c r="EP224" s="88"/>
      <c r="EQ224" s="90"/>
    </row>
    <row r="225" ht="12.0" customHeight="1">
      <c r="A225" s="89">
        <v>1.06301297E8</v>
      </c>
      <c r="B225" s="89" t="s">
        <v>1647</v>
      </c>
      <c r="C225" s="89" t="s">
        <v>1549</v>
      </c>
      <c r="D225" s="89" t="s">
        <v>1648</v>
      </c>
      <c r="E225" s="89" t="s">
        <v>1649</v>
      </c>
      <c r="F225" s="89" t="s">
        <v>1650</v>
      </c>
      <c r="G225" s="89" t="s">
        <v>1651</v>
      </c>
      <c r="H225" s="89" t="s">
        <v>503</v>
      </c>
      <c r="I225" s="89" t="s">
        <v>456</v>
      </c>
      <c r="J225" s="89" t="s">
        <v>437</v>
      </c>
      <c r="K225" s="89" t="s">
        <v>1505</v>
      </c>
      <c r="L225" s="89" t="s">
        <v>1581</v>
      </c>
      <c r="M225" s="89" t="s">
        <v>1652</v>
      </c>
      <c r="N225" s="89" t="s">
        <v>441</v>
      </c>
      <c r="O225" s="87">
        <v>3136.0</v>
      </c>
      <c r="P225" s="87"/>
      <c r="Q225" s="87"/>
      <c r="R225" s="87"/>
      <c r="S225" s="87"/>
      <c r="T225" s="87"/>
      <c r="U225" s="87">
        <v>1562.0</v>
      </c>
      <c r="V225" s="87">
        <v>1574.0</v>
      </c>
      <c r="W225" s="87"/>
      <c r="X225" s="87"/>
      <c r="Y225" s="87">
        <v>11.0</v>
      </c>
      <c r="Z225" s="87">
        <v>102.0</v>
      </c>
      <c r="AA225" s="87">
        <v>159.0</v>
      </c>
      <c r="AB225" s="87">
        <v>269.0</v>
      </c>
      <c r="AC225" s="87">
        <v>469.0</v>
      </c>
      <c r="AD225" s="87">
        <v>620.0</v>
      </c>
      <c r="AE225" s="87">
        <v>652.0</v>
      </c>
      <c r="AF225" s="87">
        <v>854.0</v>
      </c>
      <c r="AG225" s="87"/>
      <c r="AH225" s="87">
        <v>756.0</v>
      </c>
      <c r="AI225" s="87">
        <v>2317.0</v>
      </c>
      <c r="AJ225" s="87">
        <v>63.0</v>
      </c>
      <c r="AK225" s="87"/>
      <c r="AL225" s="87">
        <v>266.0</v>
      </c>
      <c r="AM225" s="87">
        <v>11.0</v>
      </c>
      <c r="AN225" s="87">
        <v>90.0</v>
      </c>
      <c r="AO225" s="87">
        <v>1763.0</v>
      </c>
      <c r="AP225" s="87">
        <v>69.0</v>
      </c>
      <c r="AQ225" s="87">
        <v>937.0</v>
      </c>
      <c r="AR225" s="87"/>
      <c r="AS225" s="87">
        <v>2757.0</v>
      </c>
      <c r="AT225" s="87">
        <v>69.0</v>
      </c>
      <c r="AU225" s="87">
        <v>148.0</v>
      </c>
      <c r="AV225" s="87">
        <v>53.0</v>
      </c>
      <c r="AW225" s="87">
        <v>104.0</v>
      </c>
      <c r="AX225" s="87">
        <v>2.0</v>
      </c>
      <c r="AY225" s="87"/>
      <c r="AZ225" s="87">
        <v>1.0</v>
      </c>
      <c r="BA225" s="87">
        <v>2.0</v>
      </c>
      <c r="BB225" s="87"/>
      <c r="BC225" s="87"/>
      <c r="BD225" s="87"/>
      <c r="BE225" s="87">
        <v>2777.0</v>
      </c>
      <c r="BF225" s="87">
        <v>68.0</v>
      </c>
      <c r="BG225" s="87">
        <v>291.0</v>
      </c>
      <c r="BH225" s="87"/>
      <c r="BI225" s="87">
        <v>11208.0</v>
      </c>
      <c r="BJ225" s="87">
        <v>1956.0</v>
      </c>
      <c r="BK225" s="87">
        <v>1178.0</v>
      </c>
      <c r="BL225" s="87">
        <v>2.0</v>
      </c>
      <c r="BM225" s="87"/>
      <c r="BN225" s="87"/>
      <c r="BO225" s="87"/>
      <c r="BP225" s="87">
        <v>1751.0</v>
      </c>
      <c r="BQ225" s="87">
        <v>129.0</v>
      </c>
      <c r="BR225" s="87">
        <v>8.0</v>
      </c>
      <c r="BS225" s="87">
        <v>412.0</v>
      </c>
      <c r="BT225" s="87">
        <v>9.0</v>
      </c>
      <c r="BU225" s="87"/>
      <c r="BV225" s="87">
        <v>115.0</v>
      </c>
      <c r="BW225" s="87">
        <v>123.0</v>
      </c>
      <c r="BX225" s="87">
        <v>469.0</v>
      </c>
      <c r="BY225" s="87"/>
      <c r="BZ225" s="87"/>
      <c r="CA225" s="87">
        <v>98.0</v>
      </c>
      <c r="CB225" s="87">
        <v>14.0</v>
      </c>
      <c r="CC225" s="87"/>
      <c r="CD225" s="87">
        <v>8.0</v>
      </c>
      <c r="CE225" s="87"/>
      <c r="CF225" s="87"/>
      <c r="CG225" s="87">
        <v>157.0</v>
      </c>
      <c r="CH225" s="87">
        <v>2979.0</v>
      </c>
      <c r="CI225" s="87"/>
      <c r="CJ225" s="87">
        <v>1688.0</v>
      </c>
      <c r="CK225" s="87">
        <v>637.0</v>
      </c>
      <c r="CL225" s="87">
        <v>600.0</v>
      </c>
      <c r="CM225" s="87">
        <v>21.0</v>
      </c>
      <c r="CN225" s="87"/>
      <c r="CO225" s="87">
        <v>8.0</v>
      </c>
      <c r="CP225" s="87">
        <v>4.0</v>
      </c>
      <c r="CQ225" s="87">
        <v>33.0</v>
      </c>
      <c r="CR225" s="87">
        <v>145.0</v>
      </c>
      <c r="CS225" s="87"/>
      <c r="CT225" s="87">
        <v>548.0</v>
      </c>
      <c r="CU225" s="87">
        <v>101.0</v>
      </c>
      <c r="CV225" s="87">
        <v>30.0</v>
      </c>
      <c r="CW225" s="87">
        <v>184.0</v>
      </c>
      <c r="CX225" s="87">
        <v>48.0</v>
      </c>
      <c r="CY225" s="87">
        <v>86.0</v>
      </c>
      <c r="CZ225" s="87">
        <v>3.0</v>
      </c>
      <c r="DA225" s="87">
        <v>3.0</v>
      </c>
      <c r="DB225" s="87">
        <v>578.0</v>
      </c>
      <c r="DC225" s="87">
        <v>248.0</v>
      </c>
      <c r="DD225" s="87">
        <v>556.0</v>
      </c>
      <c r="DE225" s="87">
        <v>70.0</v>
      </c>
      <c r="DF225" s="87">
        <v>129.0</v>
      </c>
      <c r="DG225" s="87">
        <v>215.0</v>
      </c>
      <c r="DH225" s="87"/>
      <c r="DI225" s="87"/>
      <c r="DJ225" s="87">
        <v>1.0</v>
      </c>
      <c r="DK225" s="87">
        <v>80.0</v>
      </c>
      <c r="DL225" s="87">
        <v>247.0</v>
      </c>
      <c r="DM225" s="87">
        <v>5.0</v>
      </c>
      <c r="DN225" s="87">
        <v>4.0</v>
      </c>
      <c r="DO225" s="87">
        <v>816.0</v>
      </c>
      <c r="DP225" s="87"/>
      <c r="DQ225" s="87">
        <v>384.0</v>
      </c>
      <c r="DR225" s="87">
        <v>464.0</v>
      </c>
      <c r="DS225" s="87">
        <v>1.0</v>
      </c>
      <c r="DT225" s="87">
        <v>1.0</v>
      </c>
      <c r="DU225" s="87"/>
      <c r="DV225" s="87">
        <v>30.0</v>
      </c>
      <c r="DW225" s="87">
        <v>4.0</v>
      </c>
      <c r="DX225" s="87">
        <v>57.0</v>
      </c>
      <c r="DY225" s="87">
        <v>226.0</v>
      </c>
      <c r="DZ225" s="87">
        <v>13.0</v>
      </c>
      <c r="EA225" s="87">
        <v>3.0</v>
      </c>
      <c r="EB225" s="87">
        <v>71.0</v>
      </c>
      <c r="EC225" s="87">
        <v>58.0</v>
      </c>
      <c r="ED225" s="87">
        <v>975.0</v>
      </c>
      <c r="EE225" s="87">
        <v>33.0</v>
      </c>
      <c r="EF225" s="87">
        <v>29.0</v>
      </c>
      <c r="EG225" s="87">
        <v>25.0</v>
      </c>
      <c r="EH225" s="87"/>
      <c r="EI225" s="87">
        <v>35.0</v>
      </c>
      <c r="EJ225" s="87">
        <v>3047.0</v>
      </c>
      <c r="EK225" s="88"/>
      <c r="EL225" s="88"/>
      <c r="EM225" s="88"/>
      <c r="EN225" s="88"/>
      <c r="EO225" s="88"/>
      <c r="EP225" s="88"/>
      <c r="EQ225" s="90"/>
    </row>
    <row r="226" ht="12.0" customHeight="1">
      <c r="A226" s="89">
        <v>1.06301304E8</v>
      </c>
      <c r="B226" s="89" t="s">
        <v>1653</v>
      </c>
      <c r="C226" s="89" t="s">
        <v>1549</v>
      </c>
      <c r="D226" s="89" t="s">
        <v>1654</v>
      </c>
      <c r="E226" s="89" t="s">
        <v>1655</v>
      </c>
      <c r="F226" s="89" t="s">
        <v>1605</v>
      </c>
      <c r="G226" s="89" t="s">
        <v>1606</v>
      </c>
      <c r="H226" s="89" t="s">
        <v>503</v>
      </c>
      <c r="I226" s="89" t="s">
        <v>456</v>
      </c>
      <c r="J226" s="89" t="s">
        <v>499</v>
      </c>
      <c r="K226" s="89" t="s">
        <v>1553</v>
      </c>
      <c r="L226" s="89" t="s">
        <v>1593</v>
      </c>
      <c r="M226" s="89" t="s">
        <v>1656</v>
      </c>
      <c r="N226" s="89" t="s">
        <v>441</v>
      </c>
      <c r="O226" s="87"/>
      <c r="P226" s="87"/>
      <c r="Q226" s="87">
        <v>163.0</v>
      </c>
      <c r="R226" s="87"/>
      <c r="S226" s="87"/>
      <c r="T226" s="87"/>
      <c r="U226" s="87">
        <v>80.0</v>
      </c>
      <c r="V226" s="87">
        <v>83.0</v>
      </c>
      <c r="W226" s="87"/>
      <c r="X226" s="87"/>
      <c r="Y226" s="87"/>
      <c r="Z226" s="87"/>
      <c r="AA226" s="87"/>
      <c r="AB226" s="87"/>
      <c r="AC226" s="87"/>
      <c r="AD226" s="87">
        <v>43.0</v>
      </c>
      <c r="AE226" s="87">
        <v>64.0</v>
      </c>
      <c r="AF226" s="87">
        <v>47.0</v>
      </c>
      <c r="AG226" s="87">
        <v>9.0</v>
      </c>
      <c r="AH226" s="87">
        <v>33.0</v>
      </c>
      <c r="AI226" s="87">
        <v>130.0</v>
      </c>
      <c r="AJ226" s="87"/>
      <c r="AK226" s="87"/>
      <c r="AL226" s="87"/>
      <c r="AM226" s="87"/>
      <c r="AN226" s="87"/>
      <c r="AO226" s="87">
        <v>142.0</v>
      </c>
      <c r="AP226" s="87">
        <v>21.0</v>
      </c>
      <c r="AQ226" s="87"/>
      <c r="AR226" s="87"/>
      <c r="AS226" s="87">
        <v>6.0</v>
      </c>
      <c r="AT226" s="87"/>
      <c r="AU226" s="87">
        <v>72.0</v>
      </c>
      <c r="AV226" s="87">
        <v>84.0</v>
      </c>
      <c r="AW226" s="87">
        <v>1.0</v>
      </c>
      <c r="AX226" s="87"/>
      <c r="AY226" s="87"/>
      <c r="AZ226" s="87"/>
      <c r="BA226" s="87"/>
      <c r="BB226" s="87"/>
      <c r="BC226" s="87"/>
      <c r="BD226" s="87"/>
      <c r="BE226" s="87"/>
      <c r="BF226" s="87">
        <v>72.0</v>
      </c>
      <c r="BG226" s="87">
        <v>91.0</v>
      </c>
      <c r="BH226" s="87"/>
      <c r="BI226" s="87">
        <v>2535.0</v>
      </c>
      <c r="BJ226" s="87">
        <v>2.0</v>
      </c>
      <c r="BK226" s="87">
        <v>161.0</v>
      </c>
      <c r="BL226" s="87"/>
      <c r="BM226" s="87"/>
      <c r="BN226" s="87"/>
      <c r="BO226" s="87"/>
      <c r="BP226" s="87">
        <v>29.0</v>
      </c>
      <c r="BQ226" s="87">
        <v>16.0</v>
      </c>
      <c r="BR226" s="87"/>
      <c r="BS226" s="87">
        <v>102.0</v>
      </c>
      <c r="BT226" s="87">
        <v>13.0</v>
      </c>
      <c r="BU226" s="87"/>
      <c r="BV226" s="87">
        <v>2.0</v>
      </c>
      <c r="BW226" s="87"/>
      <c r="BX226" s="87"/>
      <c r="BY226" s="87"/>
      <c r="BZ226" s="87">
        <v>1.0</v>
      </c>
      <c r="CA226" s="87"/>
      <c r="CB226" s="87"/>
      <c r="CC226" s="87"/>
      <c r="CD226" s="87"/>
      <c r="CE226" s="87"/>
      <c r="CF226" s="87"/>
      <c r="CG226" s="87"/>
      <c r="CH226" s="87">
        <v>163.0</v>
      </c>
      <c r="CI226" s="87"/>
      <c r="CJ226" s="87">
        <v>163.0</v>
      </c>
      <c r="CK226" s="87"/>
      <c r="CL226" s="87"/>
      <c r="CM226" s="87"/>
      <c r="CN226" s="87"/>
      <c r="CO226" s="87"/>
      <c r="CP226" s="87"/>
      <c r="CQ226" s="87"/>
      <c r="CR226" s="87"/>
      <c r="CS226" s="87"/>
      <c r="CT226" s="87"/>
      <c r="CU226" s="87"/>
      <c r="CV226" s="87"/>
      <c r="CW226" s="87"/>
      <c r="CX226" s="87">
        <v>87.0</v>
      </c>
      <c r="CY226" s="87">
        <v>76.0</v>
      </c>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v>163.0</v>
      </c>
      <c r="EE226" s="87"/>
      <c r="EF226" s="87"/>
      <c r="EG226" s="87"/>
      <c r="EH226" s="87"/>
      <c r="EI226" s="87"/>
      <c r="EJ226" s="87">
        <v>163.0</v>
      </c>
      <c r="EK226" s="88"/>
      <c r="EL226" s="88"/>
      <c r="EM226" s="88"/>
      <c r="EN226" s="88"/>
      <c r="EO226" s="88"/>
      <c r="EP226" s="88"/>
      <c r="EQ226" s="90"/>
    </row>
    <row r="227" ht="12.0" customHeight="1">
      <c r="A227" s="89">
        <v>1.06301317E8</v>
      </c>
      <c r="B227" s="89" t="s">
        <v>1657</v>
      </c>
      <c r="C227" s="89" t="s">
        <v>1549</v>
      </c>
      <c r="D227" s="89" t="s">
        <v>1658</v>
      </c>
      <c r="E227" s="89" t="s">
        <v>1659</v>
      </c>
      <c r="F227" s="89" t="s">
        <v>1660</v>
      </c>
      <c r="G227" s="89" t="s">
        <v>1661</v>
      </c>
      <c r="H227" s="89" t="s">
        <v>447</v>
      </c>
      <c r="I227" s="89" t="s">
        <v>456</v>
      </c>
      <c r="J227" s="89" t="s">
        <v>469</v>
      </c>
      <c r="K227" s="89" t="s">
        <v>885</v>
      </c>
      <c r="L227" s="89" t="s">
        <v>1636</v>
      </c>
      <c r="M227" s="89" t="s">
        <v>1662</v>
      </c>
      <c r="N227" s="89" t="s">
        <v>441</v>
      </c>
      <c r="O227" s="87">
        <v>12274.0</v>
      </c>
      <c r="P227" s="87"/>
      <c r="Q227" s="87"/>
      <c r="R227" s="87"/>
      <c r="S227" s="87"/>
      <c r="T227" s="87"/>
      <c r="U227" s="87">
        <v>5002.0</v>
      </c>
      <c r="V227" s="87">
        <v>7272.0</v>
      </c>
      <c r="W227" s="87"/>
      <c r="X227" s="87">
        <v>1947.0</v>
      </c>
      <c r="Y227" s="87">
        <v>30.0</v>
      </c>
      <c r="Z227" s="87">
        <v>651.0</v>
      </c>
      <c r="AA227" s="87">
        <v>1620.0</v>
      </c>
      <c r="AB227" s="87">
        <v>559.0</v>
      </c>
      <c r="AC227" s="87">
        <v>776.0</v>
      </c>
      <c r="AD227" s="87">
        <v>1406.0</v>
      </c>
      <c r="AE227" s="87">
        <v>2185.0</v>
      </c>
      <c r="AF227" s="87">
        <v>3100.0</v>
      </c>
      <c r="AG227" s="87"/>
      <c r="AH227" s="87">
        <v>1635.0</v>
      </c>
      <c r="AI227" s="87">
        <v>10539.0</v>
      </c>
      <c r="AJ227" s="87">
        <v>100.0</v>
      </c>
      <c r="AK227" s="87">
        <v>22.0</v>
      </c>
      <c r="AL227" s="87">
        <v>1476.0</v>
      </c>
      <c r="AM227" s="87">
        <v>31.0</v>
      </c>
      <c r="AN227" s="87">
        <v>195.0</v>
      </c>
      <c r="AO227" s="87">
        <v>8565.0</v>
      </c>
      <c r="AP227" s="87">
        <v>73.0</v>
      </c>
      <c r="AQ227" s="87">
        <v>1741.0</v>
      </c>
      <c r="AR227" s="87">
        <v>171.0</v>
      </c>
      <c r="AS227" s="87">
        <v>10031.0</v>
      </c>
      <c r="AT227" s="87">
        <v>78.0</v>
      </c>
      <c r="AU227" s="87">
        <v>205.0</v>
      </c>
      <c r="AV227" s="87">
        <v>27.0</v>
      </c>
      <c r="AW227" s="87">
        <v>3.0</v>
      </c>
      <c r="AX227" s="87"/>
      <c r="AY227" s="87"/>
      <c r="AZ227" s="87"/>
      <c r="BA227" s="87"/>
      <c r="BB227" s="87">
        <v>1.0</v>
      </c>
      <c r="BC227" s="87">
        <v>1929.0</v>
      </c>
      <c r="BD227" s="87"/>
      <c r="BE227" s="87">
        <v>7025.0</v>
      </c>
      <c r="BF227" s="87"/>
      <c r="BG227" s="87">
        <v>5249.0</v>
      </c>
      <c r="BH227" s="87"/>
      <c r="BI227" s="87">
        <v>47761.0</v>
      </c>
      <c r="BJ227" s="87">
        <v>4773.0</v>
      </c>
      <c r="BK227" s="87">
        <v>3342.0</v>
      </c>
      <c r="BL227" s="87">
        <v>2230.0</v>
      </c>
      <c r="BM227" s="87">
        <v>1929.0</v>
      </c>
      <c r="BN227" s="87"/>
      <c r="BO227" s="87"/>
      <c r="BP227" s="87">
        <v>7112.0</v>
      </c>
      <c r="BQ227" s="87">
        <v>266.0</v>
      </c>
      <c r="BR227" s="87">
        <v>92.0</v>
      </c>
      <c r="BS227" s="87">
        <v>1447.0</v>
      </c>
      <c r="BT227" s="87">
        <v>7.0</v>
      </c>
      <c r="BU227" s="87">
        <v>2.0</v>
      </c>
      <c r="BV227" s="87"/>
      <c r="BW227" s="87">
        <v>246.0</v>
      </c>
      <c r="BX227" s="87">
        <v>2605.0</v>
      </c>
      <c r="BY227" s="87"/>
      <c r="BZ227" s="87">
        <v>2.0</v>
      </c>
      <c r="CA227" s="87">
        <v>462.0</v>
      </c>
      <c r="CB227" s="87">
        <v>31.0</v>
      </c>
      <c r="CC227" s="87"/>
      <c r="CD227" s="87">
        <v>2.0</v>
      </c>
      <c r="CE227" s="87"/>
      <c r="CF227" s="87"/>
      <c r="CG227" s="87">
        <v>1165.0</v>
      </c>
      <c r="CH227" s="87">
        <v>11109.0</v>
      </c>
      <c r="CI227" s="87"/>
      <c r="CJ227" s="87">
        <v>6028.0</v>
      </c>
      <c r="CK227" s="87">
        <v>685.0</v>
      </c>
      <c r="CL227" s="87">
        <v>5169.0</v>
      </c>
      <c r="CM227" s="87">
        <v>17.0</v>
      </c>
      <c r="CN227" s="87"/>
      <c r="CO227" s="87">
        <v>238.0</v>
      </c>
      <c r="CP227" s="87"/>
      <c r="CQ227" s="87">
        <v>137.0</v>
      </c>
      <c r="CR227" s="87"/>
      <c r="CS227" s="87"/>
      <c r="CT227" s="87">
        <v>1285.0</v>
      </c>
      <c r="CU227" s="87">
        <v>455.0</v>
      </c>
      <c r="CV227" s="87">
        <v>93.0</v>
      </c>
      <c r="CW227" s="87">
        <v>285.0</v>
      </c>
      <c r="CX227" s="87">
        <v>104.0</v>
      </c>
      <c r="CY227" s="87">
        <v>228.0</v>
      </c>
      <c r="CZ227" s="87">
        <v>8.0</v>
      </c>
      <c r="DA227" s="87">
        <v>5.0</v>
      </c>
      <c r="DB227" s="87">
        <v>1906.0</v>
      </c>
      <c r="DC227" s="87">
        <v>559.0</v>
      </c>
      <c r="DD227" s="87">
        <v>1311.0</v>
      </c>
      <c r="DE227" s="87">
        <v>113.0</v>
      </c>
      <c r="DF227" s="87">
        <v>399.0</v>
      </c>
      <c r="DG227" s="87">
        <v>428.0</v>
      </c>
      <c r="DH227" s="87">
        <v>2021.0</v>
      </c>
      <c r="DI227" s="87">
        <v>1946.0</v>
      </c>
      <c r="DJ227" s="87">
        <v>7.0</v>
      </c>
      <c r="DK227" s="87">
        <v>117.0</v>
      </c>
      <c r="DL227" s="87">
        <v>971.0</v>
      </c>
      <c r="DM227" s="87">
        <v>33.0</v>
      </c>
      <c r="DN227" s="87"/>
      <c r="DO227" s="87">
        <v>1988.0</v>
      </c>
      <c r="DP227" s="87">
        <v>1964.0</v>
      </c>
      <c r="DQ227" s="87">
        <v>1130.0</v>
      </c>
      <c r="DR227" s="87">
        <v>1011.0</v>
      </c>
      <c r="DS227" s="87">
        <v>6.0</v>
      </c>
      <c r="DT227" s="87">
        <v>8.0</v>
      </c>
      <c r="DU227" s="87">
        <v>1.0</v>
      </c>
      <c r="DV227" s="87">
        <v>650.0</v>
      </c>
      <c r="DW227" s="87">
        <v>43.0</v>
      </c>
      <c r="DX227" s="87">
        <v>144.0</v>
      </c>
      <c r="DY227" s="87">
        <v>807.0</v>
      </c>
      <c r="DZ227" s="87">
        <v>147.0</v>
      </c>
      <c r="EA227" s="87">
        <v>17.0</v>
      </c>
      <c r="EB227" s="87">
        <v>395.0</v>
      </c>
      <c r="EC227" s="87">
        <v>143.0</v>
      </c>
      <c r="ED227" s="87">
        <v>3566.0</v>
      </c>
      <c r="EE227" s="87">
        <v>254.0</v>
      </c>
      <c r="EF227" s="87"/>
      <c r="EG227" s="87">
        <v>66.0</v>
      </c>
      <c r="EH227" s="87">
        <v>4.0</v>
      </c>
      <c r="EI227" s="87">
        <v>91.0</v>
      </c>
      <c r="EJ227" s="87">
        <v>12113.0</v>
      </c>
      <c r="EK227" s="88"/>
      <c r="EL227" s="88"/>
      <c r="EM227" s="88"/>
      <c r="EN227" s="88"/>
      <c r="EO227" s="88"/>
      <c r="EP227" s="88"/>
      <c r="EQ227" s="90"/>
    </row>
    <row r="228" ht="12.0" customHeight="1">
      <c r="A228" s="89">
        <v>1.06301337E8</v>
      </c>
      <c r="B228" s="89" t="s">
        <v>1663</v>
      </c>
      <c r="C228" s="89" t="s">
        <v>1549</v>
      </c>
      <c r="D228" s="89" t="s">
        <v>1664</v>
      </c>
      <c r="E228" s="89" t="s">
        <v>1665</v>
      </c>
      <c r="F228" s="89" t="s">
        <v>1666</v>
      </c>
      <c r="G228" s="89" t="s">
        <v>1667</v>
      </c>
      <c r="H228" s="89" t="s">
        <v>447</v>
      </c>
      <c r="I228" s="89" t="s">
        <v>456</v>
      </c>
      <c r="J228" s="89" t="s">
        <v>457</v>
      </c>
      <c r="K228" s="89" t="s">
        <v>1553</v>
      </c>
      <c r="L228" s="89" t="s">
        <v>1593</v>
      </c>
      <c r="M228" s="89" t="s">
        <v>1668</v>
      </c>
      <c r="N228" s="89" t="s">
        <v>441</v>
      </c>
      <c r="O228" s="87">
        <v>1784.0</v>
      </c>
      <c r="P228" s="87"/>
      <c r="Q228" s="87">
        <v>444.0</v>
      </c>
      <c r="R228" s="87">
        <v>218.0</v>
      </c>
      <c r="S228" s="87"/>
      <c r="T228" s="87"/>
      <c r="U228" s="87">
        <v>1239.0</v>
      </c>
      <c r="V228" s="87">
        <v>1207.0</v>
      </c>
      <c r="W228" s="87"/>
      <c r="X228" s="87"/>
      <c r="Y228" s="87">
        <v>61.0</v>
      </c>
      <c r="Z228" s="87">
        <v>323.0</v>
      </c>
      <c r="AA228" s="87">
        <v>282.0</v>
      </c>
      <c r="AB228" s="87">
        <v>255.0</v>
      </c>
      <c r="AC228" s="87">
        <v>316.0</v>
      </c>
      <c r="AD228" s="87">
        <v>348.0</v>
      </c>
      <c r="AE228" s="87">
        <v>348.0</v>
      </c>
      <c r="AF228" s="87">
        <v>513.0</v>
      </c>
      <c r="AG228" s="87"/>
      <c r="AH228" s="87">
        <v>235.0</v>
      </c>
      <c r="AI228" s="87">
        <v>2126.0</v>
      </c>
      <c r="AJ228" s="87">
        <v>85.0</v>
      </c>
      <c r="AK228" s="87"/>
      <c r="AL228" s="87">
        <v>54.0</v>
      </c>
      <c r="AM228" s="87"/>
      <c r="AN228" s="87">
        <v>34.0</v>
      </c>
      <c r="AO228" s="87">
        <v>2127.0</v>
      </c>
      <c r="AP228" s="87">
        <v>66.0</v>
      </c>
      <c r="AQ228" s="87">
        <v>143.0</v>
      </c>
      <c r="AR228" s="87">
        <v>22.0</v>
      </c>
      <c r="AS228" s="87">
        <v>1758.0</v>
      </c>
      <c r="AT228" s="87">
        <v>6.0</v>
      </c>
      <c r="AU228" s="87">
        <v>70.0</v>
      </c>
      <c r="AV228" s="87">
        <v>12.0</v>
      </c>
      <c r="AW228" s="87">
        <v>4.0</v>
      </c>
      <c r="AX228" s="87">
        <v>593.0</v>
      </c>
      <c r="AY228" s="87"/>
      <c r="AZ228" s="87"/>
      <c r="BA228" s="87">
        <v>2.0</v>
      </c>
      <c r="BB228" s="87">
        <v>1.0</v>
      </c>
      <c r="BC228" s="87"/>
      <c r="BD228" s="87"/>
      <c r="BE228" s="87">
        <v>1427.0</v>
      </c>
      <c r="BF228" s="87">
        <v>6.0</v>
      </c>
      <c r="BG228" s="87">
        <v>1013.0</v>
      </c>
      <c r="BH228" s="87"/>
      <c r="BI228" s="87">
        <v>11077.0</v>
      </c>
      <c r="BJ228" s="87">
        <v>1193.0</v>
      </c>
      <c r="BK228" s="87">
        <v>959.0</v>
      </c>
      <c r="BL228" s="87">
        <v>291.0</v>
      </c>
      <c r="BM228" s="87"/>
      <c r="BN228" s="87">
        <v>2.0</v>
      </c>
      <c r="BO228" s="87">
        <v>1.0</v>
      </c>
      <c r="BP228" s="87">
        <v>1391.0</v>
      </c>
      <c r="BQ228" s="87">
        <v>55.0</v>
      </c>
      <c r="BR228" s="87">
        <v>38.0</v>
      </c>
      <c r="BS228" s="87">
        <v>202.0</v>
      </c>
      <c r="BT228" s="87">
        <v>35.0</v>
      </c>
      <c r="BU228" s="87"/>
      <c r="BV228" s="87">
        <v>236.0</v>
      </c>
      <c r="BW228" s="87">
        <v>22.0</v>
      </c>
      <c r="BX228" s="87">
        <v>358.0</v>
      </c>
      <c r="BY228" s="87"/>
      <c r="BZ228" s="87"/>
      <c r="CA228" s="87">
        <v>62.0</v>
      </c>
      <c r="CB228" s="87">
        <v>35.0</v>
      </c>
      <c r="CC228" s="87"/>
      <c r="CD228" s="87">
        <v>12.0</v>
      </c>
      <c r="CE228" s="87"/>
      <c r="CF228" s="87"/>
      <c r="CG228" s="87">
        <v>163.0</v>
      </c>
      <c r="CH228" s="87">
        <v>2283.0</v>
      </c>
      <c r="CI228" s="87"/>
      <c r="CJ228" s="87">
        <v>928.0</v>
      </c>
      <c r="CK228" s="87">
        <v>209.0</v>
      </c>
      <c r="CL228" s="87">
        <v>1222.0</v>
      </c>
      <c r="CM228" s="87">
        <v>6.0</v>
      </c>
      <c r="CN228" s="87"/>
      <c r="CO228" s="87">
        <v>68.0</v>
      </c>
      <c r="CP228" s="87"/>
      <c r="CQ228" s="87">
        <v>13.0</v>
      </c>
      <c r="CR228" s="87"/>
      <c r="CS228" s="87"/>
      <c r="CT228" s="87">
        <v>249.0</v>
      </c>
      <c r="CU228" s="87">
        <v>26.0</v>
      </c>
      <c r="CV228" s="87">
        <v>4.0</v>
      </c>
      <c r="CW228" s="87">
        <v>53.0</v>
      </c>
      <c r="CX228" s="87">
        <v>1032.0</v>
      </c>
      <c r="CY228" s="87">
        <v>21.0</v>
      </c>
      <c r="CZ228" s="87"/>
      <c r="DA228" s="87">
        <v>1.0</v>
      </c>
      <c r="DB228" s="87">
        <v>156.0</v>
      </c>
      <c r="DC228" s="87">
        <v>115.0</v>
      </c>
      <c r="DD228" s="87">
        <v>299.0</v>
      </c>
      <c r="DE228" s="87">
        <v>34.0</v>
      </c>
      <c r="DF228" s="87">
        <v>128.0</v>
      </c>
      <c r="DG228" s="87">
        <v>66.0</v>
      </c>
      <c r="DH228" s="87"/>
      <c r="DI228" s="87"/>
      <c r="DJ228" s="87"/>
      <c r="DK228" s="87">
        <v>19.0</v>
      </c>
      <c r="DL228" s="87">
        <v>236.0</v>
      </c>
      <c r="DM228" s="87">
        <v>6.0</v>
      </c>
      <c r="DN228" s="87">
        <v>1.0</v>
      </c>
      <c r="DO228" s="87">
        <v>423.0</v>
      </c>
      <c r="DP228" s="87"/>
      <c r="DQ228" s="87">
        <v>59.0</v>
      </c>
      <c r="DR228" s="87">
        <v>152.0</v>
      </c>
      <c r="DS228" s="87"/>
      <c r="DT228" s="87"/>
      <c r="DU228" s="87"/>
      <c r="DV228" s="87"/>
      <c r="DW228" s="87">
        <v>2.0</v>
      </c>
      <c r="DX228" s="87">
        <v>31.0</v>
      </c>
      <c r="DY228" s="87">
        <v>252.0</v>
      </c>
      <c r="DZ228" s="87">
        <v>17.0</v>
      </c>
      <c r="EA228" s="87">
        <v>1.0</v>
      </c>
      <c r="EB228" s="87">
        <v>18.0</v>
      </c>
      <c r="EC228" s="87">
        <v>10.0</v>
      </c>
      <c r="ED228" s="87">
        <v>1421.0</v>
      </c>
      <c r="EE228" s="87">
        <v>60.0</v>
      </c>
      <c r="EF228" s="87">
        <v>1.0</v>
      </c>
      <c r="EG228" s="87">
        <v>85.0</v>
      </c>
      <c r="EH228" s="87">
        <v>2.0</v>
      </c>
      <c r="EI228" s="87">
        <v>93.0</v>
      </c>
      <c r="EJ228" s="87">
        <v>2265.0</v>
      </c>
      <c r="EK228" s="88"/>
      <c r="EL228" s="88"/>
      <c r="EM228" s="88"/>
      <c r="EN228" s="88"/>
      <c r="EO228" s="88"/>
      <c r="EP228" s="88"/>
      <c r="EQ228" s="90"/>
    </row>
    <row r="229" ht="12.0" customHeight="1">
      <c r="A229" s="89">
        <v>1.0630134E8</v>
      </c>
      <c r="B229" s="89" t="s">
        <v>1669</v>
      </c>
      <c r="C229" s="89" t="s">
        <v>1549</v>
      </c>
      <c r="D229" s="89" t="s">
        <v>1670</v>
      </c>
      <c r="E229" s="89" t="s">
        <v>1671</v>
      </c>
      <c r="F229" s="89" t="s">
        <v>1549</v>
      </c>
      <c r="G229" s="89" t="s">
        <v>1552</v>
      </c>
      <c r="H229" s="89" t="s">
        <v>447</v>
      </c>
      <c r="I229" s="89" t="s">
        <v>456</v>
      </c>
      <c r="J229" s="89" t="s">
        <v>448</v>
      </c>
      <c r="K229" s="89" t="s">
        <v>1553</v>
      </c>
      <c r="L229" s="89" t="s">
        <v>1554</v>
      </c>
      <c r="M229" s="89" t="s">
        <v>1555</v>
      </c>
      <c r="N229" s="89" t="s">
        <v>441</v>
      </c>
      <c r="O229" s="87">
        <v>24074.0</v>
      </c>
      <c r="P229" s="87"/>
      <c r="Q229" s="87">
        <v>515.0</v>
      </c>
      <c r="R229" s="87">
        <v>14.0</v>
      </c>
      <c r="S229" s="87">
        <v>1.0</v>
      </c>
      <c r="T229" s="87"/>
      <c r="U229" s="87">
        <v>9931.0</v>
      </c>
      <c r="V229" s="87">
        <v>14665.0</v>
      </c>
      <c r="W229" s="87">
        <v>8.0</v>
      </c>
      <c r="X229" s="87">
        <v>4444.0</v>
      </c>
      <c r="Y229" s="87">
        <v>265.0</v>
      </c>
      <c r="Z229" s="87">
        <v>2859.0</v>
      </c>
      <c r="AA229" s="87">
        <v>3485.0</v>
      </c>
      <c r="AB229" s="87">
        <v>1705.0</v>
      </c>
      <c r="AC229" s="87">
        <v>2179.0</v>
      </c>
      <c r="AD229" s="87">
        <v>3012.0</v>
      </c>
      <c r="AE229" s="87">
        <v>3324.0</v>
      </c>
      <c r="AF229" s="87">
        <v>3330.0</v>
      </c>
      <c r="AG229" s="87">
        <v>1.0</v>
      </c>
      <c r="AH229" s="87">
        <v>10996.0</v>
      </c>
      <c r="AI229" s="87">
        <v>12450.0</v>
      </c>
      <c r="AJ229" s="87">
        <v>1158.0</v>
      </c>
      <c r="AK229" s="87">
        <v>47.0</v>
      </c>
      <c r="AL229" s="87">
        <v>1488.0</v>
      </c>
      <c r="AM229" s="87">
        <v>76.0</v>
      </c>
      <c r="AN229" s="87">
        <v>385.0</v>
      </c>
      <c r="AO229" s="87">
        <v>18545.0</v>
      </c>
      <c r="AP229" s="87">
        <v>1207.0</v>
      </c>
      <c r="AQ229" s="87">
        <v>2458.0</v>
      </c>
      <c r="AR229" s="87">
        <v>398.0</v>
      </c>
      <c r="AS229" s="87">
        <v>18658.0</v>
      </c>
      <c r="AT229" s="87">
        <v>157.0</v>
      </c>
      <c r="AU229" s="87">
        <v>559.0</v>
      </c>
      <c r="AV229" s="87">
        <v>153.0</v>
      </c>
      <c r="AW229" s="87">
        <v>29.0</v>
      </c>
      <c r="AX229" s="87">
        <v>599.0</v>
      </c>
      <c r="AY229" s="87">
        <v>2.0</v>
      </c>
      <c r="AZ229" s="87"/>
      <c r="BA229" s="87">
        <v>4.0</v>
      </c>
      <c r="BB229" s="87">
        <v>3.0</v>
      </c>
      <c r="BC229" s="87">
        <v>4440.0</v>
      </c>
      <c r="BD229" s="87"/>
      <c r="BE229" s="87">
        <v>11829.0</v>
      </c>
      <c r="BF229" s="87">
        <v>84.0</v>
      </c>
      <c r="BG229" s="87">
        <v>12691.0</v>
      </c>
      <c r="BH229" s="87"/>
      <c r="BI229" s="87">
        <v>90660.0</v>
      </c>
      <c r="BJ229" s="87">
        <v>9623.0</v>
      </c>
      <c r="BK229" s="87">
        <v>5432.0</v>
      </c>
      <c r="BL229" s="87">
        <v>5102.0</v>
      </c>
      <c r="BM229" s="87">
        <v>4440.0</v>
      </c>
      <c r="BN229" s="87"/>
      <c r="BO229" s="87">
        <v>7.0</v>
      </c>
      <c r="BP229" s="87">
        <v>16053.0</v>
      </c>
      <c r="BQ229" s="87">
        <v>353.0</v>
      </c>
      <c r="BR229" s="87">
        <v>373.0</v>
      </c>
      <c r="BS229" s="87">
        <v>1631.0</v>
      </c>
      <c r="BT229" s="87">
        <v>36.0</v>
      </c>
      <c r="BU229" s="87">
        <v>20.0</v>
      </c>
      <c r="BV229" s="87">
        <v>308.0</v>
      </c>
      <c r="BW229" s="87">
        <v>535.0</v>
      </c>
      <c r="BX229" s="87">
        <v>4526.0</v>
      </c>
      <c r="BY229" s="87"/>
      <c r="BZ229" s="87">
        <v>342.0</v>
      </c>
      <c r="CA229" s="87">
        <v>366.0</v>
      </c>
      <c r="CB229" s="87">
        <v>37.0</v>
      </c>
      <c r="CC229" s="87">
        <v>1.0</v>
      </c>
      <c r="CD229" s="87">
        <v>23.0</v>
      </c>
      <c r="CE229" s="87"/>
      <c r="CF229" s="87"/>
      <c r="CG229" s="87">
        <v>1247.0</v>
      </c>
      <c r="CH229" s="87">
        <v>23357.0</v>
      </c>
      <c r="CI229" s="87"/>
      <c r="CJ229" s="87">
        <v>5444.0</v>
      </c>
      <c r="CK229" s="87">
        <v>8227.0</v>
      </c>
      <c r="CL229" s="87">
        <v>10474.0</v>
      </c>
      <c r="CM229" s="87">
        <v>190.0</v>
      </c>
      <c r="CN229" s="87"/>
      <c r="CO229" s="87">
        <v>145.0</v>
      </c>
      <c r="CP229" s="87"/>
      <c r="CQ229" s="87">
        <v>124.0</v>
      </c>
      <c r="CR229" s="87"/>
      <c r="CS229" s="87"/>
      <c r="CT229" s="87">
        <v>2805.0</v>
      </c>
      <c r="CU229" s="87">
        <v>875.0</v>
      </c>
      <c r="CV229" s="87">
        <v>135.0</v>
      </c>
      <c r="CW229" s="87">
        <v>943.0</v>
      </c>
      <c r="CX229" s="87">
        <v>945.0</v>
      </c>
      <c r="CY229" s="87">
        <v>377.0</v>
      </c>
      <c r="CZ229" s="87">
        <v>7.0</v>
      </c>
      <c r="DA229" s="87">
        <v>7.0</v>
      </c>
      <c r="DB229" s="87">
        <v>2594.0</v>
      </c>
      <c r="DC229" s="87">
        <v>726.0</v>
      </c>
      <c r="DD229" s="87">
        <v>1820.0</v>
      </c>
      <c r="DE229" s="87">
        <v>222.0</v>
      </c>
      <c r="DF229" s="87">
        <v>1195.0</v>
      </c>
      <c r="DG229" s="87">
        <v>895.0</v>
      </c>
      <c r="DH229" s="87">
        <v>4863.0</v>
      </c>
      <c r="DI229" s="87">
        <v>4443.0</v>
      </c>
      <c r="DJ229" s="87">
        <v>36.0</v>
      </c>
      <c r="DK229" s="87">
        <v>229.0</v>
      </c>
      <c r="DL229" s="87">
        <v>1367.0</v>
      </c>
      <c r="DM229" s="87">
        <v>117.0</v>
      </c>
      <c r="DN229" s="87">
        <v>3.0</v>
      </c>
      <c r="DO229" s="87">
        <v>2018.0</v>
      </c>
      <c r="DP229" s="87">
        <v>4341.0</v>
      </c>
      <c r="DQ229" s="87">
        <v>2284.0</v>
      </c>
      <c r="DR229" s="87">
        <v>2085.0</v>
      </c>
      <c r="DS229" s="87">
        <v>4.0</v>
      </c>
      <c r="DT229" s="87">
        <v>31.0</v>
      </c>
      <c r="DU229" s="87">
        <v>2.0</v>
      </c>
      <c r="DV229" s="87">
        <v>914.0</v>
      </c>
      <c r="DW229" s="87">
        <v>70.0</v>
      </c>
      <c r="DX229" s="87">
        <v>419.0</v>
      </c>
      <c r="DY229" s="87">
        <v>1893.0</v>
      </c>
      <c r="DZ229" s="87">
        <v>322.0</v>
      </c>
      <c r="EA229" s="87">
        <v>34.0</v>
      </c>
      <c r="EB229" s="87">
        <v>505.0</v>
      </c>
      <c r="EC229" s="87">
        <v>338.0</v>
      </c>
      <c r="ED229" s="87">
        <v>9001.0</v>
      </c>
      <c r="EE229" s="87">
        <v>343.0</v>
      </c>
      <c r="EF229" s="87">
        <v>8.0</v>
      </c>
      <c r="EG229" s="87">
        <v>347.0</v>
      </c>
      <c r="EH229" s="87">
        <v>3.0</v>
      </c>
      <c r="EI229" s="87">
        <v>148.0</v>
      </c>
      <c r="EJ229" s="87">
        <v>24098.0</v>
      </c>
      <c r="EK229" s="88"/>
      <c r="EL229" s="88"/>
      <c r="EM229" s="88"/>
      <c r="EN229" s="88"/>
      <c r="EO229" s="88"/>
      <c r="EP229" s="88"/>
      <c r="EQ229" s="90"/>
    </row>
    <row r="230" ht="12.0" customHeight="1">
      <c r="A230" s="89">
        <v>1.06301342E8</v>
      </c>
      <c r="B230" s="89" t="s">
        <v>1672</v>
      </c>
      <c r="C230" s="89" t="s">
        <v>1549</v>
      </c>
      <c r="D230" s="89" t="s">
        <v>1673</v>
      </c>
      <c r="E230" s="89" t="s">
        <v>1674</v>
      </c>
      <c r="F230" s="89" t="s">
        <v>1675</v>
      </c>
      <c r="G230" s="89" t="s">
        <v>1676</v>
      </c>
      <c r="H230" s="89" t="s">
        <v>447</v>
      </c>
      <c r="I230" s="89" t="s">
        <v>456</v>
      </c>
      <c r="J230" s="89" t="s">
        <v>448</v>
      </c>
      <c r="K230" s="89" t="s">
        <v>1505</v>
      </c>
      <c r="L230" s="89" t="s">
        <v>1568</v>
      </c>
      <c r="M230" s="89" t="s">
        <v>1677</v>
      </c>
      <c r="N230" s="89" t="s">
        <v>441</v>
      </c>
      <c r="O230" s="87">
        <v>17241.0</v>
      </c>
      <c r="P230" s="87"/>
      <c r="Q230" s="87"/>
      <c r="R230" s="87">
        <v>4.0</v>
      </c>
      <c r="S230" s="87">
        <v>438.0</v>
      </c>
      <c r="T230" s="87">
        <v>1.0</v>
      </c>
      <c r="U230" s="87">
        <v>7937.0</v>
      </c>
      <c r="V230" s="87">
        <v>9744.0</v>
      </c>
      <c r="W230" s="87">
        <v>3.0</v>
      </c>
      <c r="X230" s="87">
        <v>2312.0</v>
      </c>
      <c r="Y230" s="87">
        <v>77.0</v>
      </c>
      <c r="Z230" s="87">
        <v>973.0</v>
      </c>
      <c r="AA230" s="87">
        <v>2029.0</v>
      </c>
      <c r="AB230" s="87">
        <v>963.0</v>
      </c>
      <c r="AC230" s="87">
        <v>1518.0</v>
      </c>
      <c r="AD230" s="87">
        <v>2655.0</v>
      </c>
      <c r="AE230" s="87">
        <v>3224.0</v>
      </c>
      <c r="AF230" s="87">
        <v>3931.0</v>
      </c>
      <c r="AG230" s="87">
        <v>2.0</v>
      </c>
      <c r="AH230" s="87">
        <v>4783.0</v>
      </c>
      <c r="AI230" s="87">
        <v>12346.0</v>
      </c>
      <c r="AJ230" s="87">
        <v>555.0</v>
      </c>
      <c r="AK230" s="87">
        <v>54.0</v>
      </c>
      <c r="AL230" s="87">
        <v>2748.0</v>
      </c>
      <c r="AM230" s="87">
        <v>112.0</v>
      </c>
      <c r="AN230" s="87">
        <v>313.0</v>
      </c>
      <c r="AO230" s="87">
        <v>11353.0</v>
      </c>
      <c r="AP230" s="87">
        <v>575.0</v>
      </c>
      <c r="AQ230" s="87">
        <v>2168.0</v>
      </c>
      <c r="AR230" s="87">
        <v>361.0</v>
      </c>
      <c r="AS230" s="87">
        <v>13484.0</v>
      </c>
      <c r="AT230" s="87">
        <v>512.0</v>
      </c>
      <c r="AU230" s="87">
        <v>466.0</v>
      </c>
      <c r="AV230" s="87">
        <v>267.0</v>
      </c>
      <c r="AW230" s="87">
        <v>49.0</v>
      </c>
      <c r="AX230" s="87">
        <v>597.0</v>
      </c>
      <c r="AY230" s="87"/>
      <c r="AZ230" s="87">
        <v>3.0</v>
      </c>
      <c r="BA230" s="87"/>
      <c r="BB230" s="87">
        <v>7.0</v>
      </c>
      <c r="BC230" s="87">
        <v>2299.0</v>
      </c>
      <c r="BD230" s="87"/>
      <c r="BE230" s="87">
        <v>10555.0</v>
      </c>
      <c r="BF230" s="87">
        <v>88.0</v>
      </c>
      <c r="BG230" s="87">
        <v>7040.0</v>
      </c>
      <c r="BH230" s="87">
        <v>1.0</v>
      </c>
      <c r="BI230" s="87">
        <v>83021.0</v>
      </c>
      <c r="BJ230" s="87">
        <v>8575.0</v>
      </c>
      <c r="BK230" s="87">
        <v>2574.0</v>
      </c>
      <c r="BL230" s="87">
        <v>4201.0</v>
      </c>
      <c r="BM230" s="87">
        <v>2299.0</v>
      </c>
      <c r="BN230" s="87"/>
      <c r="BO230" s="87">
        <v>35.0</v>
      </c>
      <c r="BP230" s="87">
        <v>9167.0</v>
      </c>
      <c r="BQ230" s="87">
        <v>485.0</v>
      </c>
      <c r="BR230" s="87">
        <v>429.0</v>
      </c>
      <c r="BS230" s="87">
        <v>2223.0</v>
      </c>
      <c r="BT230" s="87">
        <v>31.0</v>
      </c>
      <c r="BU230" s="87"/>
      <c r="BV230" s="87">
        <v>141.0</v>
      </c>
      <c r="BW230" s="87">
        <v>592.0</v>
      </c>
      <c r="BX230" s="87">
        <v>4013.0</v>
      </c>
      <c r="BY230" s="87"/>
      <c r="BZ230" s="87">
        <v>27.0</v>
      </c>
      <c r="CA230" s="87">
        <v>526.0</v>
      </c>
      <c r="CB230" s="87">
        <v>28.0</v>
      </c>
      <c r="CC230" s="87">
        <v>4.0</v>
      </c>
      <c r="CD230" s="87">
        <v>9.0</v>
      </c>
      <c r="CE230" s="87"/>
      <c r="CF230" s="87">
        <v>9.0</v>
      </c>
      <c r="CG230" s="87">
        <v>1393.0</v>
      </c>
      <c r="CH230" s="87">
        <v>16291.0</v>
      </c>
      <c r="CI230" s="87"/>
      <c r="CJ230" s="87">
        <v>5659.0</v>
      </c>
      <c r="CK230" s="87">
        <v>2793.0</v>
      </c>
      <c r="CL230" s="87">
        <v>8935.0</v>
      </c>
      <c r="CM230" s="87">
        <v>26.0</v>
      </c>
      <c r="CN230" s="87"/>
      <c r="CO230" s="87">
        <v>109.0</v>
      </c>
      <c r="CP230" s="87"/>
      <c r="CQ230" s="87">
        <v>159.0</v>
      </c>
      <c r="CR230" s="87">
        <v>3.0</v>
      </c>
      <c r="CS230" s="87"/>
      <c r="CT230" s="87">
        <v>2479.0</v>
      </c>
      <c r="CU230" s="87">
        <v>797.0</v>
      </c>
      <c r="CV230" s="87">
        <v>103.0</v>
      </c>
      <c r="CW230" s="87">
        <v>561.0</v>
      </c>
      <c r="CX230" s="87">
        <v>90.0</v>
      </c>
      <c r="CY230" s="87">
        <v>458.0</v>
      </c>
      <c r="CZ230" s="87">
        <v>21.0</v>
      </c>
      <c r="DA230" s="87">
        <v>12.0</v>
      </c>
      <c r="DB230" s="87">
        <v>2852.0</v>
      </c>
      <c r="DC230" s="87">
        <v>768.0</v>
      </c>
      <c r="DD230" s="87">
        <v>1533.0</v>
      </c>
      <c r="DE230" s="87">
        <v>174.0</v>
      </c>
      <c r="DF230" s="87">
        <v>646.0</v>
      </c>
      <c r="DG230" s="87">
        <v>635.0</v>
      </c>
      <c r="DH230" s="87">
        <v>2382.0</v>
      </c>
      <c r="DI230" s="87">
        <v>2312.0</v>
      </c>
      <c r="DJ230" s="87">
        <v>15.0</v>
      </c>
      <c r="DK230" s="87">
        <v>204.0</v>
      </c>
      <c r="DL230" s="87">
        <v>1323.0</v>
      </c>
      <c r="DM230" s="87">
        <v>318.0</v>
      </c>
      <c r="DN230" s="87">
        <v>1.0</v>
      </c>
      <c r="DO230" s="87">
        <v>2267.0</v>
      </c>
      <c r="DP230" s="87">
        <v>2183.0</v>
      </c>
      <c r="DQ230" s="87">
        <v>1848.0</v>
      </c>
      <c r="DR230" s="87">
        <v>1939.0</v>
      </c>
      <c r="DS230" s="87">
        <v>5.0</v>
      </c>
      <c r="DT230" s="87">
        <v>15.0</v>
      </c>
      <c r="DU230" s="87">
        <v>2.0</v>
      </c>
      <c r="DV230" s="87">
        <v>570.0</v>
      </c>
      <c r="DW230" s="87">
        <v>82.0</v>
      </c>
      <c r="DX230" s="87">
        <v>296.0</v>
      </c>
      <c r="DY230" s="87">
        <v>1200.0</v>
      </c>
      <c r="DZ230" s="87">
        <v>343.0</v>
      </c>
      <c r="EA230" s="87">
        <v>20.0</v>
      </c>
      <c r="EB230" s="87">
        <v>394.0</v>
      </c>
      <c r="EC230" s="87">
        <v>200.0</v>
      </c>
      <c r="ED230" s="87">
        <v>6050.0</v>
      </c>
      <c r="EE230" s="87">
        <v>270.0</v>
      </c>
      <c r="EF230" s="87">
        <v>5.0</v>
      </c>
      <c r="EG230" s="87">
        <v>195.0</v>
      </c>
      <c r="EH230" s="87">
        <v>7.0</v>
      </c>
      <c r="EI230" s="87">
        <v>71.0</v>
      </c>
      <c r="EJ230" s="87">
        <v>17406.0</v>
      </c>
      <c r="EK230" s="88"/>
      <c r="EL230" s="88"/>
      <c r="EM230" s="88"/>
      <c r="EN230" s="88"/>
      <c r="EO230" s="88"/>
      <c r="EP230" s="88"/>
      <c r="EQ230" s="90"/>
    </row>
    <row r="231" ht="12.0" customHeight="1">
      <c r="A231" s="89">
        <v>1.06301357E8</v>
      </c>
      <c r="B231" s="89" t="s">
        <v>1678</v>
      </c>
      <c r="C231" s="89" t="s">
        <v>1549</v>
      </c>
      <c r="D231" s="89" t="s">
        <v>1679</v>
      </c>
      <c r="E231" s="89" t="s">
        <v>1680</v>
      </c>
      <c r="F231" s="89" t="s">
        <v>1681</v>
      </c>
      <c r="G231" s="89" t="s">
        <v>1682</v>
      </c>
      <c r="H231" s="89" t="s">
        <v>503</v>
      </c>
      <c r="I231" s="89" t="s">
        <v>456</v>
      </c>
      <c r="J231" s="89" t="s">
        <v>457</v>
      </c>
      <c r="K231" s="89" t="s">
        <v>1553</v>
      </c>
      <c r="L231" s="89" t="s">
        <v>1554</v>
      </c>
      <c r="M231" s="89" t="s">
        <v>1555</v>
      </c>
      <c r="N231" s="89" t="s">
        <v>441</v>
      </c>
      <c r="O231" s="87">
        <v>4081.0</v>
      </c>
      <c r="P231" s="87">
        <v>17.0</v>
      </c>
      <c r="Q231" s="87"/>
      <c r="R231" s="87"/>
      <c r="S231" s="87"/>
      <c r="T231" s="87"/>
      <c r="U231" s="87">
        <v>1971.0</v>
      </c>
      <c r="V231" s="87">
        <v>2127.0</v>
      </c>
      <c r="W231" s="87"/>
      <c r="X231" s="87"/>
      <c r="Y231" s="87">
        <v>24.0</v>
      </c>
      <c r="Z231" s="87">
        <v>291.0</v>
      </c>
      <c r="AA231" s="87">
        <v>463.0</v>
      </c>
      <c r="AB231" s="87">
        <v>529.0</v>
      </c>
      <c r="AC231" s="87">
        <v>847.0</v>
      </c>
      <c r="AD231" s="87">
        <v>835.0</v>
      </c>
      <c r="AE231" s="87">
        <v>592.0</v>
      </c>
      <c r="AF231" s="87">
        <v>512.0</v>
      </c>
      <c r="AG231" s="87">
        <v>5.0</v>
      </c>
      <c r="AH231" s="87">
        <v>1724.0</v>
      </c>
      <c r="AI231" s="87">
        <v>2167.0</v>
      </c>
      <c r="AJ231" s="87">
        <v>207.0</v>
      </c>
      <c r="AK231" s="87"/>
      <c r="AL231" s="87">
        <v>309.0</v>
      </c>
      <c r="AM231" s="87"/>
      <c r="AN231" s="87">
        <v>205.0</v>
      </c>
      <c r="AO231" s="87">
        <v>2070.0</v>
      </c>
      <c r="AP231" s="87">
        <v>393.0</v>
      </c>
      <c r="AQ231" s="87">
        <v>1121.0</v>
      </c>
      <c r="AR231" s="87"/>
      <c r="AS231" s="87">
        <v>2686.0</v>
      </c>
      <c r="AT231" s="87">
        <v>31.0</v>
      </c>
      <c r="AU231" s="87">
        <v>479.0</v>
      </c>
      <c r="AV231" s="87">
        <v>739.0</v>
      </c>
      <c r="AW231" s="87">
        <v>159.0</v>
      </c>
      <c r="AX231" s="87">
        <v>1.0</v>
      </c>
      <c r="AY231" s="87"/>
      <c r="AZ231" s="87"/>
      <c r="BA231" s="87"/>
      <c r="BB231" s="87">
        <v>3.0</v>
      </c>
      <c r="BC231" s="87"/>
      <c r="BD231" s="87"/>
      <c r="BE231" s="87">
        <v>2564.0</v>
      </c>
      <c r="BF231" s="87">
        <v>431.0</v>
      </c>
      <c r="BG231" s="87">
        <v>1103.0</v>
      </c>
      <c r="BH231" s="87"/>
      <c r="BI231" s="87">
        <v>23548.0</v>
      </c>
      <c r="BJ231" s="87">
        <v>2173.0</v>
      </c>
      <c r="BK231" s="87">
        <v>425.0</v>
      </c>
      <c r="BL231" s="87">
        <v>1499.0</v>
      </c>
      <c r="BM231" s="87"/>
      <c r="BN231" s="87"/>
      <c r="BO231" s="87">
        <v>1.0</v>
      </c>
      <c r="BP231" s="87">
        <v>2134.0</v>
      </c>
      <c r="BQ231" s="87">
        <v>127.0</v>
      </c>
      <c r="BR231" s="87">
        <v>40.0</v>
      </c>
      <c r="BS231" s="87">
        <v>988.0</v>
      </c>
      <c r="BT231" s="87">
        <v>92.0</v>
      </c>
      <c r="BU231" s="87"/>
      <c r="BV231" s="87">
        <v>181.0</v>
      </c>
      <c r="BW231" s="87">
        <v>41.0</v>
      </c>
      <c r="BX231" s="87">
        <v>308.0</v>
      </c>
      <c r="BY231" s="87"/>
      <c r="BZ231" s="87">
        <v>2.0</v>
      </c>
      <c r="CA231" s="87">
        <v>106.0</v>
      </c>
      <c r="CB231" s="87">
        <v>48.0</v>
      </c>
      <c r="CC231" s="87">
        <v>1.0</v>
      </c>
      <c r="CD231" s="87">
        <v>30.0</v>
      </c>
      <c r="CE231" s="87"/>
      <c r="CF231" s="87"/>
      <c r="CG231" s="87">
        <v>31.0</v>
      </c>
      <c r="CH231" s="87">
        <v>4067.0</v>
      </c>
      <c r="CI231" s="87"/>
      <c r="CJ231" s="87">
        <v>1908.0</v>
      </c>
      <c r="CK231" s="87">
        <v>1397.0</v>
      </c>
      <c r="CL231" s="87">
        <v>675.0</v>
      </c>
      <c r="CM231" s="87">
        <v>58.0</v>
      </c>
      <c r="CN231" s="87"/>
      <c r="CO231" s="87">
        <v>3.0</v>
      </c>
      <c r="CP231" s="87"/>
      <c r="CQ231" s="87">
        <v>57.0</v>
      </c>
      <c r="CR231" s="87"/>
      <c r="CS231" s="87"/>
      <c r="CT231" s="87">
        <v>772.0</v>
      </c>
      <c r="CU231" s="87">
        <v>58.0</v>
      </c>
      <c r="CV231" s="87">
        <v>38.0</v>
      </c>
      <c r="CW231" s="87">
        <v>768.0</v>
      </c>
      <c r="CX231" s="87">
        <v>147.0</v>
      </c>
      <c r="CY231" s="87">
        <v>142.0</v>
      </c>
      <c r="CZ231" s="87">
        <v>3.0</v>
      </c>
      <c r="DA231" s="87">
        <v>5.0</v>
      </c>
      <c r="DB231" s="87">
        <v>236.0</v>
      </c>
      <c r="DC231" s="87">
        <v>169.0</v>
      </c>
      <c r="DD231" s="87">
        <v>586.0</v>
      </c>
      <c r="DE231" s="87">
        <v>112.0</v>
      </c>
      <c r="DF231" s="87">
        <v>394.0</v>
      </c>
      <c r="DG231" s="87">
        <v>226.0</v>
      </c>
      <c r="DH231" s="87"/>
      <c r="DI231" s="87"/>
      <c r="DJ231" s="87">
        <v>1.0</v>
      </c>
      <c r="DK231" s="87">
        <v>96.0</v>
      </c>
      <c r="DL231" s="87">
        <v>326.0</v>
      </c>
      <c r="DM231" s="87">
        <v>16.0</v>
      </c>
      <c r="DN231" s="87">
        <v>3.0</v>
      </c>
      <c r="DO231" s="87">
        <v>254.0</v>
      </c>
      <c r="DP231" s="87"/>
      <c r="DQ231" s="87">
        <v>343.0</v>
      </c>
      <c r="DR231" s="87">
        <v>949.0</v>
      </c>
      <c r="DS231" s="87">
        <v>1.0</v>
      </c>
      <c r="DT231" s="87">
        <v>1.0</v>
      </c>
      <c r="DU231" s="87"/>
      <c r="DV231" s="87">
        <v>8.0</v>
      </c>
      <c r="DW231" s="87">
        <v>6.0</v>
      </c>
      <c r="DX231" s="87">
        <v>76.0</v>
      </c>
      <c r="DY231" s="87">
        <v>429.0</v>
      </c>
      <c r="DZ231" s="87">
        <v>63.0</v>
      </c>
      <c r="EA231" s="87">
        <v>1.0</v>
      </c>
      <c r="EB231" s="87">
        <v>49.0</v>
      </c>
      <c r="EC231" s="87">
        <v>15.0</v>
      </c>
      <c r="ED231" s="87">
        <v>1878.0</v>
      </c>
      <c r="EE231" s="87">
        <v>25.0</v>
      </c>
      <c r="EF231" s="87">
        <v>20.0</v>
      </c>
      <c r="EG231" s="87">
        <v>111.0</v>
      </c>
      <c r="EH231" s="87"/>
      <c r="EI231" s="87">
        <v>29.0</v>
      </c>
      <c r="EJ231" s="87">
        <v>3938.0</v>
      </c>
      <c r="EK231" s="88"/>
      <c r="EL231" s="88"/>
      <c r="EM231" s="88"/>
      <c r="EN231" s="88"/>
      <c r="EO231" s="88"/>
      <c r="EP231" s="88"/>
      <c r="EQ231" s="90"/>
    </row>
    <row r="232" ht="12.0" customHeight="1">
      <c r="A232" s="89">
        <v>1.06301379E8</v>
      </c>
      <c r="B232" s="89" t="s">
        <v>1683</v>
      </c>
      <c r="C232" s="89" t="s">
        <v>1549</v>
      </c>
      <c r="D232" s="89" t="s">
        <v>1684</v>
      </c>
      <c r="E232" s="89" t="s">
        <v>1685</v>
      </c>
      <c r="F232" s="89" t="s">
        <v>1566</v>
      </c>
      <c r="G232" s="89" t="s">
        <v>1567</v>
      </c>
      <c r="H232" s="89" t="s">
        <v>475</v>
      </c>
      <c r="I232" s="89" t="s">
        <v>456</v>
      </c>
      <c r="J232" s="89" t="s">
        <v>469</v>
      </c>
      <c r="K232" s="89" t="s">
        <v>1505</v>
      </c>
      <c r="L232" s="89" t="s">
        <v>1568</v>
      </c>
      <c r="M232" s="89" t="s">
        <v>1569</v>
      </c>
      <c r="N232" s="89" t="s">
        <v>441</v>
      </c>
      <c r="O232" s="87">
        <v>5658.0</v>
      </c>
      <c r="P232" s="87">
        <v>16.0</v>
      </c>
      <c r="Q232" s="87">
        <v>371.0</v>
      </c>
      <c r="R232" s="87"/>
      <c r="S232" s="87"/>
      <c r="T232" s="87"/>
      <c r="U232" s="87">
        <v>3084.0</v>
      </c>
      <c r="V232" s="87">
        <v>2960.0</v>
      </c>
      <c r="W232" s="87">
        <v>1.0</v>
      </c>
      <c r="X232" s="87"/>
      <c r="Y232" s="87">
        <v>27.0</v>
      </c>
      <c r="Z232" s="87">
        <v>252.0</v>
      </c>
      <c r="AA232" s="87">
        <v>437.0</v>
      </c>
      <c r="AB232" s="87">
        <v>530.0</v>
      </c>
      <c r="AC232" s="87">
        <v>973.0</v>
      </c>
      <c r="AD232" s="87">
        <v>1360.0</v>
      </c>
      <c r="AE232" s="87">
        <v>1186.0</v>
      </c>
      <c r="AF232" s="87">
        <v>1280.0</v>
      </c>
      <c r="AG232" s="87"/>
      <c r="AH232" s="87">
        <v>1729.0</v>
      </c>
      <c r="AI232" s="87">
        <v>4276.0</v>
      </c>
      <c r="AJ232" s="87">
        <v>40.0</v>
      </c>
      <c r="AK232" s="87">
        <v>19.0</v>
      </c>
      <c r="AL232" s="87">
        <v>1143.0</v>
      </c>
      <c r="AM232" s="87">
        <v>60.0</v>
      </c>
      <c r="AN232" s="87">
        <v>272.0</v>
      </c>
      <c r="AO232" s="87">
        <v>3524.0</v>
      </c>
      <c r="AP232" s="87">
        <v>38.0</v>
      </c>
      <c r="AQ232" s="87">
        <v>847.0</v>
      </c>
      <c r="AR232" s="87">
        <v>142.0</v>
      </c>
      <c r="AS232" s="87">
        <v>4436.0</v>
      </c>
      <c r="AT232" s="87">
        <v>6.0</v>
      </c>
      <c r="AU232" s="87">
        <v>6.0</v>
      </c>
      <c r="AV232" s="87">
        <v>1449.0</v>
      </c>
      <c r="AW232" s="87">
        <v>56.0</v>
      </c>
      <c r="AX232" s="87">
        <v>89.0</v>
      </c>
      <c r="AY232" s="87"/>
      <c r="AZ232" s="87"/>
      <c r="BA232" s="87"/>
      <c r="BB232" s="87">
        <v>3.0</v>
      </c>
      <c r="BC232" s="87"/>
      <c r="BD232" s="87"/>
      <c r="BE232" s="87">
        <v>5899.0</v>
      </c>
      <c r="BF232" s="87">
        <v>3.0</v>
      </c>
      <c r="BG232" s="87">
        <v>143.0</v>
      </c>
      <c r="BH232" s="87"/>
      <c r="BI232" s="87">
        <v>42920.0</v>
      </c>
      <c r="BJ232" s="87">
        <v>5896.0</v>
      </c>
      <c r="BK232" s="87">
        <v>94.0</v>
      </c>
      <c r="BL232" s="87">
        <v>49.0</v>
      </c>
      <c r="BM232" s="87"/>
      <c r="BN232" s="87"/>
      <c r="BO232" s="87">
        <v>6.0</v>
      </c>
      <c r="BP232" s="87">
        <v>2603.0</v>
      </c>
      <c r="BQ232" s="87">
        <v>281.0</v>
      </c>
      <c r="BR232" s="87">
        <v>3.0</v>
      </c>
      <c r="BS232" s="87">
        <v>1532.0</v>
      </c>
      <c r="BT232" s="87">
        <v>170.0</v>
      </c>
      <c r="BU232" s="87"/>
      <c r="BV232" s="87">
        <v>385.0</v>
      </c>
      <c r="BW232" s="87">
        <v>337.0</v>
      </c>
      <c r="BX232" s="87">
        <v>590.0</v>
      </c>
      <c r="BY232" s="87"/>
      <c r="BZ232" s="87"/>
      <c r="CA232" s="87">
        <v>94.0</v>
      </c>
      <c r="CB232" s="87">
        <v>49.0</v>
      </c>
      <c r="CC232" s="87"/>
      <c r="CD232" s="87">
        <v>1.0</v>
      </c>
      <c r="CE232" s="87"/>
      <c r="CF232" s="87"/>
      <c r="CG232" s="87">
        <v>472.0</v>
      </c>
      <c r="CH232" s="87">
        <v>5573.0</v>
      </c>
      <c r="CI232" s="87"/>
      <c r="CJ232" s="87">
        <v>3282.0</v>
      </c>
      <c r="CK232" s="87">
        <v>2050.0</v>
      </c>
      <c r="CL232" s="87">
        <v>441.0</v>
      </c>
      <c r="CM232" s="87">
        <v>10.0</v>
      </c>
      <c r="CN232" s="87"/>
      <c r="CO232" s="87">
        <v>25.0</v>
      </c>
      <c r="CP232" s="87"/>
      <c r="CQ232" s="87">
        <v>182.0</v>
      </c>
      <c r="CR232" s="87">
        <v>55.0</v>
      </c>
      <c r="CS232" s="87"/>
      <c r="CT232" s="87">
        <v>1560.0</v>
      </c>
      <c r="CU232" s="87">
        <v>46.0</v>
      </c>
      <c r="CV232" s="87">
        <v>49.0</v>
      </c>
      <c r="CW232" s="87">
        <v>313.0</v>
      </c>
      <c r="CX232" s="87">
        <v>400.0</v>
      </c>
      <c r="CY232" s="87">
        <v>266.0</v>
      </c>
      <c r="CZ232" s="87">
        <v>3.0</v>
      </c>
      <c r="DA232" s="87">
        <v>21.0</v>
      </c>
      <c r="DB232" s="87">
        <v>943.0</v>
      </c>
      <c r="DC232" s="87">
        <v>470.0</v>
      </c>
      <c r="DD232" s="87">
        <v>772.0</v>
      </c>
      <c r="DE232" s="87">
        <v>124.0</v>
      </c>
      <c r="DF232" s="87">
        <v>157.0</v>
      </c>
      <c r="DG232" s="87">
        <v>313.0</v>
      </c>
      <c r="DH232" s="87">
        <v>16.0</v>
      </c>
      <c r="DI232" s="87"/>
      <c r="DJ232" s="87">
        <v>4.0</v>
      </c>
      <c r="DK232" s="87">
        <v>147.0</v>
      </c>
      <c r="DL232" s="87">
        <v>435.0</v>
      </c>
      <c r="DM232" s="87">
        <v>3.0</v>
      </c>
      <c r="DN232" s="87">
        <v>3.0</v>
      </c>
      <c r="DO232" s="87">
        <v>1384.0</v>
      </c>
      <c r="DP232" s="87">
        <v>5.0</v>
      </c>
      <c r="DQ232" s="87">
        <v>697.0</v>
      </c>
      <c r="DR232" s="87">
        <v>580.0</v>
      </c>
      <c r="DS232" s="87">
        <v>1.0</v>
      </c>
      <c r="DT232" s="87"/>
      <c r="DU232" s="87"/>
      <c r="DV232" s="87">
        <v>15.0</v>
      </c>
      <c r="DW232" s="87"/>
      <c r="DX232" s="87">
        <v>97.0</v>
      </c>
      <c r="DY232" s="87">
        <v>232.0</v>
      </c>
      <c r="DZ232" s="87">
        <v>12.0</v>
      </c>
      <c r="EA232" s="87">
        <v>3.0</v>
      </c>
      <c r="EB232" s="87">
        <v>92.0</v>
      </c>
      <c r="EC232" s="87">
        <v>41.0</v>
      </c>
      <c r="ED232" s="87">
        <v>2768.0</v>
      </c>
      <c r="EE232" s="87">
        <v>118.0</v>
      </c>
      <c r="EF232" s="87">
        <v>31.0</v>
      </c>
      <c r="EG232" s="87">
        <v>319.0</v>
      </c>
      <c r="EH232" s="87"/>
      <c r="EI232" s="87">
        <v>43.0</v>
      </c>
      <c r="EJ232" s="87">
        <v>5652.0</v>
      </c>
      <c r="EK232" s="88"/>
      <c r="EL232" s="88"/>
      <c r="EM232" s="88"/>
      <c r="EN232" s="88"/>
      <c r="EO232" s="88"/>
      <c r="EP232" s="88"/>
      <c r="EQ232" s="90"/>
    </row>
    <row r="233" ht="12.0" customHeight="1">
      <c r="A233" s="89">
        <v>1.0630138E8</v>
      </c>
      <c r="B233" s="89" t="s">
        <v>1686</v>
      </c>
      <c r="C233" s="89" t="s">
        <v>1549</v>
      </c>
      <c r="D233" s="89" t="s">
        <v>1687</v>
      </c>
      <c r="E233" s="89" t="s">
        <v>1688</v>
      </c>
      <c r="F233" s="89" t="s">
        <v>1689</v>
      </c>
      <c r="G233" s="89" t="s">
        <v>1690</v>
      </c>
      <c r="H233" s="89" t="s">
        <v>475</v>
      </c>
      <c r="I233" s="89" t="s">
        <v>456</v>
      </c>
      <c r="J233" s="89" t="s">
        <v>437</v>
      </c>
      <c r="K233" s="89" t="s">
        <v>784</v>
      </c>
      <c r="L233" s="89" t="s">
        <v>1561</v>
      </c>
      <c r="M233" s="89" t="s">
        <v>1612</v>
      </c>
      <c r="N233" s="89" t="s">
        <v>441</v>
      </c>
      <c r="O233" s="87">
        <v>713.0</v>
      </c>
      <c r="P233" s="87"/>
      <c r="Q233" s="87"/>
      <c r="R233" s="87"/>
      <c r="S233" s="87"/>
      <c r="T233" s="87"/>
      <c r="U233" s="87">
        <v>422.0</v>
      </c>
      <c r="V233" s="87">
        <v>291.0</v>
      </c>
      <c r="W233" s="87"/>
      <c r="X233" s="87"/>
      <c r="Y233" s="87"/>
      <c r="Z233" s="87"/>
      <c r="AA233" s="87">
        <v>20.0</v>
      </c>
      <c r="AB233" s="87">
        <v>43.0</v>
      </c>
      <c r="AC233" s="87">
        <v>81.0</v>
      </c>
      <c r="AD233" s="87">
        <v>160.0</v>
      </c>
      <c r="AE233" s="87">
        <v>195.0</v>
      </c>
      <c r="AF233" s="87">
        <v>205.0</v>
      </c>
      <c r="AG233" s="87">
        <v>9.0</v>
      </c>
      <c r="AH233" s="87">
        <v>122.0</v>
      </c>
      <c r="AI233" s="87">
        <v>590.0</v>
      </c>
      <c r="AJ233" s="87">
        <v>1.0</v>
      </c>
      <c r="AK233" s="87"/>
      <c r="AL233" s="87">
        <v>131.0</v>
      </c>
      <c r="AM233" s="87"/>
      <c r="AN233" s="87">
        <v>20.0</v>
      </c>
      <c r="AO233" s="87">
        <v>286.0</v>
      </c>
      <c r="AP233" s="87">
        <v>5.0</v>
      </c>
      <c r="AQ233" s="87">
        <v>271.0</v>
      </c>
      <c r="AR233" s="87"/>
      <c r="AS233" s="87"/>
      <c r="AT233" s="87"/>
      <c r="AU233" s="87">
        <v>713.0</v>
      </c>
      <c r="AV233" s="87"/>
      <c r="AW233" s="87"/>
      <c r="AX233" s="87"/>
      <c r="AY233" s="87"/>
      <c r="AZ233" s="87"/>
      <c r="BA233" s="87"/>
      <c r="BB233" s="87"/>
      <c r="BC233" s="87"/>
      <c r="BD233" s="87"/>
      <c r="BE233" s="87"/>
      <c r="BF233" s="87"/>
      <c r="BG233" s="87">
        <v>713.0</v>
      </c>
      <c r="BH233" s="87"/>
      <c r="BI233" s="87">
        <v>27445.0</v>
      </c>
      <c r="BJ233" s="87"/>
      <c r="BK233" s="87"/>
      <c r="BL233" s="87">
        <v>713.0</v>
      </c>
      <c r="BM233" s="87"/>
      <c r="BN233" s="87"/>
      <c r="BO233" s="87"/>
      <c r="BP233" s="87">
        <v>7.0</v>
      </c>
      <c r="BQ233" s="87">
        <v>82.0</v>
      </c>
      <c r="BR233" s="87">
        <v>12.0</v>
      </c>
      <c r="BS233" s="87">
        <v>247.0</v>
      </c>
      <c r="BT233" s="87"/>
      <c r="BU233" s="87"/>
      <c r="BV233" s="87">
        <v>14.0</v>
      </c>
      <c r="BW233" s="87">
        <v>222.0</v>
      </c>
      <c r="BX233" s="87">
        <v>104.0</v>
      </c>
      <c r="BY233" s="87"/>
      <c r="BZ233" s="87"/>
      <c r="CA233" s="87">
        <v>25.0</v>
      </c>
      <c r="CB233" s="87"/>
      <c r="CC233" s="87"/>
      <c r="CD233" s="87"/>
      <c r="CE233" s="87"/>
      <c r="CF233" s="87"/>
      <c r="CG233" s="87">
        <v>23.0</v>
      </c>
      <c r="CH233" s="87">
        <v>690.0</v>
      </c>
      <c r="CI233" s="87"/>
      <c r="CJ233" s="87">
        <v>414.0</v>
      </c>
      <c r="CK233" s="87">
        <v>89.0</v>
      </c>
      <c r="CL233" s="87">
        <v>168.0</v>
      </c>
      <c r="CM233" s="87">
        <v>1.0</v>
      </c>
      <c r="CN233" s="87"/>
      <c r="CO233" s="87">
        <v>41.0</v>
      </c>
      <c r="CP233" s="87"/>
      <c r="CQ233" s="87"/>
      <c r="CR233" s="87"/>
      <c r="CS233" s="87"/>
      <c r="CT233" s="87">
        <v>45.0</v>
      </c>
      <c r="CU233" s="87">
        <v>5.0</v>
      </c>
      <c r="CV233" s="87">
        <v>2.0</v>
      </c>
      <c r="CW233" s="87">
        <v>35.0</v>
      </c>
      <c r="CX233" s="87">
        <v>2.0</v>
      </c>
      <c r="CY233" s="87">
        <v>13.0</v>
      </c>
      <c r="CZ233" s="87"/>
      <c r="DA233" s="87"/>
      <c r="DB233" s="87">
        <v>44.0</v>
      </c>
      <c r="DC233" s="87">
        <v>339.0</v>
      </c>
      <c r="DD233" s="87">
        <v>48.0</v>
      </c>
      <c r="DE233" s="87">
        <v>22.0</v>
      </c>
      <c r="DF233" s="87">
        <v>26.0</v>
      </c>
      <c r="DG233" s="87">
        <v>62.0</v>
      </c>
      <c r="DH233" s="87"/>
      <c r="DI233" s="87"/>
      <c r="DJ233" s="87"/>
      <c r="DK233" s="87">
        <v>3.0</v>
      </c>
      <c r="DL233" s="87">
        <v>48.0</v>
      </c>
      <c r="DM233" s="87">
        <v>19.0</v>
      </c>
      <c r="DN233" s="87"/>
      <c r="DO233" s="87">
        <v>275.0</v>
      </c>
      <c r="DP233" s="87"/>
      <c r="DQ233" s="87">
        <v>164.0</v>
      </c>
      <c r="DR233" s="87">
        <v>27.0</v>
      </c>
      <c r="DS233" s="87"/>
      <c r="DT233" s="87"/>
      <c r="DU233" s="87"/>
      <c r="DV233" s="87">
        <v>2.0</v>
      </c>
      <c r="DW233" s="87"/>
      <c r="DX233" s="87">
        <v>11.0</v>
      </c>
      <c r="DY233" s="87">
        <v>3.0</v>
      </c>
      <c r="DZ233" s="87"/>
      <c r="EA233" s="87"/>
      <c r="EB233" s="87">
        <v>15.0</v>
      </c>
      <c r="EC233" s="87">
        <v>3.0</v>
      </c>
      <c r="ED233" s="87">
        <v>176.0</v>
      </c>
      <c r="EE233" s="87">
        <v>37.0</v>
      </c>
      <c r="EF233" s="87"/>
      <c r="EG233" s="87">
        <v>5.0</v>
      </c>
      <c r="EH233" s="87"/>
      <c r="EI233" s="87">
        <v>2.0</v>
      </c>
      <c r="EJ233" s="87">
        <v>706.0</v>
      </c>
      <c r="EK233" s="88"/>
      <c r="EL233" s="88"/>
      <c r="EM233" s="88"/>
      <c r="EN233" s="88"/>
      <c r="EO233" s="88"/>
      <c r="EP233" s="88"/>
      <c r="EQ233" s="90"/>
    </row>
    <row r="234" ht="12.0" customHeight="1">
      <c r="A234" s="89">
        <v>1.06301566E8</v>
      </c>
      <c r="B234" s="89" t="s">
        <v>1691</v>
      </c>
      <c r="C234" s="89" t="s">
        <v>1549</v>
      </c>
      <c r="D234" s="89" t="s">
        <v>1692</v>
      </c>
      <c r="E234" s="89" t="s">
        <v>1693</v>
      </c>
      <c r="F234" s="89" t="s">
        <v>1628</v>
      </c>
      <c r="G234" s="89" t="s">
        <v>1694</v>
      </c>
      <c r="H234" s="89" t="s">
        <v>503</v>
      </c>
      <c r="I234" s="89" t="s">
        <v>456</v>
      </c>
      <c r="J234" s="89" t="s">
        <v>469</v>
      </c>
      <c r="K234" s="89" t="s">
        <v>784</v>
      </c>
      <c r="L234" s="89" t="s">
        <v>1574</v>
      </c>
      <c r="M234" s="89" t="s">
        <v>1555</v>
      </c>
      <c r="N234" s="89" t="s">
        <v>441</v>
      </c>
      <c r="O234" s="87">
        <v>10504.0</v>
      </c>
      <c r="P234" s="87"/>
      <c r="Q234" s="87">
        <v>508.0</v>
      </c>
      <c r="R234" s="87"/>
      <c r="S234" s="87"/>
      <c r="T234" s="87"/>
      <c r="U234" s="87">
        <v>4986.0</v>
      </c>
      <c r="V234" s="87">
        <v>6026.0</v>
      </c>
      <c r="W234" s="87"/>
      <c r="X234" s="87">
        <v>1862.0</v>
      </c>
      <c r="Y234" s="87">
        <v>239.0</v>
      </c>
      <c r="Z234" s="87">
        <v>1465.0</v>
      </c>
      <c r="AA234" s="87">
        <v>1444.0</v>
      </c>
      <c r="AB234" s="87">
        <v>889.0</v>
      </c>
      <c r="AC234" s="87">
        <v>1204.0</v>
      </c>
      <c r="AD234" s="87">
        <v>1487.0</v>
      </c>
      <c r="AE234" s="87">
        <v>1123.0</v>
      </c>
      <c r="AF234" s="87">
        <v>1298.0</v>
      </c>
      <c r="AG234" s="87">
        <v>1.0</v>
      </c>
      <c r="AH234" s="87">
        <v>6269.0</v>
      </c>
      <c r="AI234" s="87">
        <v>4628.0</v>
      </c>
      <c r="AJ234" s="87">
        <v>115.0</v>
      </c>
      <c r="AK234" s="87">
        <v>12.0</v>
      </c>
      <c r="AL234" s="87">
        <v>577.0</v>
      </c>
      <c r="AM234" s="87">
        <v>41.0</v>
      </c>
      <c r="AN234" s="87">
        <v>267.0</v>
      </c>
      <c r="AO234" s="87">
        <v>4876.0</v>
      </c>
      <c r="AP234" s="87">
        <v>12.0</v>
      </c>
      <c r="AQ234" s="87">
        <v>5227.0</v>
      </c>
      <c r="AR234" s="87"/>
      <c r="AS234" s="87">
        <v>7497.0</v>
      </c>
      <c r="AT234" s="87">
        <v>1078.0</v>
      </c>
      <c r="AU234" s="87">
        <v>163.0</v>
      </c>
      <c r="AV234" s="87">
        <v>43.0</v>
      </c>
      <c r="AW234" s="87">
        <v>266.0</v>
      </c>
      <c r="AX234" s="87">
        <v>88.0</v>
      </c>
      <c r="AY234" s="87"/>
      <c r="AZ234" s="87"/>
      <c r="BA234" s="87">
        <v>25.0</v>
      </c>
      <c r="BB234" s="87"/>
      <c r="BC234" s="87">
        <v>1852.0</v>
      </c>
      <c r="BD234" s="87"/>
      <c r="BE234" s="87">
        <v>5589.0</v>
      </c>
      <c r="BF234" s="87">
        <v>9.0</v>
      </c>
      <c r="BG234" s="87">
        <v>5414.0</v>
      </c>
      <c r="BH234" s="87"/>
      <c r="BI234" s="87">
        <v>52885.0</v>
      </c>
      <c r="BJ234" s="87">
        <v>3257.0</v>
      </c>
      <c r="BK234" s="87">
        <v>2675.0</v>
      </c>
      <c r="BL234" s="87">
        <v>1909.0</v>
      </c>
      <c r="BM234" s="87">
        <v>1852.0</v>
      </c>
      <c r="BN234" s="87">
        <v>1318.0</v>
      </c>
      <c r="BO234" s="87">
        <v>1.0</v>
      </c>
      <c r="BP234" s="87">
        <v>7832.0</v>
      </c>
      <c r="BQ234" s="87">
        <v>277.0</v>
      </c>
      <c r="BR234" s="87">
        <v>188.0</v>
      </c>
      <c r="BS234" s="87">
        <v>1050.0</v>
      </c>
      <c r="BT234" s="87">
        <v>94.0</v>
      </c>
      <c r="BU234" s="87">
        <v>108.0</v>
      </c>
      <c r="BV234" s="87">
        <v>336.0</v>
      </c>
      <c r="BW234" s="87">
        <v>273.0</v>
      </c>
      <c r="BX234" s="87">
        <v>511.0</v>
      </c>
      <c r="BY234" s="87"/>
      <c r="BZ234" s="87"/>
      <c r="CA234" s="87">
        <v>181.0</v>
      </c>
      <c r="CB234" s="87">
        <v>112.0</v>
      </c>
      <c r="CC234" s="87">
        <v>3.0</v>
      </c>
      <c r="CD234" s="87">
        <v>35.0</v>
      </c>
      <c r="CE234" s="87">
        <v>12.0</v>
      </c>
      <c r="CF234" s="87"/>
      <c r="CG234" s="87">
        <v>167.0</v>
      </c>
      <c r="CH234" s="87">
        <v>10845.0</v>
      </c>
      <c r="CI234" s="87"/>
      <c r="CJ234" s="87">
        <v>3061.0</v>
      </c>
      <c r="CK234" s="87">
        <v>6185.0</v>
      </c>
      <c r="CL234" s="87">
        <v>1270.0</v>
      </c>
      <c r="CM234" s="87">
        <v>77.0</v>
      </c>
      <c r="CN234" s="87"/>
      <c r="CO234" s="87">
        <v>173.0</v>
      </c>
      <c r="CP234" s="87">
        <v>8.0</v>
      </c>
      <c r="CQ234" s="87">
        <v>201.0</v>
      </c>
      <c r="CR234" s="87">
        <v>37.0</v>
      </c>
      <c r="CS234" s="87"/>
      <c r="CT234" s="87">
        <v>849.0</v>
      </c>
      <c r="CU234" s="87">
        <v>162.0</v>
      </c>
      <c r="CV234" s="87">
        <v>38.0</v>
      </c>
      <c r="CW234" s="87">
        <v>316.0</v>
      </c>
      <c r="CX234" s="87">
        <v>627.0</v>
      </c>
      <c r="CY234" s="87">
        <v>272.0</v>
      </c>
      <c r="CZ234" s="87">
        <v>9.0</v>
      </c>
      <c r="DA234" s="87">
        <v>8.0</v>
      </c>
      <c r="DB234" s="87">
        <v>1339.0</v>
      </c>
      <c r="DC234" s="87">
        <v>267.0</v>
      </c>
      <c r="DD234" s="87">
        <v>648.0</v>
      </c>
      <c r="DE234" s="87">
        <v>123.0</v>
      </c>
      <c r="DF234" s="87">
        <v>134.0</v>
      </c>
      <c r="DG234" s="87">
        <v>343.0</v>
      </c>
      <c r="DH234" s="87">
        <v>1989.0</v>
      </c>
      <c r="DI234" s="87">
        <v>1853.0</v>
      </c>
      <c r="DJ234" s="87">
        <v>7.0</v>
      </c>
      <c r="DK234" s="87">
        <v>141.0</v>
      </c>
      <c r="DL234" s="87">
        <v>1879.0</v>
      </c>
      <c r="DM234" s="87">
        <v>8.0</v>
      </c>
      <c r="DN234" s="87"/>
      <c r="DO234" s="87">
        <v>2721.0</v>
      </c>
      <c r="DP234" s="87">
        <v>1855.0</v>
      </c>
      <c r="DQ234" s="87">
        <v>844.0</v>
      </c>
      <c r="DR234" s="87">
        <v>539.0</v>
      </c>
      <c r="DS234" s="87">
        <v>7.0</v>
      </c>
      <c r="DT234" s="87">
        <v>4.0</v>
      </c>
      <c r="DU234" s="87">
        <v>6.0</v>
      </c>
      <c r="DV234" s="87">
        <v>207.0</v>
      </c>
      <c r="DW234" s="87">
        <v>9.0</v>
      </c>
      <c r="DX234" s="87">
        <v>440.0</v>
      </c>
      <c r="DY234" s="87">
        <v>624.0</v>
      </c>
      <c r="DZ234" s="87">
        <v>100.0</v>
      </c>
      <c r="EA234" s="87">
        <v>11.0</v>
      </c>
      <c r="EB234" s="87">
        <v>145.0</v>
      </c>
      <c r="EC234" s="87">
        <v>59.0</v>
      </c>
      <c r="ED234" s="87">
        <v>3357.0</v>
      </c>
      <c r="EE234" s="87">
        <v>84.0</v>
      </c>
      <c r="EF234" s="87">
        <v>50.0</v>
      </c>
      <c r="EG234" s="87">
        <v>442.0</v>
      </c>
      <c r="EH234" s="87">
        <v>41.0</v>
      </c>
      <c r="EI234" s="87">
        <v>80.0</v>
      </c>
      <c r="EJ234" s="87">
        <v>10399.0</v>
      </c>
      <c r="EK234" s="88"/>
      <c r="EL234" s="88"/>
      <c r="EM234" s="88"/>
      <c r="EN234" s="88"/>
      <c r="EO234" s="88"/>
      <c r="EP234" s="88"/>
      <c r="EQ234" s="90"/>
    </row>
    <row r="235" ht="12.0" customHeight="1">
      <c r="A235" s="89">
        <v>1.06304079E8</v>
      </c>
      <c r="B235" s="89" t="s">
        <v>1695</v>
      </c>
      <c r="C235" s="89" t="s">
        <v>1549</v>
      </c>
      <c r="D235" s="89" t="s">
        <v>1696</v>
      </c>
      <c r="E235" s="89" t="s">
        <v>1697</v>
      </c>
      <c r="F235" s="89" t="s">
        <v>1681</v>
      </c>
      <c r="G235" s="89" t="s">
        <v>1682</v>
      </c>
      <c r="H235" s="89" t="s">
        <v>696</v>
      </c>
      <c r="I235" s="89" t="s">
        <v>456</v>
      </c>
      <c r="J235" s="89" t="s">
        <v>499</v>
      </c>
      <c r="K235" s="89" t="s">
        <v>1553</v>
      </c>
      <c r="L235" s="89" t="s">
        <v>1554</v>
      </c>
      <c r="M235" s="89" t="s">
        <v>1555</v>
      </c>
      <c r="N235" s="89" t="s">
        <v>441</v>
      </c>
      <c r="O235" s="87"/>
      <c r="P235" s="87"/>
      <c r="Q235" s="87"/>
      <c r="R235" s="87"/>
      <c r="S235" s="87">
        <v>370.0</v>
      </c>
      <c r="T235" s="87"/>
      <c r="U235" s="87">
        <v>205.0</v>
      </c>
      <c r="V235" s="87">
        <v>165.0</v>
      </c>
      <c r="W235" s="87"/>
      <c r="X235" s="87"/>
      <c r="Y235" s="87"/>
      <c r="Z235" s="87"/>
      <c r="AA235" s="87"/>
      <c r="AB235" s="87">
        <v>22.0</v>
      </c>
      <c r="AC235" s="87">
        <v>57.0</v>
      </c>
      <c r="AD235" s="87">
        <v>86.0</v>
      </c>
      <c r="AE235" s="87">
        <v>104.0</v>
      </c>
      <c r="AF235" s="87">
        <v>84.0</v>
      </c>
      <c r="AG235" s="87">
        <v>17.0</v>
      </c>
      <c r="AH235" s="87">
        <v>60.0</v>
      </c>
      <c r="AI235" s="87">
        <v>310.0</v>
      </c>
      <c r="AJ235" s="87"/>
      <c r="AK235" s="87"/>
      <c r="AL235" s="87">
        <v>49.0</v>
      </c>
      <c r="AM235" s="87"/>
      <c r="AN235" s="87"/>
      <c r="AO235" s="87">
        <v>272.0</v>
      </c>
      <c r="AP235" s="87">
        <v>27.0</v>
      </c>
      <c r="AQ235" s="87">
        <v>22.0</v>
      </c>
      <c r="AR235" s="87"/>
      <c r="AS235" s="87">
        <v>10.0</v>
      </c>
      <c r="AT235" s="87">
        <v>5.0</v>
      </c>
      <c r="AU235" s="87">
        <v>339.0</v>
      </c>
      <c r="AV235" s="87">
        <v>16.0</v>
      </c>
      <c r="AW235" s="87"/>
      <c r="AX235" s="87"/>
      <c r="AY235" s="87"/>
      <c r="AZ235" s="87"/>
      <c r="BA235" s="87"/>
      <c r="BB235" s="87"/>
      <c r="BC235" s="87"/>
      <c r="BD235" s="87"/>
      <c r="BE235" s="87"/>
      <c r="BF235" s="87"/>
      <c r="BG235" s="87">
        <v>370.0</v>
      </c>
      <c r="BH235" s="87"/>
      <c r="BI235" s="87">
        <v>4832.0</v>
      </c>
      <c r="BJ235" s="87"/>
      <c r="BK235" s="87"/>
      <c r="BL235" s="87">
        <v>370.0</v>
      </c>
      <c r="BM235" s="87"/>
      <c r="BN235" s="87"/>
      <c r="BO235" s="87"/>
      <c r="BP235" s="87">
        <v>21.0</v>
      </c>
      <c r="BQ235" s="87">
        <v>37.0</v>
      </c>
      <c r="BR235" s="87">
        <v>1.0</v>
      </c>
      <c r="BS235" s="87">
        <v>33.0</v>
      </c>
      <c r="BT235" s="87"/>
      <c r="BU235" s="87"/>
      <c r="BV235" s="87">
        <v>6.0</v>
      </c>
      <c r="BW235" s="87"/>
      <c r="BX235" s="87">
        <v>271.0</v>
      </c>
      <c r="BY235" s="87"/>
      <c r="BZ235" s="87"/>
      <c r="CA235" s="87">
        <v>1.0</v>
      </c>
      <c r="CB235" s="87"/>
      <c r="CC235" s="87"/>
      <c r="CD235" s="87"/>
      <c r="CE235" s="87"/>
      <c r="CF235" s="87"/>
      <c r="CG235" s="87"/>
      <c r="CH235" s="87">
        <v>370.0</v>
      </c>
      <c r="CI235" s="87"/>
      <c r="CJ235" s="87">
        <v>239.0</v>
      </c>
      <c r="CK235" s="87">
        <v>27.0</v>
      </c>
      <c r="CL235" s="87">
        <v>87.0</v>
      </c>
      <c r="CM235" s="87">
        <v>17.0</v>
      </c>
      <c r="CN235" s="87"/>
      <c r="CO235" s="87"/>
      <c r="CP235" s="87"/>
      <c r="CQ235" s="87"/>
      <c r="CR235" s="87"/>
      <c r="CS235" s="87"/>
      <c r="CT235" s="87">
        <v>4.0</v>
      </c>
      <c r="CU235" s="87">
        <v>2.0</v>
      </c>
      <c r="CV235" s="87"/>
      <c r="CW235" s="87"/>
      <c r="CX235" s="87"/>
      <c r="CY235" s="87">
        <v>36.0</v>
      </c>
      <c r="CZ235" s="87"/>
      <c r="DA235" s="87"/>
      <c r="DB235" s="87">
        <v>122.0</v>
      </c>
      <c r="DC235" s="87"/>
      <c r="DD235" s="87"/>
      <c r="DE235" s="87"/>
      <c r="DF235" s="87">
        <v>7.0</v>
      </c>
      <c r="DG235" s="87"/>
      <c r="DH235" s="87"/>
      <c r="DI235" s="87"/>
      <c r="DJ235" s="87"/>
      <c r="DK235" s="87">
        <v>13.0</v>
      </c>
      <c r="DL235" s="87">
        <v>72.0</v>
      </c>
      <c r="DM235" s="87">
        <v>114.0</v>
      </c>
      <c r="DN235" s="87"/>
      <c r="DO235" s="87"/>
      <c r="DP235" s="87"/>
      <c r="DQ235" s="87"/>
      <c r="DR235" s="87"/>
      <c r="DS235" s="87"/>
      <c r="DT235" s="87"/>
      <c r="DU235" s="87"/>
      <c r="DV235" s="87"/>
      <c r="DW235" s="87"/>
      <c r="DX235" s="87"/>
      <c r="DY235" s="87"/>
      <c r="DZ235" s="87"/>
      <c r="EA235" s="87"/>
      <c r="EB235" s="87"/>
      <c r="EC235" s="87"/>
      <c r="ED235" s="87">
        <v>370.0</v>
      </c>
      <c r="EE235" s="87"/>
      <c r="EF235" s="87"/>
      <c r="EG235" s="87"/>
      <c r="EH235" s="87"/>
      <c r="EI235" s="87">
        <v>5.0</v>
      </c>
      <c r="EJ235" s="87">
        <v>365.0</v>
      </c>
      <c r="EK235" s="88"/>
      <c r="EL235" s="88"/>
      <c r="EM235" s="88"/>
      <c r="EN235" s="88"/>
      <c r="EO235" s="88"/>
      <c r="EP235" s="88"/>
      <c r="EQ235" s="90"/>
    </row>
    <row r="236" ht="12.0" customHeight="1">
      <c r="A236" s="89">
        <v>1.06304113E8</v>
      </c>
      <c r="B236" s="89" t="s">
        <v>1698</v>
      </c>
      <c r="C236" s="89" t="s">
        <v>1549</v>
      </c>
      <c r="D236" s="89" t="s">
        <v>1699</v>
      </c>
      <c r="E236" s="89" t="s">
        <v>1633</v>
      </c>
      <c r="F236" s="89" t="s">
        <v>1634</v>
      </c>
      <c r="G236" s="89" t="s">
        <v>1635</v>
      </c>
      <c r="H236" s="89" t="s">
        <v>447</v>
      </c>
      <c r="I236" s="89" t="s">
        <v>456</v>
      </c>
      <c r="J236" s="89" t="s">
        <v>463</v>
      </c>
      <c r="K236" s="89" t="s">
        <v>885</v>
      </c>
      <c r="L236" s="89" t="s">
        <v>1636</v>
      </c>
      <c r="M236" s="89" t="s">
        <v>1637</v>
      </c>
      <c r="N236" s="89" t="s">
        <v>441</v>
      </c>
      <c r="O236" s="87">
        <v>1496.0</v>
      </c>
      <c r="P236" s="87"/>
      <c r="Q236" s="87"/>
      <c r="R236" s="87"/>
      <c r="S236" s="87"/>
      <c r="T236" s="87"/>
      <c r="U236" s="87">
        <v>789.0</v>
      </c>
      <c r="V236" s="87">
        <v>707.0</v>
      </c>
      <c r="W236" s="87"/>
      <c r="X236" s="87">
        <v>1051.0</v>
      </c>
      <c r="Y236" s="87">
        <v>445.0</v>
      </c>
      <c r="Z236" s="87"/>
      <c r="AA236" s="87"/>
      <c r="AB236" s="87"/>
      <c r="AC236" s="87"/>
      <c r="AD236" s="87"/>
      <c r="AE236" s="87"/>
      <c r="AF236" s="87"/>
      <c r="AG236" s="87"/>
      <c r="AH236" s="87">
        <v>411.0</v>
      </c>
      <c r="AI236" s="87">
        <v>980.0</v>
      </c>
      <c r="AJ236" s="87">
        <v>105.0</v>
      </c>
      <c r="AK236" s="87"/>
      <c r="AL236" s="87">
        <v>90.0</v>
      </c>
      <c r="AM236" s="87"/>
      <c r="AN236" s="87">
        <v>32.0</v>
      </c>
      <c r="AO236" s="87">
        <v>916.0</v>
      </c>
      <c r="AP236" s="87">
        <v>125.0</v>
      </c>
      <c r="AQ236" s="87">
        <v>299.0</v>
      </c>
      <c r="AR236" s="87">
        <v>34.0</v>
      </c>
      <c r="AS236" s="87">
        <v>1134.0</v>
      </c>
      <c r="AT236" s="87">
        <v>25.0</v>
      </c>
      <c r="AU236" s="87">
        <v>317.0</v>
      </c>
      <c r="AV236" s="87">
        <v>5.0</v>
      </c>
      <c r="AW236" s="87">
        <v>5.0</v>
      </c>
      <c r="AX236" s="87"/>
      <c r="AY236" s="87"/>
      <c r="AZ236" s="87"/>
      <c r="BA236" s="87"/>
      <c r="BB236" s="87">
        <v>10.0</v>
      </c>
      <c r="BC236" s="87"/>
      <c r="BD236" s="87"/>
      <c r="BE236" s="87">
        <v>804.0</v>
      </c>
      <c r="BF236" s="87">
        <v>15.0</v>
      </c>
      <c r="BG236" s="87">
        <v>677.0</v>
      </c>
      <c r="BH236" s="87"/>
      <c r="BI236" s="87">
        <v>8948.0</v>
      </c>
      <c r="BJ236" s="87">
        <v>674.0</v>
      </c>
      <c r="BK236" s="87">
        <v>399.0</v>
      </c>
      <c r="BL236" s="87">
        <v>331.0</v>
      </c>
      <c r="BM236" s="87"/>
      <c r="BN236" s="87">
        <v>81.0</v>
      </c>
      <c r="BO236" s="87">
        <v>11.0</v>
      </c>
      <c r="BP236" s="87">
        <v>1406.0</v>
      </c>
      <c r="BQ236" s="87">
        <v>26.0</v>
      </c>
      <c r="BR236" s="87">
        <v>3.0</v>
      </c>
      <c r="BS236" s="87"/>
      <c r="BT236" s="87">
        <v>1.0</v>
      </c>
      <c r="BU236" s="87"/>
      <c r="BV236" s="87">
        <v>6.0</v>
      </c>
      <c r="BW236" s="87">
        <v>5.0</v>
      </c>
      <c r="BX236" s="87">
        <v>5.0</v>
      </c>
      <c r="BY236" s="87"/>
      <c r="BZ236" s="87">
        <v>24.0</v>
      </c>
      <c r="CA236" s="87"/>
      <c r="CB236" s="87">
        <v>16.0</v>
      </c>
      <c r="CC236" s="87"/>
      <c r="CD236" s="87">
        <v>4.0</v>
      </c>
      <c r="CE236" s="87"/>
      <c r="CF236" s="87"/>
      <c r="CG236" s="87">
        <v>4.0</v>
      </c>
      <c r="CH236" s="87">
        <v>1492.0</v>
      </c>
      <c r="CI236" s="87"/>
      <c r="CJ236" s="87"/>
      <c r="CK236" s="87">
        <v>544.0</v>
      </c>
      <c r="CL236" s="87">
        <v>881.0</v>
      </c>
      <c r="CM236" s="87"/>
      <c r="CN236" s="87"/>
      <c r="CO236" s="87">
        <v>49.0</v>
      </c>
      <c r="CP236" s="87"/>
      <c r="CQ236" s="87">
        <v>15.0</v>
      </c>
      <c r="CR236" s="87">
        <v>7.0</v>
      </c>
      <c r="CS236" s="87"/>
      <c r="CT236" s="87">
        <v>43.0</v>
      </c>
      <c r="CU236" s="87">
        <v>3.0</v>
      </c>
      <c r="CV236" s="87">
        <v>6.0</v>
      </c>
      <c r="CW236" s="87">
        <v>28.0</v>
      </c>
      <c r="CX236" s="87">
        <v>137.0</v>
      </c>
      <c r="CY236" s="87">
        <v>259.0</v>
      </c>
      <c r="CZ236" s="87">
        <v>1.0</v>
      </c>
      <c r="DA236" s="87">
        <v>2.0</v>
      </c>
      <c r="DB236" s="87">
        <v>8.0</v>
      </c>
      <c r="DC236" s="87">
        <v>398.0</v>
      </c>
      <c r="DD236" s="87">
        <v>101.0</v>
      </c>
      <c r="DE236" s="87">
        <v>25.0</v>
      </c>
      <c r="DF236" s="87">
        <v>6.0</v>
      </c>
      <c r="DG236" s="87">
        <v>21.0</v>
      </c>
      <c r="DH236" s="87"/>
      <c r="DI236" s="87">
        <v>264.0</v>
      </c>
      <c r="DJ236" s="87">
        <v>20.0</v>
      </c>
      <c r="DK236" s="87">
        <v>45.0</v>
      </c>
      <c r="DL236" s="87">
        <v>119.0</v>
      </c>
      <c r="DM236" s="87">
        <v>3.0</v>
      </c>
      <c r="DN236" s="87">
        <v>7.0</v>
      </c>
      <c r="DO236" s="87">
        <v>295.0</v>
      </c>
      <c r="DP236" s="87">
        <v>3.0</v>
      </c>
      <c r="DQ236" s="87">
        <v>23.0</v>
      </c>
      <c r="DR236" s="87">
        <v>60.0</v>
      </c>
      <c r="DS236" s="87">
        <v>2.0</v>
      </c>
      <c r="DT236" s="87">
        <v>1.0</v>
      </c>
      <c r="DU236" s="87"/>
      <c r="DV236" s="87">
        <v>20.0</v>
      </c>
      <c r="DW236" s="87">
        <v>3.0</v>
      </c>
      <c r="DX236" s="87">
        <v>19.0</v>
      </c>
      <c r="DY236" s="87">
        <v>35.0</v>
      </c>
      <c r="DZ236" s="87">
        <v>38.0</v>
      </c>
      <c r="EA236" s="87">
        <v>12.0</v>
      </c>
      <c r="EB236" s="87">
        <v>13.0</v>
      </c>
      <c r="EC236" s="87">
        <v>1.0</v>
      </c>
      <c r="ED236" s="87">
        <v>920.0</v>
      </c>
      <c r="EE236" s="87">
        <v>51.0</v>
      </c>
      <c r="EF236" s="87">
        <v>2.0</v>
      </c>
      <c r="EG236" s="87">
        <v>1.0</v>
      </c>
      <c r="EH236" s="87"/>
      <c r="EI236" s="87">
        <v>12.0</v>
      </c>
      <c r="EJ236" s="87">
        <v>1481.0</v>
      </c>
      <c r="EK236" s="88"/>
      <c r="EL236" s="88"/>
      <c r="EM236" s="88"/>
      <c r="EN236" s="88"/>
      <c r="EO236" s="88"/>
      <c r="EP236" s="88"/>
      <c r="EQ236" s="90"/>
    </row>
    <row r="237" ht="12.0" customHeight="1">
      <c r="A237" s="89">
        <v>1.06304159E8</v>
      </c>
      <c r="B237" s="89" t="s">
        <v>1700</v>
      </c>
      <c r="C237" s="89" t="s">
        <v>1549</v>
      </c>
      <c r="D237" s="89" t="s">
        <v>1701</v>
      </c>
      <c r="E237" s="89" t="s">
        <v>1702</v>
      </c>
      <c r="F237" s="89" t="s">
        <v>1549</v>
      </c>
      <c r="G237" s="89" t="s">
        <v>1703</v>
      </c>
      <c r="H237" s="89" t="s">
        <v>475</v>
      </c>
      <c r="I237" s="89" t="s">
        <v>456</v>
      </c>
      <c r="J237" s="89" t="s">
        <v>499</v>
      </c>
      <c r="K237" s="89" t="s">
        <v>1553</v>
      </c>
      <c r="L237" s="89" t="s">
        <v>1554</v>
      </c>
      <c r="M237" s="89" t="s">
        <v>1555</v>
      </c>
      <c r="N237" s="89" t="s">
        <v>441</v>
      </c>
      <c r="O237" s="87">
        <v>33.0</v>
      </c>
      <c r="P237" s="87">
        <v>25.0</v>
      </c>
      <c r="Q237" s="87"/>
      <c r="R237" s="87"/>
      <c r="S237" s="87"/>
      <c r="T237" s="87"/>
      <c r="U237" s="87">
        <v>30.0</v>
      </c>
      <c r="V237" s="87">
        <v>28.0</v>
      </c>
      <c r="W237" s="87"/>
      <c r="X237" s="87">
        <v>22.0</v>
      </c>
      <c r="Y237" s="87">
        <v>33.0</v>
      </c>
      <c r="Z237" s="87"/>
      <c r="AA237" s="87"/>
      <c r="AB237" s="87"/>
      <c r="AC237" s="87"/>
      <c r="AD237" s="87"/>
      <c r="AE237" s="87"/>
      <c r="AF237" s="87"/>
      <c r="AG237" s="87">
        <v>3.0</v>
      </c>
      <c r="AH237" s="87">
        <v>33.0</v>
      </c>
      <c r="AI237" s="87">
        <v>25.0</v>
      </c>
      <c r="AJ237" s="87"/>
      <c r="AK237" s="87"/>
      <c r="AL237" s="87"/>
      <c r="AM237" s="87"/>
      <c r="AN237" s="87"/>
      <c r="AO237" s="87">
        <v>23.0</v>
      </c>
      <c r="AP237" s="87">
        <v>2.0</v>
      </c>
      <c r="AQ237" s="87"/>
      <c r="AR237" s="87">
        <v>33.0</v>
      </c>
      <c r="AS237" s="87">
        <v>3.0</v>
      </c>
      <c r="AT237" s="87"/>
      <c r="AU237" s="87">
        <v>55.0</v>
      </c>
      <c r="AV237" s="87"/>
      <c r="AW237" s="87"/>
      <c r="AX237" s="87"/>
      <c r="AY237" s="87"/>
      <c r="AZ237" s="87"/>
      <c r="BA237" s="87"/>
      <c r="BB237" s="87"/>
      <c r="BC237" s="87"/>
      <c r="BD237" s="87"/>
      <c r="BE237" s="87"/>
      <c r="BF237" s="87"/>
      <c r="BG237" s="87">
        <v>58.0</v>
      </c>
      <c r="BH237" s="87"/>
      <c r="BI237" s="87">
        <v>6494.0</v>
      </c>
      <c r="BJ237" s="87"/>
      <c r="BK237" s="87">
        <v>1.0</v>
      </c>
      <c r="BL237" s="87">
        <v>57.0</v>
      </c>
      <c r="BM237" s="87"/>
      <c r="BN237" s="87"/>
      <c r="BO237" s="87"/>
      <c r="BP237" s="87">
        <v>41.0</v>
      </c>
      <c r="BQ237" s="87">
        <v>15.0</v>
      </c>
      <c r="BR237" s="87"/>
      <c r="BS237" s="87">
        <v>1.0</v>
      </c>
      <c r="BT237" s="87">
        <v>1.0</v>
      </c>
      <c r="BU237" s="87"/>
      <c r="BV237" s="87"/>
      <c r="BW237" s="87"/>
      <c r="BX237" s="87"/>
      <c r="BY237" s="87"/>
      <c r="BZ237" s="87"/>
      <c r="CA237" s="87"/>
      <c r="CB237" s="87"/>
      <c r="CC237" s="87"/>
      <c r="CD237" s="87"/>
      <c r="CE237" s="87"/>
      <c r="CF237" s="87"/>
      <c r="CG237" s="87"/>
      <c r="CH237" s="87">
        <v>58.0</v>
      </c>
      <c r="CI237" s="87"/>
      <c r="CJ237" s="87"/>
      <c r="CK237" s="87">
        <v>51.0</v>
      </c>
      <c r="CL237" s="87">
        <v>7.0</v>
      </c>
      <c r="CM237" s="87"/>
      <c r="CN237" s="87"/>
      <c r="CO237" s="87"/>
      <c r="CP237" s="87"/>
      <c r="CQ237" s="87"/>
      <c r="CR237" s="87"/>
      <c r="CS237" s="87"/>
      <c r="CT237" s="87"/>
      <c r="CU237" s="87"/>
      <c r="CV237" s="87">
        <v>1.0</v>
      </c>
      <c r="CW237" s="87">
        <v>2.0</v>
      </c>
      <c r="CX237" s="87"/>
      <c r="CY237" s="87">
        <v>13.0</v>
      </c>
      <c r="CZ237" s="87"/>
      <c r="DA237" s="87"/>
      <c r="DB237" s="87">
        <v>3.0</v>
      </c>
      <c r="DC237" s="87">
        <v>5.0</v>
      </c>
      <c r="DD237" s="87"/>
      <c r="DE237" s="87"/>
      <c r="DF237" s="87">
        <v>1.0</v>
      </c>
      <c r="DG237" s="87"/>
      <c r="DH237" s="87"/>
      <c r="DI237" s="87"/>
      <c r="DJ237" s="87">
        <v>4.0</v>
      </c>
      <c r="DK237" s="87"/>
      <c r="DL237" s="87">
        <v>20.0</v>
      </c>
      <c r="DM237" s="87">
        <v>4.0</v>
      </c>
      <c r="DN237" s="87">
        <v>5.0</v>
      </c>
      <c r="DO237" s="87">
        <v>21.0</v>
      </c>
      <c r="DP237" s="87"/>
      <c r="DQ237" s="87"/>
      <c r="DR237" s="87"/>
      <c r="DS237" s="87"/>
      <c r="DT237" s="87"/>
      <c r="DU237" s="87"/>
      <c r="DV237" s="87"/>
      <c r="DW237" s="87"/>
      <c r="DX237" s="87"/>
      <c r="DY237" s="87"/>
      <c r="DZ237" s="87"/>
      <c r="EA237" s="87"/>
      <c r="EB237" s="87"/>
      <c r="EC237" s="87"/>
      <c r="ED237" s="87">
        <v>37.0</v>
      </c>
      <c r="EE237" s="87"/>
      <c r="EF237" s="87"/>
      <c r="EG237" s="87"/>
      <c r="EH237" s="87"/>
      <c r="EI237" s="87"/>
      <c r="EJ237" s="87">
        <v>58.0</v>
      </c>
      <c r="EK237" s="88"/>
      <c r="EL237" s="88"/>
      <c r="EM237" s="88"/>
      <c r="EN237" s="88"/>
      <c r="EO237" s="88"/>
      <c r="EP237" s="88"/>
      <c r="EQ237" s="90"/>
    </row>
    <row r="238" ht="12.0" customHeight="1">
      <c r="A238" s="89">
        <v>1.06304409E8</v>
      </c>
      <c r="B238" s="89" t="s">
        <v>1704</v>
      </c>
      <c r="C238" s="89" t="s">
        <v>1549</v>
      </c>
      <c r="D238" s="89" t="s">
        <v>1705</v>
      </c>
      <c r="E238" s="89" t="s">
        <v>1706</v>
      </c>
      <c r="F238" s="89" t="s">
        <v>1566</v>
      </c>
      <c r="G238" s="89" t="s">
        <v>1707</v>
      </c>
      <c r="H238" s="89" t="s">
        <v>447</v>
      </c>
      <c r="I238" s="89" t="s">
        <v>456</v>
      </c>
      <c r="J238" s="89" t="s">
        <v>469</v>
      </c>
      <c r="K238" s="89" t="s">
        <v>1553</v>
      </c>
      <c r="L238" s="89" t="s">
        <v>1554</v>
      </c>
      <c r="M238" s="89" t="s">
        <v>1652</v>
      </c>
      <c r="N238" s="89" t="s">
        <v>441</v>
      </c>
      <c r="O238" s="87">
        <v>31458.0</v>
      </c>
      <c r="P238" s="87"/>
      <c r="Q238" s="87"/>
      <c r="R238" s="87"/>
      <c r="S238" s="87"/>
      <c r="T238" s="87"/>
      <c r="U238" s="87">
        <v>12673.0</v>
      </c>
      <c r="V238" s="87">
        <v>18785.0</v>
      </c>
      <c r="W238" s="87"/>
      <c r="X238" s="87">
        <v>7658.0</v>
      </c>
      <c r="Y238" s="87">
        <v>507.0</v>
      </c>
      <c r="Z238" s="87">
        <v>2587.0</v>
      </c>
      <c r="AA238" s="87">
        <v>5461.0</v>
      </c>
      <c r="AB238" s="87">
        <v>1902.0</v>
      </c>
      <c r="AC238" s="87">
        <v>2394.0</v>
      </c>
      <c r="AD238" s="87">
        <v>3239.0</v>
      </c>
      <c r="AE238" s="87">
        <v>3779.0</v>
      </c>
      <c r="AF238" s="87">
        <v>3925.0</v>
      </c>
      <c r="AG238" s="87">
        <v>6.0</v>
      </c>
      <c r="AH238" s="87">
        <v>9987.0</v>
      </c>
      <c r="AI238" s="87">
        <v>20615.0</v>
      </c>
      <c r="AJ238" s="87">
        <v>856.0</v>
      </c>
      <c r="AK238" s="87">
        <v>74.0</v>
      </c>
      <c r="AL238" s="87">
        <v>5533.0</v>
      </c>
      <c r="AM238" s="87">
        <v>195.0</v>
      </c>
      <c r="AN238" s="87">
        <v>956.0</v>
      </c>
      <c r="AO238" s="87">
        <v>13423.0</v>
      </c>
      <c r="AP238" s="87">
        <v>1311.0</v>
      </c>
      <c r="AQ238" s="87">
        <v>9792.0</v>
      </c>
      <c r="AR238" s="87">
        <v>174.0</v>
      </c>
      <c r="AS238" s="87">
        <v>20863.0</v>
      </c>
      <c r="AT238" s="87">
        <v>1179.0</v>
      </c>
      <c r="AU238" s="87">
        <v>2704.0</v>
      </c>
      <c r="AV238" s="87">
        <v>139.0</v>
      </c>
      <c r="AW238" s="87">
        <v>20.0</v>
      </c>
      <c r="AX238" s="87">
        <v>1.0</v>
      </c>
      <c r="AY238" s="87">
        <v>42.0</v>
      </c>
      <c r="AZ238" s="87">
        <v>1.0</v>
      </c>
      <c r="BA238" s="87">
        <v>1.0</v>
      </c>
      <c r="BB238" s="87">
        <v>40.0</v>
      </c>
      <c r="BC238" s="87">
        <v>6468.0</v>
      </c>
      <c r="BD238" s="87"/>
      <c r="BE238" s="87">
        <v>12644.0</v>
      </c>
      <c r="BF238" s="87">
        <v>1583.0</v>
      </c>
      <c r="BG238" s="87">
        <v>17231.0</v>
      </c>
      <c r="BH238" s="87"/>
      <c r="BI238" s="87">
        <v>110432.0</v>
      </c>
      <c r="BJ238" s="87">
        <v>3744.0</v>
      </c>
      <c r="BK238" s="87">
        <v>16616.0</v>
      </c>
      <c r="BL238" s="87">
        <v>4615.0</v>
      </c>
      <c r="BM238" s="87">
        <v>6468.0</v>
      </c>
      <c r="BN238" s="87"/>
      <c r="BO238" s="87">
        <v>15.0</v>
      </c>
      <c r="BP238" s="87">
        <v>22835.0</v>
      </c>
      <c r="BQ238" s="87">
        <v>414.0</v>
      </c>
      <c r="BR238" s="87">
        <v>193.0</v>
      </c>
      <c r="BS238" s="87">
        <v>1392.0</v>
      </c>
      <c r="BT238" s="87"/>
      <c r="BU238" s="87">
        <v>2.0</v>
      </c>
      <c r="BV238" s="87">
        <v>168.0</v>
      </c>
      <c r="BW238" s="87">
        <v>579.0</v>
      </c>
      <c r="BX238" s="87">
        <v>5302.0</v>
      </c>
      <c r="BY238" s="87"/>
      <c r="BZ238" s="87">
        <v>2.0</v>
      </c>
      <c r="CA238" s="87">
        <v>525.0</v>
      </c>
      <c r="CB238" s="87">
        <v>29.0</v>
      </c>
      <c r="CC238" s="87"/>
      <c r="CD238" s="87">
        <v>7.0</v>
      </c>
      <c r="CE238" s="87">
        <v>10.0</v>
      </c>
      <c r="CF238" s="87"/>
      <c r="CG238" s="87">
        <v>2225.0</v>
      </c>
      <c r="CH238" s="87">
        <v>29233.0</v>
      </c>
      <c r="CI238" s="87"/>
      <c r="CJ238" s="87">
        <v>9447.0</v>
      </c>
      <c r="CK238" s="87">
        <v>3032.0</v>
      </c>
      <c r="CL238" s="87">
        <v>18805.0</v>
      </c>
      <c r="CM238" s="87">
        <v>12.0</v>
      </c>
      <c r="CN238" s="87"/>
      <c r="CO238" s="87">
        <v>5.0</v>
      </c>
      <c r="CP238" s="87"/>
      <c r="CQ238" s="87">
        <v>157.0</v>
      </c>
      <c r="CR238" s="87"/>
      <c r="CS238" s="87"/>
      <c r="CT238" s="87">
        <v>3268.0</v>
      </c>
      <c r="CU238" s="87">
        <v>1384.0</v>
      </c>
      <c r="CV238" s="87">
        <v>212.0</v>
      </c>
      <c r="CW238" s="87">
        <v>709.0</v>
      </c>
      <c r="CX238" s="87">
        <v>201.0</v>
      </c>
      <c r="CY238" s="87">
        <v>489.0</v>
      </c>
      <c r="CZ238" s="87">
        <v>19.0</v>
      </c>
      <c r="DA238" s="87">
        <v>21.0</v>
      </c>
      <c r="DB238" s="87">
        <v>2351.0</v>
      </c>
      <c r="DC238" s="87">
        <v>1476.0</v>
      </c>
      <c r="DD238" s="87">
        <v>3110.0</v>
      </c>
      <c r="DE238" s="87">
        <v>300.0</v>
      </c>
      <c r="DF238" s="87">
        <v>1330.0</v>
      </c>
      <c r="DG238" s="87">
        <v>835.0</v>
      </c>
      <c r="DH238" s="87">
        <v>6899.0</v>
      </c>
      <c r="DI238" s="87">
        <v>6646.0</v>
      </c>
      <c r="DJ238" s="87">
        <v>76.0</v>
      </c>
      <c r="DK238" s="87">
        <v>337.0</v>
      </c>
      <c r="DL238" s="87">
        <v>1396.0</v>
      </c>
      <c r="DM238" s="87">
        <v>399.0</v>
      </c>
      <c r="DN238" s="87"/>
      <c r="DO238" s="87">
        <v>2481.0</v>
      </c>
      <c r="DP238" s="87">
        <v>6340.0</v>
      </c>
      <c r="DQ238" s="87">
        <v>1408.0</v>
      </c>
      <c r="DR238" s="87">
        <v>3121.0</v>
      </c>
      <c r="DS238" s="87">
        <v>28.0</v>
      </c>
      <c r="DT238" s="87">
        <v>80.0</v>
      </c>
      <c r="DU238" s="87">
        <v>6.0</v>
      </c>
      <c r="DV238" s="87">
        <v>2103.0</v>
      </c>
      <c r="DW238" s="87">
        <v>126.0</v>
      </c>
      <c r="DX238" s="87">
        <v>456.0</v>
      </c>
      <c r="DY238" s="87">
        <v>1836.0</v>
      </c>
      <c r="DZ238" s="87">
        <v>612.0</v>
      </c>
      <c r="EA238" s="87">
        <v>80.0</v>
      </c>
      <c r="EB238" s="87">
        <v>559.0</v>
      </c>
      <c r="EC238" s="87">
        <v>730.0</v>
      </c>
      <c r="ED238" s="87">
        <v>11020.0</v>
      </c>
      <c r="EE238" s="87">
        <v>472.0</v>
      </c>
      <c r="EF238" s="87"/>
      <c r="EG238" s="87">
        <v>143.0</v>
      </c>
      <c r="EH238" s="87"/>
      <c r="EI238" s="87">
        <v>98.0</v>
      </c>
      <c r="EJ238" s="87">
        <v>31217.0</v>
      </c>
      <c r="EK238" s="88"/>
      <c r="EL238" s="88"/>
      <c r="EM238" s="88"/>
      <c r="EN238" s="88"/>
      <c r="EO238" s="88"/>
      <c r="EP238" s="88"/>
      <c r="EQ238" s="90"/>
    </row>
    <row r="239" ht="12.0" customHeight="1">
      <c r="A239" s="89">
        <v>1.0630446E8</v>
      </c>
      <c r="B239" s="89" t="s">
        <v>1708</v>
      </c>
      <c r="C239" s="89" t="s">
        <v>1549</v>
      </c>
      <c r="D239" s="89" t="s">
        <v>1709</v>
      </c>
      <c r="E239" s="89" t="s">
        <v>1710</v>
      </c>
      <c r="F239" s="89" t="s">
        <v>1711</v>
      </c>
      <c r="G239" s="89" t="s">
        <v>1712</v>
      </c>
      <c r="H239" s="89" t="s">
        <v>475</v>
      </c>
      <c r="I239" s="89" t="s">
        <v>456</v>
      </c>
      <c r="J239" s="89" t="s">
        <v>463</v>
      </c>
      <c r="K239" s="89" t="s">
        <v>1553</v>
      </c>
      <c r="L239" s="89" t="s">
        <v>1593</v>
      </c>
      <c r="M239" s="89" t="s">
        <v>1713</v>
      </c>
      <c r="N239" s="89" t="s">
        <v>441</v>
      </c>
      <c r="O239" s="87">
        <v>1962.0</v>
      </c>
      <c r="P239" s="87"/>
      <c r="Q239" s="87"/>
      <c r="R239" s="87"/>
      <c r="S239" s="87"/>
      <c r="T239" s="87"/>
      <c r="U239" s="87">
        <v>900.0</v>
      </c>
      <c r="V239" s="87">
        <v>1062.0</v>
      </c>
      <c r="W239" s="87"/>
      <c r="X239" s="87"/>
      <c r="Y239" s="87"/>
      <c r="Z239" s="87">
        <v>19.0</v>
      </c>
      <c r="AA239" s="87">
        <v>26.0</v>
      </c>
      <c r="AB239" s="87">
        <v>75.0</v>
      </c>
      <c r="AC239" s="87">
        <v>256.0</v>
      </c>
      <c r="AD239" s="87">
        <v>546.0</v>
      </c>
      <c r="AE239" s="87">
        <v>694.0</v>
      </c>
      <c r="AF239" s="87">
        <v>344.0</v>
      </c>
      <c r="AG239" s="87">
        <v>2.0</v>
      </c>
      <c r="AH239" s="87">
        <v>125.0</v>
      </c>
      <c r="AI239" s="87">
        <v>1817.0</v>
      </c>
      <c r="AJ239" s="87">
        <v>20.0</v>
      </c>
      <c r="AK239" s="87"/>
      <c r="AL239" s="87">
        <v>99.0</v>
      </c>
      <c r="AM239" s="87"/>
      <c r="AN239" s="87">
        <v>24.0</v>
      </c>
      <c r="AO239" s="87">
        <v>1758.0</v>
      </c>
      <c r="AP239" s="87">
        <v>28.0</v>
      </c>
      <c r="AQ239" s="87">
        <v>53.0</v>
      </c>
      <c r="AR239" s="87"/>
      <c r="AS239" s="87">
        <v>1639.0</v>
      </c>
      <c r="AT239" s="87">
        <v>40.0</v>
      </c>
      <c r="AU239" s="87">
        <v>278.0</v>
      </c>
      <c r="AV239" s="87">
        <v>2.0</v>
      </c>
      <c r="AW239" s="87">
        <v>2.0</v>
      </c>
      <c r="AX239" s="87">
        <v>1.0</v>
      </c>
      <c r="AY239" s="87"/>
      <c r="AZ239" s="87"/>
      <c r="BA239" s="87"/>
      <c r="BB239" s="87"/>
      <c r="BC239" s="87"/>
      <c r="BD239" s="87"/>
      <c r="BE239" s="87">
        <v>1.0</v>
      </c>
      <c r="BF239" s="87">
        <v>108.0</v>
      </c>
      <c r="BG239" s="87">
        <v>1853.0</v>
      </c>
      <c r="BH239" s="87"/>
      <c r="BI239" s="87">
        <v>4502.0</v>
      </c>
      <c r="BJ239" s="87"/>
      <c r="BK239" s="87">
        <v>336.0</v>
      </c>
      <c r="BL239" s="87">
        <v>1625.0</v>
      </c>
      <c r="BM239" s="87"/>
      <c r="BN239" s="87"/>
      <c r="BO239" s="87">
        <v>1.0</v>
      </c>
      <c r="BP239" s="87">
        <v>482.0</v>
      </c>
      <c r="BQ239" s="87">
        <v>27.0</v>
      </c>
      <c r="BR239" s="87">
        <v>117.0</v>
      </c>
      <c r="BS239" s="87">
        <v>245.0</v>
      </c>
      <c r="BT239" s="87"/>
      <c r="BU239" s="87"/>
      <c r="BV239" s="87">
        <v>1.0</v>
      </c>
      <c r="BW239" s="87">
        <v>4.0</v>
      </c>
      <c r="BX239" s="87">
        <v>1083.0</v>
      </c>
      <c r="BY239" s="87"/>
      <c r="BZ239" s="87"/>
      <c r="CA239" s="87">
        <v>2.0</v>
      </c>
      <c r="CB239" s="87"/>
      <c r="CC239" s="87"/>
      <c r="CD239" s="87">
        <v>1.0</v>
      </c>
      <c r="CE239" s="87"/>
      <c r="CF239" s="87"/>
      <c r="CG239" s="87">
        <v>5.0</v>
      </c>
      <c r="CH239" s="87">
        <v>1957.0</v>
      </c>
      <c r="CI239" s="87"/>
      <c r="CJ239" s="87">
        <v>1217.0</v>
      </c>
      <c r="CK239" s="87">
        <v>12.0</v>
      </c>
      <c r="CL239" s="87">
        <v>623.0</v>
      </c>
      <c r="CM239" s="87">
        <v>100.0</v>
      </c>
      <c r="CN239" s="87"/>
      <c r="CO239" s="87">
        <v>3.0</v>
      </c>
      <c r="CP239" s="87"/>
      <c r="CQ239" s="87">
        <v>7.0</v>
      </c>
      <c r="CR239" s="87"/>
      <c r="CS239" s="87"/>
      <c r="CT239" s="87">
        <v>1.0</v>
      </c>
      <c r="CU239" s="87"/>
      <c r="CV239" s="87"/>
      <c r="CW239" s="87"/>
      <c r="CX239" s="87"/>
      <c r="CY239" s="87">
        <v>5.0</v>
      </c>
      <c r="CZ239" s="87"/>
      <c r="DA239" s="87"/>
      <c r="DB239" s="87">
        <v>3.0</v>
      </c>
      <c r="DC239" s="87">
        <v>1.0</v>
      </c>
      <c r="DD239" s="87"/>
      <c r="DE239" s="87">
        <v>3.0</v>
      </c>
      <c r="DF239" s="87">
        <v>1447.0</v>
      </c>
      <c r="DG239" s="87"/>
      <c r="DH239" s="87"/>
      <c r="DI239" s="87"/>
      <c r="DJ239" s="87"/>
      <c r="DK239" s="87">
        <v>1.0</v>
      </c>
      <c r="DL239" s="87">
        <v>478.0</v>
      </c>
      <c r="DM239" s="87">
        <v>23.0</v>
      </c>
      <c r="DN239" s="87"/>
      <c r="DO239" s="87">
        <v>5.0</v>
      </c>
      <c r="DP239" s="87"/>
      <c r="DQ239" s="87">
        <v>4.0</v>
      </c>
      <c r="DR239" s="87"/>
      <c r="DS239" s="87"/>
      <c r="DT239" s="87"/>
      <c r="DU239" s="87"/>
      <c r="DV239" s="87"/>
      <c r="DW239" s="87"/>
      <c r="DX239" s="87">
        <v>12.0</v>
      </c>
      <c r="DY239" s="87">
        <v>1843.0</v>
      </c>
      <c r="DZ239" s="87">
        <v>53.0</v>
      </c>
      <c r="EA239" s="87"/>
      <c r="EB239" s="87"/>
      <c r="EC239" s="87"/>
      <c r="ED239" s="87">
        <v>24.0</v>
      </c>
      <c r="EE239" s="87">
        <v>21.0</v>
      </c>
      <c r="EF239" s="87"/>
      <c r="EG239" s="87"/>
      <c r="EH239" s="87"/>
      <c r="EI239" s="87">
        <v>46.0</v>
      </c>
      <c r="EJ239" s="87">
        <v>1916.0</v>
      </c>
      <c r="EK239" s="88"/>
      <c r="EL239" s="88"/>
      <c r="EM239" s="88"/>
      <c r="EN239" s="88"/>
      <c r="EO239" s="88"/>
      <c r="EP239" s="88"/>
      <c r="EQ239" s="90"/>
    </row>
    <row r="240" ht="12.0" customHeight="1">
      <c r="A240" s="89">
        <v>1.06304583E8</v>
      </c>
      <c r="B240" s="89" t="s">
        <v>1714</v>
      </c>
      <c r="C240" s="89" t="s">
        <v>1549</v>
      </c>
      <c r="D240" s="89" t="s">
        <v>1715</v>
      </c>
      <c r="E240" s="89" t="s">
        <v>1716</v>
      </c>
      <c r="F240" s="89" t="s">
        <v>1717</v>
      </c>
      <c r="G240" s="89" t="s">
        <v>1718</v>
      </c>
      <c r="H240" s="89" t="s">
        <v>475</v>
      </c>
      <c r="I240" s="89" t="s">
        <v>456</v>
      </c>
      <c r="J240" s="89" t="s">
        <v>463</v>
      </c>
      <c r="K240" s="89" t="s">
        <v>885</v>
      </c>
      <c r="L240" s="89" t="s">
        <v>1636</v>
      </c>
      <c r="M240" s="89" t="s">
        <v>1668</v>
      </c>
      <c r="N240" s="89" t="s">
        <v>441</v>
      </c>
      <c r="O240" s="87"/>
      <c r="P240" s="87"/>
      <c r="Q240" s="87"/>
      <c r="R240" s="87">
        <v>2005.0</v>
      </c>
      <c r="S240" s="87"/>
      <c r="T240" s="87"/>
      <c r="U240" s="87">
        <v>1396.0</v>
      </c>
      <c r="V240" s="87">
        <v>609.0</v>
      </c>
      <c r="W240" s="87"/>
      <c r="X240" s="87"/>
      <c r="Y240" s="87">
        <v>30.0</v>
      </c>
      <c r="Z240" s="87">
        <v>569.0</v>
      </c>
      <c r="AA240" s="87">
        <v>609.0</v>
      </c>
      <c r="AB240" s="87">
        <v>374.0</v>
      </c>
      <c r="AC240" s="87">
        <v>272.0</v>
      </c>
      <c r="AD240" s="87">
        <v>137.0</v>
      </c>
      <c r="AE240" s="87">
        <v>13.0</v>
      </c>
      <c r="AF240" s="87"/>
      <c r="AG240" s="87">
        <v>1.0</v>
      </c>
      <c r="AH240" s="87">
        <v>582.0</v>
      </c>
      <c r="AI240" s="87">
        <v>1342.0</v>
      </c>
      <c r="AJ240" s="87">
        <v>81.0</v>
      </c>
      <c r="AK240" s="87">
        <v>17.0</v>
      </c>
      <c r="AL240" s="87">
        <v>35.0</v>
      </c>
      <c r="AM240" s="87"/>
      <c r="AN240" s="87">
        <v>85.0</v>
      </c>
      <c r="AO240" s="87">
        <v>1735.0</v>
      </c>
      <c r="AP240" s="87">
        <v>133.0</v>
      </c>
      <c r="AQ240" s="87"/>
      <c r="AR240" s="87"/>
      <c r="AS240" s="87">
        <v>2005.0</v>
      </c>
      <c r="AT240" s="87"/>
      <c r="AU240" s="87"/>
      <c r="AV240" s="87"/>
      <c r="AW240" s="87"/>
      <c r="AX240" s="87"/>
      <c r="AY240" s="87"/>
      <c r="AZ240" s="87"/>
      <c r="BA240" s="87"/>
      <c r="BB240" s="87"/>
      <c r="BC240" s="87"/>
      <c r="BD240" s="87"/>
      <c r="BE240" s="87"/>
      <c r="BF240" s="87"/>
      <c r="BG240" s="87">
        <v>2003.0</v>
      </c>
      <c r="BH240" s="87">
        <v>2.0</v>
      </c>
      <c r="BI240" s="87">
        <v>21027.0</v>
      </c>
      <c r="BJ240" s="87"/>
      <c r="BK240" s="87"/>
      <c r="BL240" s="87">
        <v>2005.0</v>
      </c>
      <c r="BM240" s="87"/>
      <c r="BN240" s="87"/>
      <c r="BO240" s="87"/>
      <c r="BP240" s="87">
        <v>1604.0</v>
      </c>
      <c r="BQ240" s="87">
        <v>49.0</v>
      </c>
      <c r="BR240" s="87"/>
      <c r="BS240" s="87"/>
      <c r="BT240" s="87"/>
      <c r="BU240" s="87"/>
      <c r="BV240" s="87">
        <v>349.0</v>
      </c>
      <c r="BW240" s="87"/>
      <c r="BX240" s="87"/>
      <c r="BY240" s="87"/>
      <c r="BZ240" s="87"/>
      <c r="CA240" s="87"/>
      <c r="CB240" s="87">
        <v>2.0</v>
      </c>
      <c r="CC240" s="87"/>
      <c r="CD240" s="87">
        <v>1.0</v>
      </c>
      <c r="CE240" s="87"/>
      <c r="CF240" s="87"/>
      <c r="CG240" s="87"/>
      <c r="CH240" s="87">
        <v>2005.0</v>
      </c>
      <c r="CI240" s="87"/>
      <c r="CJ240" s="87"/>
      <c r="CK240" s="87"/>
      <c r="CL240" s="87">
        <v>1740.0</v>
      </c>
      <c r="CM240" s="87"/>
      <c r="CN240" s="87"/>
      <c r="CO240" s="87">
        <v>5.0</v>
      </c>
      <c r="CP240" s="87"/>
      <c r="CQ240" s="87">
        <v>192.0</v>
      </c>
      <c r="CR240" s="87">
        <v>68.0</v>
      </c>
      <c r="CS240" s="87"/>
      <c r="CT240" s="87"/>
      <c r="CU240" s="87"/>
      <c r="CV240" s="87"/>
      <c r="CW240" s="87"/>
      <c r="CX240" s="87">
        <v>2005.0</v>
      </c>
      <c r="CY240" s="87"/>
      <c r="CZ240" s="87"/>
      <c r="DA240" s="87"/>
      <c r="DB240" s="87"/>
      <c r="DC240" s="87"/>
      <c r="DD240" s="87"/>
      <c r="DE240" s="87"/>
      <c r="DF240" s="87"/>
      <c r="DG240" s="87"/>
      <c r="DH240" s="87"/>
      <c r="DI240" s="87"/>
      <c r="DJ240" s="87"/>
      <c r="DK240" s="87"/>
      <c r="DL240" s="87"/>
      <c r="DM240" s="87"/>
      <c r="DN240" s="87"/>
      <c r="DO240" s="87">
        <v>2000.0</v>
      </c>
      <c r="DP240" s="87"/>
      <c r="DQ240" s="87"/>
      <c r="DR240" s="87"/>
      <c r="DS240" s="87"/>
      <c r="DT240" s="87"/>
      <c r="DU240" s="87"/>
      <c r="DV240" s="87"/>
      <c r="DW240" s="87"/>
      <c r="DX240" s="87"/>
      <c r="DY240" s="87"/>
      <c r="DZ240" s="87"/>
      <c r="EA240" s="87"/>
      <c r="EB240" s="87"/>
      <c r="EC240" s="87"/>
      <c r="ED240" s="87">
        <v>5.0</v>
      </c>
      <c r="EE240" s="87"/>
      <c r="EF240" s="87">
        <v>6.0</v>
      </c>
      <c r="EG240" s="87">
        <v>19.0</v>
      </c>
      <c r="EH240" s="87"/>
      <c r="EI240" s="87">
        <v>224.0</v>
      </c>
      <c r="EJ240" s="87">
        <v>1756.0</v>
      </c>
      <c r="EK240" s="88"/>
      <c r="EL240" s="88"/>
      <c r="EM240" s="88"/>
      <c r="EN240" s="88"/>
      <c r="EO240" s="88"/>
      <c r="EP240" s="88"/>
      <c r="EQ240" s="90"/>
    </row>
    <row r="241" ht="12.0" customHeight="1">
      <c r="A241" s="89">
        <v>1.06304585E8</v>
      </c>
      <c r="B241" s="89" t="s">
        <v>1719</v>
      </c>
      <c r="C241" s="89" t="s">
        <v>1549</v>
      </c>
      <c r="D241" s="89" t="s">
        <v>1696</v>
      </c>
      <c r="E241" s="89" t="s">
        <v>1720</v>
      </c>
      <c r="F241" s="89" t="s">
        <v>1681</v>
      </c>
      <c r="G241" s="89" t="s">
        <v>1721</v>
      </c>
      <c r="H241" s="89" t="s">
        <v>696</v>
      </c>
      <c r="I241" s="89" t="s">
        <v>456</v>
      </c>
      <c r="J241" s="89" t="s">
        <v>463</v>
      </c>
      <c r="K241" s="89" t="s">
        <v>1553</v>
      </c>
      <c r="L241" s="89" t="s">
        <v>1554</v>
      </c>
      <c r="M241" s="89" t="s">
        <v>1555</v>
      </c>
      <c r="N241" s="89" t="s">
        <v>441</v>
      </c>
      <c r="O241" s="87"/>
      <c r="P241" s="87"/>
      <c r="Q241" s="87"/>
      <c r="R241" s="87"/>
      <c r="S241" s="87">
        <v>985.0</v>
      </c>
      <c r="T241" s="87"/>
      <c r="U241" s="87">
        <v>506.0</v>
      </c>
      <c r="V241" s="87">
        <v>479.0</v>
      </c>
      <c r="W241" s="87"/>
      <c r="X241" s="87"/>
      <c r="Y241" s="87"/>
      <c r="Z241" s="87">
        <v>32.0</v>
      </c>
      <c r="AA241" s="87">
        <v>41.0</v>
      </c>
      <c r="AB241" s="87">
        <v>53.0</v>
      </c>
      <c r="AC241" s="87">
        <v>128.0</v>
      </c>
      <c r="AD241" s="87">
        <v>212.0</v>
      </c>
      <c r="AE241" s="87">
        <v>302.0</v>
      </c>
      <c r="AF241" s="87">
        <v>215.0</v>
      </c>
      <c r="AG241" s="87">
        <v>2.0</v>
      </c>
      <c r="AH241" s="87">
        <v>134.0</v>
      </c>
      <c r="AI241" s="87">
        <v>843.0</v>
      </c>
      <c r="AJ241" s="87">
        <v>8.0</v>
      </c>
      <c r="AK241" s="87"/>
      <c r="AL241" s="87">
        <v>158.0</v>
      </c>
      <c r="AM241" s="87"/>
      <c r="AN241" s="87">
        <v>20.0</v>
      </c>
      <c r="AO241" s="87">
        <v>717.0</v>
      </c>
      <c r="AP241" s="87">
        <v>47.0</v>
      </c>
      <c r="AQ241" s="87">
        <v>43.0</v>
      </c>
      <c r="AR241" s="87"/>
      <c r="AS241" s="87">
        <v>5.0</v>
      </c>
      <c r="AT241" s="87">
        <v>11.0</v>
      </c>
      <c r="AU241" s="87">
        <v>928.0</v>
      </c>
      <c r="AV241" s="87">
        <v>39.0</v>
      </c>
      <c r="AW241" s="87"/>
      <c r="AX241" s="87"/>
      <c r="AY241" s="87"/>
      <c r="AZ241" s="87"/>
      <c r="BA241" s="87"/>
      <c r="BB241" s="87">
        <v>2.0</v>
      </c>
      <c r="BC241" s="87"/>
      <c r="BD241" s="87"/>
      <c r="BE241" s="87"/>
      <c r="BF241" s="87"/>
      <c r="BG241" s="87">
        <v>985.0</v>
      </c>
      <c r="BH241" s="87"/>
      <c r="BI241" s="87">
        <v>12644.0</v>
      </c>
      <c r="BJ241" s="87"/>
      <c r="BK241" s="87"/>
      <c r="BL241" s="87">
        <v>985.0</v>
      </c>
      <c r="BM241" s="87"/>
      <c r="BN241" s="87"/>
      <c r="BO241" s="87"/>
      <c r="BP241" s="87">
        <v>43.0</v>
      </c>
      <c r="BQ241" s="87">
        <v>119.0</v>
      </c>
      <c r="BR241" s="87">
        <v>1.0</v>
      </c>
      <c r="BS241" s="87">
        <v>72.0</v>
      </c>
      <c r="BT241" s="87"/>
      <c r="BU241" s="87">
        <v>1.0</v>
      </c>
      <c r="BV241" s="87">
        <v>11.0</v>
      </c>
      <c r="BW241" s="87"/>
      <c r="BX241" s="87">
        <v>736.0</v>
      </c>
      <c r="BY241" s="87"/>
      <c r="BZ241" s="87"/>
      <c r="CA241" s="87">
        <v>2.0</v>
      </c>
      <c r="CB241" s="87"/>
      <c r="CC241" s="87"/>
      <c r="CD241" s="87"/>
      <c r="CE241" s="87"/>
      <c r="CF241" s="87"/>
      <c r="CG241" s="87"/>
      <c r="CH241" s="87">
        <v>985.0</v>
      </c>
      <c r="CI241" s="87"/>
      <c r="CJ241" s="87">
        <v>617.0</v>
      </c>
      <c r="CK241" s="87">
        <v>99.0</v>
      </c>
      <c r="CL241" s="87">
        <v>223.0</v>
      </c>
      <c r="CM241" s="87">
        <v>42.0</v>
      </c>
      <c r="CN241" s="87"/>
      <c r="CO241" s="87"/>
      <c r="CP241" s="87"/>
      <c r="CQ241" s="87">
        <v>4.0</v>
      </c>
      <c r="CR241" s="87"/>
      <c r="CS241" s="87"/>
      <c r="CT241" s="87">
        <v>1.0</v>
      </c>
      <c r="CU241" s="87">
        <v>3.0</v>
      </c>
      <c r="CV241" s="87"/>
      <c r="CW241" s="87">
        <v>2.0</v>
      </c>
      <c r="CX241" s="87">
        <v>1.0</v>
      </c>
      <c r="CY241" s="87">
        <v>102.0</v>
      </c>
      <c r="CZ241" s="87"/>
      <c r="DA241" s="87">
        <v>2.0</v>
      </c>
      <c r="DB241" s="87">
        <v>294.0</v>
      </c>
      <c r="DC241" s="87">
        <v>5.0</v>
      </c>
      <c r="DD241" s="87"/>
      <c r="DE241" s="87"/>
      <c r="DF241" s="87">
        <v>15.0</v>
      </c>
      <c r="DG241" s="87"/>
      <c r="DH241" s="87"/>
      <c r="DI241" s="87"/>
      <c r="DJ241" s="87">
        <v>2.0</v>
      </c>
      <c r="DK241" s="87">
        <v>57.0</v>
      </c>
      <c r="DL241" s="87">
        <v>223.0</v>
      </c>
      <c r="DM241" s="87">
        <v>278.0</v>
      </c>
      <c r="DN241" s="87"/>
      <c r="DO241" s="87"/>
      <c r="DP241" s="87"/>
      <c r="DQ241" s="87"/>
      <c r="DR241" s="87"/>
      <c r="DS241" s="87"/>
      <c r="DT241" s="87"/>
      <c r="DU241" s="87"/>
      <c r="DV241" s="87"/>
      <c r="DW241" s="87"/>
      <c r="DX241" s="87"/>
      <c r="DY241" s="87"/>
      <c r="DZ241" s="87"/>
      <c r="EA241" s="87"/>
      <c r="EB241" s="87"/>
      <c r="EC241" s="87"/>
      <c r="ED241" s="87">
        <v>985.0</v>
      </c>
      <c r="EE241" s="87"/>
      <c r="EF241" s="87">
        <v>1.0</v>
      </c>
      <c r="EG241" s="87"/>
      <c r="EH241" s="87"/>
      <c r="EI241" s="87">
        <v>24.0</v>
      </c>
      <c r="EJ241" s="87">
        <v>960.0</v>
      </c>
      <c r="EK241" s="88"/>
      <c r="EL241" s="88"/>
      <c r="EM241" s="88"/>
      <c r="EN241" s="88"/>
      <c r="EO241" s="88"/>
      <c r="EP241" s="88"/>
      <c r="EQ241" s="90"/>
    </row>
    <row r="242" ht="12.0" customHeight="1">
      <c r="A242" s="89">
        <v>1.06304589E8</v>
      </c>
      <c r="B242" s="89" t="s">
        <v>1722</v>
      </c>
      <c r="C242" s="89" t="s">
        <v>1549</v>
      </c>
      <c r="D242" s="89" t="s">
        <v>1723</v>
      </c>
      <c r="E242" s="89" t="s">
        <v>1724</v>
      </c>
      <c r="F242" s="89" t="s">
        <v>1717</v>
      </c>
      <c r="G242" s="89" t="s">
        <v>1725</v>
      </c>
      <c r="H242" s="89" t="s">
        <v>475</v>
      </c>
      <c r="I242" s="89" t="s">
        <v>456</v>
      </c>
      <c r="J242" s="89" t="s">
        <v>437</v>
      </c>
      <c r="K242" s="89" t="s">
        <v>885</v>
      </c>
      <c r="L242" s="89" t="s">
        <v>1636</v>
      </c>
      <c r="M242" s="89" t="s">
        <v>1668</v>
      </c>
      <c r="N242" s="89" t="s">
        <v>441</v>
      </c>
      <c r="O242" s="87"/>
      <c r="P242" s="87"/>
      <c r="Q242" s="87">
        <v>1118.0</v>
      </c>
      <c r="R242" s="87"/>
      <c r="S242" s="87"/>
      <c r="T242" s="87"/>
      <c r="U242" s="87">
        <v>494.0</v>
      </c>
      <c r="V242" s="87">
        <v>624.0</v>
      </c>
      <c r="W242" s="87"/>
      <c r="X242" s="87"/>
      <c r="Y242" s="87">
        <v>483.0</v>
      </c>
      <c r="Z242" s="87">
        <v>284.0</v>
      </c>
      <c r="AA242" s="87">
        <v>163.0</v>
      </c>
      <c r="AB242" s="87">
        <v>108.0</v>
      </c>
      <c r="AC242" s="87">
        <v>61.0</v>
      </c>
      <c r="AD242" s="87">
        <v>19.0</v>
      </c>
      <c r="AE242" s="87"/>
      <c r="AF242" s="87"/>
      <c r="AG242" s="87"/>
      <c r="AH242" s="87">
        <v>296.0</v>
      </c>
      <c r="AI242" s="87">
        <v>550.0</v>
      </c>
      <c r="AJ242" s="87">
        <v>272.0</v>
      </c>
      <c r="AK242" s="87"/>
      <c r="AL242" s="87">
        <v>99.0</v>
      </c>
      <c r="AM242" s="87"/>
      <c r="AN242" s="87">
        <v>54.0</v>
      </c>
      <c r="AO242" s="87">
        <v>428.0</v>
      </c>
      <c r="AP242" s="87">
        <v>284.0</v>
      </c>
      <c r="AQ242" s="87">
        <v>235.0</v>
      </c>
      <c r="AR242" s="87">
        <v>18.0</v>
      </c>
      <c r="AS242" s="87">
        <v>112.0</v>
      </c>
      <c r="AT242" s="87">
        <v>4.0</v>
      </c>
      <c r="AU242" s="87">
        <v>963.0</v>
      </c>
      <c r="AV242" s="87"/>
      <c r="AW242" s="87">
        <v>26.0</v>
      </c>
      <c r="AX242" s="87"/>
      <c r="AY242" s="87"/>
      <c r="AZ242" s="87"/>
      <c r="BA242" s="87"/>
      <c r="BB242" s="87">
        <v>13.0</v>
      </c>
      <c r="BC242" s="87"/>
      <c r="BD242" s="87"/>
      <c r="BE242" s="87"/>
      <c r="BF242" s="87">
        <v>941.0</v>
      </c>
      <c r="BG242" s="87">
        <v>177.0</v>
      </c>
      <c r="BH242" s="87"/>
      <c r="BI242" s="87">
        <v>10477.0</v>
      </c>
      <c r="BJ242" s="87">
        <v>48.0</v>
      </c>
      <c r="BK242" s="87">
        <v>1067.0</v>
      </c>
      <c r="BL242" s="87">
        <v>3.0</v>
      </c>
      <c r="BM242" s="87"/>
      <c r="BN242" s="87"/>
      <c r="BO242" s="87"/>
      <c r="BP242" s="87">
        <v>853.0</v>
      </c>
      <c r="BQ242" s="87">
        <v>10.0</v>
      </c>
      <c r="BR242" s="87">
        <v>11.0</v>
      </c>
      <c r="BS242" s="87"/>
      <c r="BT242" s="87">
        <v>41.0</v>
      </c>
      <c r="BU242" s="87">
        <v>4.0</v>
      </c>
      <c r="BV242" s="87">
        <v>116.0</v>
      </c>
      <c r="BW242" s="87"/>
      <c r="BX242" s="87">
        <v>1.0</v>
      </c>
      <c r="BY242" s="87"/>
      <c r="BZ242" s="87"/>
      <c r="CA242" s="87"/>
      <c r="CB242" s="87"/>
      <c r="CC242" s="87">
        <v>1.0</v>
      </c>
      <c r="CD242" s="87">
        <v>81.0</v>
      </c>
      <c r="CE242" s="87"/>
      <c r="CF242" s="87"/>
      <c r="CG242" s="87"/>
      <c r="CH242" s="87">
        <v>1118.0</v>
      </c>
      <c r="CI242" s="87"/>
      <c r="CJ242" s="87">
        <v>23.0</v>
      </c>
      <c r="CK242" s="87">
        <v>328.0</v>
      </c>
      <c r="CL242" s="87">
        <v>314.0</v>
      </c>
      <c r="CM242" s="87"/>
      <c r="CN242" s="87">
        <v>419.0</v>
      </c>
      <c r="CO242" s="87">
        <v>3.0</v>
      </c>
      <c r="CP242" s="87"/>
      <c r="CQ242" s="87">
        <v>3.0</v>
      </c>
      <c r="CR242" s="87">
        <v>28.0</v>
      </c>
      <c r="CS242" s="87"/>
      <c r="CT242" s="87"/>
      <c r="CU242" s="87"/>
      <c r="CV242" s="87"/>
      <c r="CW242" s="87"/>
      <c r="CX242" s="87">
        <v>1116.0</v>
      </c>
      <c r="CY242" s="87"/>
      <c r="CZ242" s="87"/>
      <c r="DA242" s="87"/>
      <c r="DB242" s="87"/>
      <c r="DC242" s="87"/>
      <c r="DD242" s="87"/>
      <c r="DE242" s="87"/>
      <c r="DF242" s="87"/>
      <c r="DG242" s="87"/>
      <c r="DH242" s="87"/>
      <c r="DI242" s="87"/>
      <c r="DJ242" s="87"/>
      <c r="DK242" s="87"/>
      <c r="DL242" s="87"/>
      <c r="DM242" s="87"/>
      <c r="DN242" s="87">
        <v>2.0</v>
      </c>
      <c r="DO242" s="87">
        <v>8.0</v>
      </c>
      <c r="DP242" s="87"/>
      <c r="DQ242" s="87"/>
      <c r="DR242" s="87"/>
      <c r="DS242" s="87"/>
      <c r="DT242" s="87"/>
      <c r="DU242" s="87"/>
      <c r="DV242" s="87"/>
      <c r="DW242" s="87"/>
      <c r="DX242" s="87"/>
      <c r="DY242" s="87"/>
      <c r="DZ242" s="87"/>
      <c r="EA242" s="87"/>
      <c r="EB242" s="87"/>
      <c r="EC242" s="87"/>
      <c r="ED242" s="87">
        <v>1110.0</v>
      </c>
      <c r="EE242" s="87"/>
      <c r="EF242" s="87"/>
      <c r="EG242" s="87">
        <v>218.0</v>
      </c>
      <c r="EH242" s="87"/>
      <c r="EI242" s="87">
        <v>14.0</v>
      </c>
      <c r="EJ242" s="87">
        <v>886.0</v>
      </c>
      <c r="EK242" s="88"/>
      <c r="EL242" s="88"/>
      <c r="EM242" s="88"/>
      <c r="EN242" s="88"/>
      <c r="EO242" s="88"/>
      <c r="EP242" s="88"/>
      <c r="EQ242" s="90"/>
    </row>
    <row r="243" ht="12.0" customHeight="1">
      <c r="A243" s="89">
        <v>1.06310791E8</v>
      </c>
      <c r="B243" s="89" t="s">
        <v>1726</v>
      </c>
      <c r="C243" s="89" t="s">
        <v>1727</v>
      </c>
      <c r="D243" s="89" t="s">
        <v>1728</v>
      </c>
      <c r="E243" s="89" t="s">
        <v>1729</v>
      </c>
      <c r="F243" s="89" t="s">
        <v>1730</v>
      </c>
      <c r="G243" s="89" t="s">
        <v>1731</v>
      </c>
      <c r="H243" s="89" t="s">
        <v>447</v>
      </c>
      <c r="I243" s="89" t="s">
        <v>456</v>
      </c>
      <c r="J243" s="89" t="s">
        <v>463</v>
      </c>
      <c r="K243" s="89" t="s">
        <v>645</v>
      </c>
      <c r="L243" s="89" t="s">
        <v>645</v>
      </c>
      <c r="M243" s="89" t="s">
        <v>1732</v>
      </c>
      <c r="N243" s="89" t="s">
        <v>441</v>
      </c>
      <c r="O243" s="87">
        <v>3070.0</v>
      </c>
      <c r="P243" s="87"/>
      <c r="Q243" s="87"/>
      <c r="R243" s="87"/>
      <c r="S243" s="87"/>
      <c r="T243" s="87"/>
      <c r="U243" s="87">
        <v>1515.0</v>
      </c>
      <c r="V243" s="87">
        <v>1555.0</v>
      </c>
      <c r="W243" s="87"/>
      <c r="X243" s="87"/>
      <c r="Y243" s="87">
        <v>16.0</v>
      </c>
      <c r="Z243" s="87">
        <v>64.0</v>
      </c>
      <c r="AA243" s="87">
        <v>98.0</v>
      </c>
      <c r="AB243" s="87">
        <v>166.0</v>
      </c>
      <c r="AC243" s="87">
        <v>320.0</v>
      </c>
      <c r="AD243" s="87">
        <v>648.0</v>
      </c>
      <c r="AE243" s="87">
        <v>858.0</v>
      </c>
      <c r="AF243" s="87">
        <v>900.0</v>
      </c>
      <c r="AG243" s="87"/>
      <c r="AH243" s="87">
        <v>172.0</v>
      </c>
      <c r="AI243" s="87">
        <v>2801.0</v>
      </c>
      <c r="AJ243" s="87">
        <v>97.0</v>
      </c>
      <c r="AK243" s="87">
        <v>22.0</v>
      </c>
      <c r="AL243" s="87">
        <v>26.0</v>
      </c>
      <c r="AM243" s="87">
        <v>13.0</v>
      </c>
      <c r="AN243" s="87">
        <v>39.0</v>
      </c>
      <c r="AO243" s="87">
        <v>2761.0</v>
      </c>
      <c r="AP243" s="87">
        <v>67.0</v>
      </c>
      <c r="AQ243" s="87">
        <v>122.0</v>
      </c>
      <c r="AR243" s="87">
        <v>20.0</v>
      </c>
      <c r="AS243" s="87">
        <v>2805.0</v>
      </c>
      <c r="AT243" s="87">
        <v>40.0</v>
      </c>
      <c r="AU243" s="87">
        <v>49.0</v>
      </c>
      <c r="AV243" s="87">
        <v>164.0</v>
      </c>
      <c r="AW243" s="87">
        <v>2.0</v>
      </c>
      <c r="AX243" s="87">
        <v>2.0</v>
      </c>
      <c r="AY243" s="87"/>
      <c r="AZ243" s="87"/>
      <c r="BA243" s="87">
        <v>8.0</v>
      </c>
      <c r="BB243" s="87"/>
      <c r="BC243" s="87"/>
      <c r="BD243" s="87"/>
      <c r="BE243" s="87">
        <v>2759.0</v>
      </c>
      <c r="BF243" s="87">
        <v>18.0</v>
      </c>
      <c r="BG243" s="87">
        <v>293.0</v>
      </c>
      <c r="BH243" s="87"/>
      <c r="BI243" s="87">
        <v>12216.0</v>
      </c>
      <c r="BJ243" s="87">
        <v>1755.0</v>
      </c>
      <c r="BK243" s="87">
        <v>1077.0</v>
      </c>
      <c r="BL243" s="87">
        <v>238.0</v>
      </c>
      <c r="BM243" s="87"/>
      <c r="BN243" s="87"/>
      <c r="BO243" s="87"/>
      <c r="BP243" s="87">
        <v>1316.0</v>
      </c>
      <c r="BQ243" s="87">
        <v>164.0</v>
      </c>
      <c r="BR243" s="87">
        <v>16.0</v>
      </c>
      <c r="BS243" s="87">
        <v>469.0</v>
      </c>
      <c r="BT243" s="87">
        <v>20.0</v>
      </c>
      <c r="BU243" s="87">
        <v>5.0</v>
      </c>
      <c r="BV243" s="87">
        <v>50.0</v>
      </c>
      <c r="BW243" s="87">
        <v>97.0</v>
      </c>
      <c r="BX243" s="87">
        <v>780.0</v>
      </c>
      <c r="BY243" s="87"/>
      <c r="BZ243" s="87"/>
      <c r="CA243" s="87">
        <v>125.0</v>
      </c>
      <c r="CB243" s="87">
        <v>23.0</v>
      </c>
      <c r="CC243" s="87">
        <v>2.0</v>
      </c>
      <c r="CD243" s="87">
        <v>3.0</v>
      </c>
      <c r="CE243" s="87"/>
      <c r="CF243" s="87"/>
      <c r="CG243" s="87">
        <v>692.0</v>
      </c>
      <c r="CH243" s="87">
        <v>2378.0</v>
      </c>
      <c r="CI243" s="87"/>
      <c r="CJ243" s="87">
        <v>2187.0</v>
      </c>
      <c r="CK243" s="87">
        <v>403.0</v>
      </c>
      <c r="CL243" s="87">
        <v>357.0</v>
      </c>
      <c r="CM243" s="87">
        <v>2.0</v>
      </c>
      <c r="CN243" s="87"/>
      <c r="CO243" s="87">
        <v>82.0</v>
      </c>
      <c r="CP243" s="87"/>
      <c r="CQ243" s="87">
        <v>38.0</v>
      </c>
      <c r="CR243" s="87">
        <v>1.0</v>
      </c>
      <c r="CS243" s="87"/>
      <c r="CT243" s="87">
        <v>808.0</v>
      </c>
      <c r="CU243" s="87">
        <v>97.0</v>
      </c>
      <c r="CV243" s="87">
        <v>39.0</v>
      </c>
      <c r="CW243" s="87">
        <v>154.0</v>
      </c>
      <c r="CX243" s="87">
        <v>61.0</v>
      </c>
      <c r="CY243" s="87">
        <v>66.0</v>
      </c>
      <c r="CZ243" s="87">
        <v>1.0</v>
      </c>
      <c r="DA243" s="87">
        <v>6.0</v>
      </c>
      <c r="DB243" s="87">
        <v>451.0</v>
      </c>
      <c r="DC243" s="87">
        <v>238.0</v>
      </c>
      <c r="DD243" s="87">
        <v>429.0</v>
      </c>
      <c r="DE243" s="87">
        <v>42.0</v>
      </c>
      <c r="DF243" s="87">
        <v>116.0</v>
      </c>
      <c r="DG243" s="87">
        <v>144.0</v>
      </c>
      <c r="DH243" s="87"/>
      <c r="DI243" s="87"/>
      <c r="DJ243" s="87">
        <v>3.0</v>
      </c>
      <c r="DK243" s="87">
        <v>75.0</v>
      </c>
      <c r="DL243" s="87">
        <v>328.0</v>
      </c>
      <c r="DM243" s="87">
        <v>11.0</v>
      </c>
      <c r="DN243" s="87">
        <v>1.0</v>
      </c>
      <c r="DO243" s="87">
        <v>364.0</v>
      </c>
      <c r="DP243" s="87"/>
      <c r="DQ243" s="87">
        <v>128.0</v>
      </c>
      <c r="DR243" s="87">
        <v>370.0</v>
      </c>
      <c r="DS243" s="87">
        <v>1.0</v>
      </c>
      <c r="DT243" s="87">
        <v>3.0</v>
      </c>
      <c r="DU243" s="87"/>
      <c r="DV243" s="87">
        <v>8.0</v>
      </c>
      <c r="DW243" s="87">
        <v>15.0</v>
      </c>
      <c r="DX243" s="87">
        <v>66.0</v>
      </c>
      <c r="DY243" s="87">
        <v>302.0</v>
      </c>
      <c r="DZ243" s="87">
        <v>22.0</v>
      </c>
      <c r="EA243" s="87">
        <v>3.0</v>
      </c>
      <c r="EB243" s="87">
        <v>99.0</v>
      </c>
      <c r="EC243" s="87">
        <v>20.0</v>
      </c>
      <c r="ED243" s="87">
        <v>1534.0</v>
      </c>
      <c r="EE243" s="87">
        <v>135.0</v>
      </c>
      <c r="EF243" s="87">
        <v>4.0</v>
      </c>
      <c r="EG243" s="87">
        <v>111.0</v>
      </c>
      <c r="EH243" s="87"/>
      <c r="EI243" s="87">
        <v>24.0</v>
      </c>
      <c r="EJ243" s="87">
        <v>2931.0</v>
      </c>
      <c r="EK243" s="88"/>
      <c r="EL243" s="88"/>
      <c r="EM243" s="88"/>
      <c r="EN243" s="88"/>
      <c r="EO243" s="88"/>
      <c r="EP243" s="88"/>
      <c r="EQ243" s="90"/>
    </row>
    <row r="244" ht="12.0" customHeight="1">
      <c r="A244" s="89">
        <v>1.06311E8</v>
      </c>
      <c r="B244" s="89" t="s">
        <v>1733</v>
      </c>
      <c r="C244" s="89" t="s">
        <v>1727</v>
      </c>
      <c r="D244" s="89" t="s">
        <v>1734</v>
      </c>
      <c r="E244" s="89" t="s">
        <v>1735</v>
      </c>
      <c r="F244" s="89" t="s">
        <v>1736</v>
      </c>
      <c r="G244" s="89" t="s">
        <v>1737</v>
      </c>
      <c r="H244" s="89" t="s">
        <v>447</v>
      </c>
      <c r="I244" s="89" t="s">
        <v>456</v>
      </c>
      <c r="J244" s="89" t="s">
        <v>448</v>
      </c>
      <c r="K244" s="89" t="s">
        <v>554</v>
      </c>
      <c r="L244" s="89" t="s">
        <v>1738</v>
      </c>
      <c r="M244" s="89" t="s">
        <v>1739</v>
      </c>
      <c r="N244" s="89" t="s">
        <v>441</v>
      </c>
      <c r="O244" s="87">
        <v>26048.0</v>
      </c>
      <c r="P244" s="87"/>
      <c r="Q244" s="87"/>
      <c r="R244" s="87"/>
      <c r="S244" s="87">
        <v>889.0</v>
      </c>
      <c r="T244" s="87"/>
      <c r="U244" s="87">
        <v>11890.0</v>
      </c>
      <c r="V244" s="87">
        <v>15047.0</v>
      </c>
      <c r="W244" s="87"/>
      <c r="X244" s="87">
        <v>2887.0</v>
      </c>
      <c r="Y244" s="87">
        <v>389.0</v>
      </c>
      <c r="Z244" s="87">
        <v>1722.0</v>
      </c>
      <c r="AA244" s="87">
        <v>2903.0</v>
      </c>
      <c r="AB244" s="87">
        <v>2004.0</v>
      </c>
      <c r="AC244" s="87">
        <v>2754.0</v>
      </c>
      <c r="AD244" s="87">
        <v>4222.0</v>
      </c>
      <c r="AE244" s="87">
        <v>4861.0</v>
      </c>
      <c r="AF244" s="87">
        <v>5195.0</v>
      </c>
      <c r="AG244" s="87"/>
      <c r="AH244" s="87">
        <v>3500.0</v>
      </c>
      <c r="AI244" s="87">
        <v>22480.0</v>
      </c>
      <c r="AJ244" s="87">
        <v>957.0</v>
      </c>
      <c r="AK244" s="87">
        <v>141.0</v>
      </c>
      <c r="AL244" s="87">
        <v>1111.0</v>
      </c>
      <c r="AM244" s="87">
        <v>425.0</v>
      </c>
      <c r="AN244" s="87">
        <v>955.0</v>
      </c>
      <c r="AO244" s="87">
        <v>20279.0</v>
      </c>
      <c r="AP244" s="87">
        <v>687.0</v>
      </c>
      <c r="AQ244" s="87">
        <v>2835.0</v>
      </c>
      <c r="AR244" s="87">
        <v>504.0</v>
      </c>
      <c r="AS244" s="87">
        <v>21034.0</v>
      </c>
      <c r="AT244" s="87">
        <v>253.0</v>
      </c>
      <c r="AU244" s="87">
        <v>2107.0</v>
      </c>
      <c r="AV244" s="87">
        <v>964.0</v>
      </c>
      <c r="AW244" s="87">
        <v>77.0</v>
      </c>
      <c r="AX244" s="87">
        <v>35.0</v>
      </c>
      <c r="AY244" s="87">
        <v>8.0</v>
      </c>
      <c r="AZ244" s="87"/>
      <c r="BA244" s="87">
        <v>28.0</v>
      </c>
      <c r="BB244" s="87">
        <v>6.0</v>
      </c>
      <c r="BC244" s="87">
        <v>2425.0</v>
      </c>
      <c r="BD244" s="87"/>
      <c r="BE244" s="87">
        <v>17387.0</v>
      </c>
      <c r="BF244" s="87">
        <v>749.0</v>
      </c>
      <c r="BG244" s="87">
        <v>8801.0</v>
      </c>
      <c r="BH244" s="87"/>
      <c r="BI244" s="87">
        <v>123893.0</v>
      </c>
      <c r="BJ244" s="87">
        <v>11432.0</v>
      </c>
      <c r="BK244" s="87">
        <v>7387.0</v>
      </c>
      <c r="BL244" s="87">
        <v>4043.0</v>
      </c>
      <c r="BM244" s="87">
        <v>2425.0</v>
      </c>
      <c r="BN244" s="87">
        <v>1650.0</v>
      </c>
      <c r="BO244" s="87"/>
      <c r="BP244" s="87">
        <v>16814.0</v>
      </c>
      <c r="BQ244" s="87">
        <v>689.0</v>
      </c>
      <c r="BR244" s="87">
        <v>402.0</v>
      </c>
      <c r="BS244" s="87">
        <v>2154.0</v>
      </c>
      <c r="BT244" s="87">
        <v>153.0</v>
      </c>
      <c r="BU244" s="87">
        <v>40.0</v>
      </c>
      <c r="BV244" s="87">
        <v>487.0</v>
      </c>
      <c r="BW244" s="87">
        <v>653.0</v>
      </c>
      <c r="BX244" s="87">
        <v>4637.0</v>
      </c>
      <c r="BY244" s="87"/>
      <c r="BZ244" s="87">
        <v>3.0</v>
      </c>
      <c r="CA244" s="87">
        <v>820.0</v>
      </c>
      <c r="CB244" s="87">
        <v>69.0</v>
      </c>
      <c r="CC244" s="87">
        <v>4.0</v>
      </c>
      <c r="CD244" s="87">
        <v>12.0</v>
      </c>
      <c r="CE244" s="87"/>
      <c r="CF244" s="87"/>
      <c r="CG244" s="87">
        <v>2531.0</v>
      </c>
      <c r="CH244" s="87">
        <v>24406.0</v>
      </c>
      <c r="CI244" s="87"/>
      <c r="CJ244" s="87">
        <v>12584.0</v>
      </c>
      <c r="CK244" s="87">
        <v>4406.0</v>
      </c>
      <c r="CL244" s="87">
        <v>8296.0</v>
      </c>
      <c r="CM244" s="87">
        <v>153.0</v>
      </c>
      <c r="CN244" s="87"/>
      <c r="CO244" s="87">
        <v>1032.0</v>
      </c>
      <c r="CP244" s="87"/>
      <c r="CQ244" s="87">
        <v>459.0</v>
      </c>
      <c r="CR244" s="87">
        <v>7.0</v>
      </c>
      <c r="CS244" s="87"/>
      <c r="CT244" s="87">
        <v>3467.0</v>
      </c>
      <c r="CU244" s="87">
        <v>790.0</v>
      </c>
      <c r="CV244" s="87">
        <v>185.0</v>
      </c>
      <c r="CW244" s="87">
        <v>1213.0</v>
      </c>
      <c r="CX244" s="87">
        <v>325.0</v>
      </c>
      <c r="CY244" s="87">
        <v>664.0</v>
      </c>
      <c r="CZ244" s="87">
        <v>28.0</v>
      </c>
      <c r="DA244" s="87">
        <v>31.0</v>
      </c>
      <c r="DB244" s="87">
        <v>3945.0</v>
      </c>
      <c r="DC244" s="87">
        <v>1310.0</v>
      </c>
      <c r="DD244" s="87">
        <v>3091.0</v>
      </c>
      <c r="DE244" s="87">
        <v>437.0</v>
      </c>
      <c r="DF244" s="87">
        <v>1213.0</v>
      </c>
      <c r="DG244" s="87">
        <v>1048.0</v>
      </c>
      <c r="DH244" s="87">
        <v>2652.0</v>
      </c>
      <c r="DI244" s="87">
        <v>2565.0</v>
      </c>
      <c r="DJ244" s="87">
        <v>17.0</v>
      </c>
      <c r="DK244" s="87">
        <v>402.0</v>
      </c>
      <c r="DL244" s="87">
        <v>3282.0</v>
      </c>
      <c r="DM244" s="87">
        <v>272.0</v>
      </c>
      <c r="DN244" s="87"/>
      <c r="DO244" s="87">
        <v>2859.0</v>
      </c>
      <c r="DP244" s="87">
        <v>2387.0</v>
      </c>
      <c r="DQ244" s="87">
        <v>1893.0</v>
      </c>
      <c r="DR244" s="87">
        <v>3248.0</v>
      </c>
      <c r="DS244" s="87">
        <v>17.0</v>
      </c>
      <c r="DT244" s="87">
        <v>13.0</v>
      </c>
      <c r="DU244" s="87">
        <v>12.0</v>
      </c>
      <c r="DV244" s="87">
        <v>564.0</v>
      </c>
      <c r="DW244" s="87">
        <v>95.0</v>
      </c>
      <c r="DX244" s="87">
        <v>554.0</v>
      </c>
      <c r="DY244" s="87">
        <v>2190.0</v>
      </c>
      <c r="DZ244" s="87">
        <v>545.0</v>
      </c>
      <c r="EA244" s="87">
        <v>97.0</v>
      </c>
      <c r="EB244" s="87">
        <v>753.0</v>
      </c>
      <c r="EC244" s="87">
        <v>451.0</v>
      </c>
      <c r="ED244" s="87">
        <v>10758.0</v>
      </c>
      <c r="EE244" s="87">
        <v>501.0</v>
      </c>
      <c r="EF244" s="87">
        <v>15.0</v>
      </c>
      <c r="EG244" s="87">
        <v>415.0</v>
      </c>
      <c r="EH244" s="87">
        <v>8.0</v>
      </c>
      <c r="EI244" s="87">
        <v>243.0</v>
      </c>
      <c r="EJ244" s="87">
        <v>26256.0</v>
      </c>
      <c r="EK244" s="88"/>
      <c r="EL244" s="88"/>
      <c r="EM244" s="88"/>
      <c r="EN244" s="88"/>
      <c r="EO244" s="88"/>
      <c r="EP244" s="88"/>
      <c r="EQ244" s="90"/>
    </row>
    <row r="245" ht="12.0" customHeight="1">
      <c r="A245" s="89">
        <v>1.06314024E8</v>
      </c>
      <c r="B245" s="89" t="s">
        <v>1740</v>
      </c>
      <c r="C245" s="89" t="s">
        <v>1727</v>
      </c>
      <c r="D245" s="89" t="s">
        <v>1741</v>
      </c>
      <c r="E245" s="89" t="s">
        <v>1742</v>
      </c>
      <c r="F245" s="89" t="s">
        <v>1736</v>
      </c>
      <c r="G245" s="89" t="s">
        <v>1737</v>
      </c>
      <c r="H245" s="89" t="s">
        <v>447</v>
      </c>
      <c r="I245" s="89" t="s">
        <v>456</v>
      </c>
      <c r="J245" s="89" t="s">
        <v>448</v>
      </c>
      <c r="K245" s="89" t="s">
        <v>554</v>
      </c>
      <c r="L245" s="89" t="s">
        <v>1738</v>
      </c>
      <c r="M245" s="89" t="s">
        <v>1739</v>
      </c>
      <c r="N245" s="89" t="s">
        <v>441</v>
      </c>
      <c r="O245" s="87">
        <v>29982.0</v>
      </c>
      <c r="P245" s="87"/>
      <c r="Q245" s="87"/>
      <c r="R245" s="87"/>
      <c r="S245" s="87"/>
      <c r="T245" s="87"/>
      <c r="U245" s="87">
        <v>11458.0</v>
      </c>
      <c r="V245" s="87">
        <v>18521.0</v>
      </c>
      <c r="W245" s="87">
        <v>3.0</v>
      </c>
      <c r="X245" s="87">
        <v>8241.0</v>
      </c>
      <c r="Y245" s="87">
        <v>751.0</v>
      </c>
      <c r="Z245" s="87">
        <v>2943.0</v>
      </c>
      <c r="AA245" s="87">
        <v>4955.0</v>
      </c>
      <c r="AB245" s="87">
        <v>1272.0</v>
      </c>
      <c r="AC245" s="87">
        <v>1603.0</v>
      </c>
      <c r="AD245" s="87">
        <v>2926.0</v>
      </c>
      <c r="AE245" s="87">
        <v>3636.0</v>
      </c>
      <c r="AF245" s="87">
        <v>3653.0</v>
      </c>
      <c r="AG245" s="87">
        <v>2.0</v>
      </c>
      <c r="AH245" s="87">
        <v>4880.0</v>
      </c>
      <c r="AI245" s="87">
        <v>24650.0</v>
      </c>
      <c r="AJ245" s="87">
        <v>452.0</v>
      </c>
      <c r="AK245" s="87">
        <v>110.0</v>
      </c>
      <c r="AL245" s="87">
        <v>3091.0</v>
      </c>
      <c r="AM245" s="87">
        <v>182.0</v>
      </c>
      <c r="AN245" s="87">
        <v>1834.0</v>
      </c>
      <c r="AO245" s="87">
        <v>19601.0</v>
      </c>
      <c r="AP245" s="87">
        <v>400.0</v>
      </c>
      <c r="AQ245" s="87">
        <v>4051.0</v>
      </c>
      <c r="AR245" s="87">
        <v>713.0</v>
      </c>
      <c r="AS245" s="87">
        <v>20301.0</v>
      </c>
      <c r="AT245" s="87">
        <v>531.0</v>
      </c>
      <c r="AU245" s="87">
        <v>1384.0</v>
      </c>
      <c r="AV245" s="87">
        <v>348.0</v>
      </c>
      <c r="AW245" s="87">
        <v>409.0</v>
      </c>
      <c r="AX245" s="87">
        <v>1.0</v>
      </c>
      <c r="AY245" s="87">
        <v>12.0</v>
      </c>
      <c r="AZ245" s="87">
        <v>1.0</v>
      </c>
      <c r="BA245" s="87">
        <v>1.0</v>
      </c>
      <c r="BB245" s="87">
        <v>17.0</v>
      </c>
      <c r="BC245" s="87">
        <v>6977.0</v>
      </c>
      <c r="BD245" s="87"/>
      <c r="BE245" s="87">
        <v>12869.0</v>
      </c>
      <c r="BF245" s="87">
        <v>831.0</v>
      </c>
      <c r="BG245" s="87">
        <v>16282.0</v>
      </c>
      <c r="BH245" s="87"/>
      <c r="BI245" s="87">
        <v>113668.0</v>
      </c>
      <c r="BJ245" s="87">
        <v>1393.0</v>
      </c>
      <c r="BK245" s="87">
        <v>18760.0</v>
      </c>
      <c r="BL245" s="87">
        <v>2836.0</v>
      </c>
      <c r="BM245" s="87">
        <v>6977.0</v>
      </c>
      <c r="BN245" s="87"/>
      <c r="BO245" s="87">
        <v>16.0</v>
      </c>
      <c r="BP245" s="87">
        <v>22824.0</v>
      </c>
      <c r="BQ245" s="87">
        <v>487.0</v>
      </c>
      <c r="BR245" s="87">
        <v>45.0</v>
      </c>
      <c r="BS245" s="87">
        <v>1691.0</v>
      </c>
      <c r="BT245" s="87"/>
      <c r="BU245" s="87">
        <v>1.0</v>
      </c>
      <c r="BV245" s="87">
        <v>243.0</v>
      </c>
      <c r="BW245" s="87">
        <v>584.0</v>
      </c>
      <c r="BX245" s="87">
        <v>3595.0</v>
      </c>
      <c r="BY245" s="87"/>
      <c r="BZ245" s="87"/>
      <c r="CA245" s="87">
        <v>470.0</v>
      </c>
      <c r="CB245" s="87">
        <v>36.0</v>
      </c>
      <c r="CC245" s="87"/>
      <c r="CD245" s="87">
        <v>5.0</v>
      </c>
      <c r="CE245" s="87">
        <v>1.0</v>
      </c>
      <c r="CF245" s="87"/>
      <c r="CG245" s="87">
        <v>2159.0</v>
      </c>
      <c r="CH245" s="87">
        <v>27823.0</v>
      </c>
      <c r="CI245" s="87"/>
      <c r="CJ245" s="87">
        <v>9073.0</v>
      </c>
      <c r="CK245" s="87">
        <v>3464.0</v>
      </c>
      <c r="CL245" s="87">
        <v>16906.0</v>
      </c>
      <c r="CM245" s="87">
        <v>17.0</v>
      </c>
      <c r="CN245" s="87"/>
      <c r="CO245" s="87">
        <v>233.0</v>
      </c>
      <c r="CP245" s="87"/>
      <c r="CQ245" s="87">
        <v>285.0</v>
      </c>
      <c r="CR245" s="87">
        <v>4.0</v>
      </c>
      <c r="CS245" s="87"/>
      <c r="CT245" s="87">
        <v>3437.0</v>
      </c>
      <c r="CU245" s="87">
        <v>590.0</v>
      </c>
      <c r="CV245" s="87">
        <v>243.0</v>
      </c>
      <c r="CW245" s="87">
        <v>572.0</v>
      </c>
      <c r="CX245" s="87">
        <v>235.0</v>
      </c>
      <c r="CY245" s="87">
        <v>332.0</v>
      </c>
      <c r="CZ245" s="87">
        <v>30.0</v>
      </c>
      <c r="DA245" s="87">
        <v>19.0</v>
      </c>
      <c r="DB245" s="87">
        <v>3024.0</v>
      </c>
      <c r="DC245" s="87">
        <v>1408.0</v>
      </c>
      <c r="DD245" s="87">
        <v>2266.0</v>
      </c>
      <c r="DE245" s="87">
        <v>243.0</v>
      </c>
      <c r="DF245" s="87">
        <v>334.0</v>
      </c>
      <c r="DG245" s="87">
        <v>626.0</v>
      </c>
      <c r="DH245" s="87">
        <v>7396.0</v>
      </c>
      <c r="DI245" s="87">
        <v>7112.0</v>
      </c>
      <c r="DJ245" s="87">
        <v>96.0</v>
      </c>
      <c r="DK245" s="87">
        <v>357.0</v>
      </c>
      <c r="DL245" s="87">
        <v>1238.0</v>
      </c>
      <c r="DM245" s="87">
        <v>424.0</v>
      </c>
      <c r="DN245" s="87"/>
      <c r="DO245" s="87">
        <v>9691.0</v>
      </c>
      <c r="DP245" s="87">
        <v>6830.0</v>
      </c>
      <c r="DQ245" s="87">
        <v>1797.0</v>
      </c>
      <c r="DR245" s="87">
        <v>2192.0</v>
      </c>
      <c r="DS245" s="87">
        <v>20.0</v>
      </c>
      <c r="DT245" s="87">
        <v>9.0</v>
      </c>
      <c r="DU245" s="87">
        <v>5.0</v>
      </c>
      <c r="DV245" s="87">
        <v>1130.0</v>
      </c>
      <c r="DW245" s="87">
        <v>72.0</v>
      </c>
      <c r="DX245" s="87">
        <v>304.0</v>
      </c>
      <c r="DY245" s="87">
        <v>1112.0</v>
      </c>
      <c r="DZ245" s="87">
        <v>187.0</v>
      </c>
      <c r="EA245" s="87">
        <v>96.0</v>
      </c>
      <c r="EB245" s="87">
        <v>396.0</v>
      </c>
      <c r="EC245" s="87">
        <v>642.0</v>
      </c>
      <c r="ED245" s="87">
        <v>4686.0</v>
      </c>
      <c r="EE245" s="87">
        <v>813.0</v>
      </c>
      <c r="EF245" s="87">
        <v>7.0</v>
      </c>
      <c r="EG245" s="87">
        <v>82.0</v>
      </c>
      <c r="EH245" s="87"/>
      <c r="EI245" s="87">
        <v>66.0</v>
      </c>
      <c r="EJ245" s="87">
        <v>29827.0</v>
      </c>
      <c r="EK245" s="88"/>
      <c r="EL245" s="88"/>
      <c r="EM245" s="88"/>
      <c r="EN245" s="88"/>
      <c r="EO245" s="88"/>
      <c r="EP245" s="88"/>
      <c r="EQ245" s="90"/>
    </row>
    <row r="246" ht="12.0" customHeight="1">
      <c r="A246" s="89">
        <v>1.06314029E8</v>
      </c>
      <c r="B246" s="89" t="s">
        <v>1743</v>
      </c>
      <c r="C246" s="89" t="s">
        <v>1727</v>
      </c>
      <c r="D246" s="89" t="s">
        <v>1744</v>
      </c>
      <c r="E246" s="89" t="s">
        <v>1745</v>
      </c>
      <c r="F246" s="89" t="s">
        <v>1736</v>
      </c>
      <c r="G246" s="89" t="s">
        <v>1746</v>
      </c>
      <c r="H246" s="89" t="s">
        <v>475</v>
      </c>
      <c r="I246" s="89" t="s">
        <v>456</v>
      </c>
      <c r="J246" s="89" t="s">
        <v>499</v>
      </c>
      <c r="K246" s="89" t="s">
        <v>554</v>
      </c>
      <c r="L246" s="89" t="s">
        <v>1738</v>
      </c>
      <c r="M246" s="89" t="s">
        <v>1747</v>
      </c>
      <c r="N246" s="89" t="s">
        <v>441</v>
      </c>
      <c r="O246" s="87"/>
      <c r="P246" s="87"/>
      <c r="Q246" s="87">
        <v>335.0</v>
      </c>
      <c r="R246" s="87"/>
      <c r="S246" s="87"/>
      <c r="T246" s="87"/>
      <c r="U246" s="87">
        <v>191.0</v>
      </c>
      <c r="V246" s="87">
        <v>144.0</v>
      </c>
      <c r="W246" s="87"/>
      <c r="X246" s="87"/>
      <c r="Y246" s="87"/>
      <c r="Z246" s="87">
        <v>80.0</v>
      </c>
      <c r="AA246" s="87">
        <v>107.0</v>
      </c>
      <c r="AB246" s="87">
        <v>68.0</v>
      </c>
      <c r="AC246" s="87">
        <v>51.0</v>
      </c>
      <c r="AD246" s="87">
        <v>19.0</v>
      </c>
      <c r="AE246" s="87"/>
      <c r="AF246" s="87"/>
      <c r="AG246" s="87">
        <v>10.0</v>
      </c>
      <c r="AH246" s="87">
        <v>45.0</v>
      </c>
      <c r="AI246" s="87">
        <v>273.0</v>
      </c>
      <c r="AJ246" s="87">
        <v>17.0</v>
      </c>
      <c r="AK246" s="87"/>
      <c r="AL246" s="87"/>
      <c r="AM246" s="87"/>
      <c r="AN246" s="87">
        <v>16.0</v>
      </c>
      <c r="AO246" s="87">
        <v>259.0</v>
      </c>
      <c r="AP246" s="87">
        <v>29.0</v>
      </c>
      <c r="AQ246" s="87">
        <v>31.0</v>
      </c>
      <c r="AR246" s="87"/>
      <c r="AS246" s="87">
        <v>1.0</v>
      </c>
      <c r="AT246" s="87"/>
      <c r="AU246" s="87">
        <v>305.0</v>
      </c>
      <c r="AV246" s="87"/>
      <c r="AW246" s="87">
        <v>15.0</v>
      </c>
      <c r="AX246" s="87"/>
      <c r="AY246" s="87"/>
      <c r="AZ246" s="87"/>
      <c r="BA246" s="87">
        <v>14.0</v>
      </c>
      <c r="BB246" s="87"/>
      <c r="BC246" s="87"/>
      <c r="BD246" s="87"/>
      <c r="BE246" s="87"/>
      <c r="BF246" s="87">
        <v>303.0</v>
      </c>
      <c r="BG246" s="87">
        <v>32.0</v>
      </c>
      <c r="BH246" s="87"/>
      <c r="BI246" s="87">
        <v>5554.0</v>
      </c>
      <c r="BJ246" s="87"/>
      <c r="BK246" s="87">
        <v>335.0</v>
      </c>
      <c r="BL246" s="87"/>
      <c r="BM246" s="87"/>
      <c r="BN246" s="87"/>
      <c r="BO246" s="87"/>
      <c r="BP246" s="87">
        <v>252.0</v>
      </c>
      <c r="BQ246" s="87">
        <v>4.0</v>
      </c>
      <c r="BR246" s="87">
        <v>7.0</v>
      </c>
      <c r="BS246" s="87"/>
      <c r="BT246" s="87">
        <v>54.0</v>
      </c>
      <c r="BU246" s="87">
        <v>13.0</v>
      </c>
      <c r="BV246" s="87"/>
      <c r="BW246" s="87"/>
      <c r="BX246" s="87">
        <v>3.0</v>
      </c>
      <c r="BY246" s="87"/>
      <c r="BZ246" s="87"/>
      <c r="CA246" s="87"/>
      <c r="CB246" s="87">
        <v>2.0</v>
      </c>
      <c r="CC246" s="87"/>
      <c r="CD246" s="87"/>
      <c r="CE246" s="87"/>
      <c r="CF246" s="87"/>
      <c r="CG246" s="87"/>
      <c r="CH246" s="87">
        <v>335.0</v>
      </c>
      <c r="CI246" s="87"/>
      <c r="CJ246" s="87"/>
      <c r="CK246" s="87"/>
      <c r="CL246" s="87"/>
      <c r="CM246" s="87"/>
      <c r="CN246" s="87"/>
      <c r="CO246" s="87">
        <v>335.0</v>
      </c>
      <c r="CP246" s="87"/>
      <c r="CQ246" s="87"/>
      <c r="CR246" s="87"/>
      <c r="CS246" s="87"/>
      <c r="CT246" s="87"/>
      <c r="CU246" s="87"/>
      <c r="CV246" s="87"/>
      <c r="CW246" s="87"/>
      <c r="CX246" s="87">
        <v>335.0</v>
      </c>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v>335.0</v>
      </c>
      <c r="EE246" s="87"/>
      <c r="EF246" s="87"/>
      <c r="EG246" s="87">
        <v>5.0</v>
      </c>
      <c r="EH246" s="87"/>
      <c r="EI246" s="87">
        <v>3.0</v>
      </c>
      <c r="EJ246" s="87">
        <v>327.0</v>
      </c>
      <c r="EK246" s="88"/>
      <c r="EL246" s="88"/>
      <c r="EM246" s="88"/>
      <c r="EN246" s="88"/>
      <c r="EO246" s="88"/>
      <c r="EP246" s="88"/>
      <c r="EQ246" s="90"/>
    </row>
    <row r="247" ht="12.0" customHeight="1">
      <c r="A247" s="89">
        <v>1.06320859E8</v>
      </c>
      <c r="B247" s="89" t="s">
        <v>1748</v>
      </c>
      <c r="C247" s="89" t="s">
        <v>1749</v>
      </c>
      <c r="D247" s="89" t="s">
        <v>1750</v>
      </c>
      <c r="E247" s="89" t="s">
        <v>1751</v>
      </c>
      <c r="F247" s="89" t="s">
        <v>1752</v>
      </c>
      <c r="G247" s="89" t="s">
        <v>1753</v>
      </c>
      <c r="H247" s="89" t="s">
        <v>494</v>
      </c>
      <c r="I247" s="89" t="s">
        <v>543</v>
      </c>
      <c r="J247" s="89" t="s">
        <v>499</v>
      </c>
      <c r="K247" s="89" t="s">
        <v>645</v>
      </c>
      <c r="L247" s="89" t="s">
        <v>645</v>
      </c>
      <c r="M247" s="89" t="s">
        <v>1754</v>
      </c>
      <c r="N247" s="89" t="s">
        <v>714</v>
      </c>
      <c r="O247" s="87">
        <v>87.0</v>
      </c>
      <c r="P247" s="87">
        <v>49.0</v>
      </c>
      <c r="Q247" s="87"/>
      <c r="R247" s="87"/>
      <c r="S247" s="87"/>
      <c r="T247" s="87"/>
      <c r="U247" s="87">
        <v>63.0</v>
      </c>
      <c r="V247" s="87">
        <v>73.0</v>
      </c>
      <c r="W247" s="87"/>
      <c r="X247" s="87"/>
      <c r="Y247" s="87"/>
      <c r="Z247" s="87"/>
      <c r="AA247" s="87"/>
      <c r="AB247" s="87"/>
      <c r="AC247" s="87"/>
      <c r="AD247" s="87">
        <v>17.0</v>
      </c>
      <c r="AE247" s="87">
        <v>58.0</v>
      </c>
      <c r="AF247" s="87">
        <v>48.0</v>
      </c>
      <c r="AG247" s="87">
        <v>13.0</v>
      </c>
      <c r="AH247" s="87"/>
      <c r="AI247" s="87">
        <v>128.0</v>
      </c>
      <c r="AJ247" s="87">
        <v>8.0</v>
      </c>
      <c r="AK247" s="87"/>
      <c r="AL247" s="87"/>
      <c r="AM247" s="87"/>
      <c r="AN247" s="87"/>
      <c r="AO247" s="87">
        <v>121.0</v>
      </c>
      <c r="AP247" s="87">
        <v>4.0</v>
      </c>
      <c r="AQ247" s="87">
        <v>11.0</v>
      </c>
      <c r="AR247" s="87"/>
      <c r="AS247" s="87">
        <v>64.0</v>
      </c>
      <c r="AT247" s="87"/>
      <c r="AU247" s="87">
        <v>16.0</v>
      </c>
      <c r="AV247" s="87">
        <v>2.0</v>
      </c>
      <c r="AW247" s="87">
        <v>1.0</v>
      </c>
      <c r="AX247" s="87">
        <v>53.0</v>
      </c>
      <c r="AY247" s="87"/>
      <c r="AZ247" s="87"/>
      <c r="BA247" s="87"/>
      <c r="BB247" s="87"/>
      <c r="BC247" s="87"/>
      <c r="BD247" s="87"/>
      <c r="BE247" s="87">
        <v>88.0</v>
      </c>
      <c r="BF247" s="87">
        <v>5.0</v>
      </c>
      <c r="BG247" s="87">
        <v>43.0</v>
      </c>
      <c r="BH247" s="87"/>
      <c r="BI247" s="87">
        <v>8320.0</v>
      </c>
      <c r="BJ247" s="87">
        <v>90.0</v>
      </c>
      <c r="BK247" s="87">
        <v>1.0</v>
      </c>
      <c r="BL247" s="87">
        <v>45.0</v>
      </c>
      <c r="BM247" s="87"/>
      <c r="BN247" s="87"/>
      <c r="BO247" s="87"/>
      <c r="BP247" s="87">
        <v>70.0</v>
      </c>
      <c r="BQ247" s="87">
        <v>18.0</v>
      </c>
      <c r="BR247" s="87"/>
      <c r="BS247" s="87">
        <v>30.0</v>
      </c>
      <c r="BT247" s="87"/>
      <c r="BU247" s="87"/>
      <c r="BV247" s="87">
        <v>2.0</v>
      </c>
      <c r="BW247" s="87">
        <v>14.0</v>
      </c>
      <c r="BX247" s="87"/>
      <c r="BY247" s="87"/>
      <c r="BZ247" s="87"/>
      <c r="CA247" s="87"/>
      <c r="CB247" s="87"/>
      <c r="CC247" s="87">
        <v>2.0</v>
      </c>
      <c r="CD247" s="87"/>
      <c r="CE247" s="87"/>
      <c r="CF247" s="87"/>
      <c r="CG247" s="87">
        <v>46.0</v>
      </c>
      <c r="CH247" s="87">
        <v>90.0</v>
      </c>
      <c r="CI247" s="87"/>
      <c r="CJ247" s="87">
        <v>109.0</v>
      </c>
      <c r="CK247" s="87">
        <v>21.0</v>
      </c>
      <c r="CL247" s="87">
        <v>3.0</v>
      </c>
      <c r="CM247" s="87"/>
      <c r="CN247" s="87"/>
      <c r="CO247" s="87">
        <v>3.0</v>
      </c>
      <c r="CP247" s="87"/>
      <c r="CQ247" s="87"/>
      <c r="CR247" s="87"/>
      <c r="CS247" s="87"/>
      <c r="CT247" s="87">
        <v>10.0</v>
      </c>
      <c r="CU247" s="87">
        <v>2.0</v>
      </c>
      <c r="CV247" s="87"/>
      <c r="CW247" s="87">
        <v>7.0</v>
      </c>
      <c r="CX247" s="87"/>
      <c r="CY247" s="87">
        <v>11.0</v>
      </c>
      <c r="CZ247" s="87"/>
      <c r="DA247" s="87"/>
      <c r="DB247" s="87">
        <v>10.0</v>
      </c>
      <c r="DC247" s="87">
        <v>25.0</v>
      </c>
      <c r="DD247" s="87">
        <v>9.0</v>
      </c>
      <c r="DE247" s="87">
        <v>15.0</v>
      </c>
      <c r="DF247" s="87">
        <v>3.0</v>
      </c>
      <c r="DG247" s="87">
        <v>10.0</v>
      </c>
      <c r="DH247" s="87"/>
      <c r="DI247" s="87"/>
      <c r="DJ247" s="87"/>
      <c r="DK247" s="87">
        <v>20.0</v>
      </c>
      <c r="DL247" s="87">
        <v>13.0</v>
      </c>
      <c r="DM247" s="87">
        <v>1.0</v>
      </c>
      <c r="DN247" s="87"/>
      <c r="DO247" s="87">
        <v>6.0</v>
      </c>
      <c r="DP247" s="87"/>
      <c r="DQ247" s="87"/>
      <c r="DR247" s="87"/>
      <c r="DS247" s="87"/>
      <c r="DT247" s="87"/>
      <c r="DU247" s="87"/>
      <c r="DV247" s="87"/>
      <c r="DW247" s="87"/>
      <c r="DX247" s="87"/>
      <c r="DY247" s="87">
        <v>1.0</v>
      </c>
      <c r="DZ247" s="87"/>
      <c r="EA247" s="87"/>
      <c r="EB247" s="87"/>
      <c r="EC247" s="87"/>
      <c r="ED247" s="87">
        <v>129.0</v>
      </c>
      <c r="EE247" s="87"/>
      <c r="EF247" s="87"/>
      <c r="EG247" s="87"/>
      <c r="EH247" s="87"/>
      <c r="EI247" s="87">
        <v>5.0</v>
      </c>
      <c r="EJ247" s="87">
        <v>131.0</v>
      </c>
      <c r="EK247" s="88"/>
      <c r="EL247" s="88"/>
      <c r="EM247" s="88"/>
      <c r="EN247" s="88"/>
      <c r="EO247" s="88"/>
      <c r="EP247" s="88"/>
      <c r="EQ247" s="90"/>
    </row>
    <row r="248" ht="12.0" customHeight="1">
      <c r="A248" s="89">
        <v>1.06320986E8</v>
      </c>
      <c r="B248" s="89" t="s">
        <v>1755</v>
      </c>
      <c r="C248" s="89" t="s">
        <v>1749</v>
      </c>
      <c r="D248" s="89" t="s">
        <v>1756</v>
      </c>
      <c r="E248" s="89" t="s">
        <v>1757</v>
      </c>
      <c r="F248" s="89" t="s">
        <v>1758</v>
      </c>
      <c r="G248" s="89" t="s">
        <v>1759</v>
      </c>
      <c r="H248" s="89" t="s">
        <v>494</v>
      </c>
      <c r="I248" s="89" t="s">
        <v>543</v>
      </c>
      <c r="J248" s="89" t="s">
        <v>499</v>
      </c>
      <c r="K248" s="89" t="s">
        <v>645</v>
      </c>
      <c r="L248" s="89" t="s">
        <v>645</v>
      </c>
      <c r="M248" s="89" t="s">
        <v>1760</v>
      </c>
      <c r="N248" s="89" t="s">
        <v>714</v>
      </c>
      <c r="O248" s="87">
        <v>337.0</v>
      </c>
      <c r="P248" s="87"/>
      <c r="Q248" s="87"/>
      <c r="R248" s="87"/>
      <c r="S248" s="87"/>
      <c r="T248" s="87"/>
      <c r="U248" s="87">
        <v>163.0</v>
      </c>
      <c r="V248" s="87">
        <v>174.0</v>
      </c>
      <c r="W248" s="87"/>
      <c r="X248" s="87">
        <v>19.0</v>
      </c>
      <c r="Y248" s="87"/>
      <c r="Z248" s="87">
        <v>25.0</v>
      </c>
      <c r="AA248" s="87">
        <v>28.0</v>
      </c>
      <c r="AB248" s="87">
        <v>21.0</v>
      </c>
      <c r="AC248" s="87">
        <v>42.0</v>
      </c>
      <c r="AD248" s="87">
        <v>67.0</v>
      </c>
      <c r="AE248" s="87">
        <v>69.0</v>
      </c>
      <c r="AF248" s="87">
        <v>64.0</v>
      </c>
      <c r="AG248" s="87">
        <v>2.0</v>
      </c>
      <c r="AH248" s="87">
        <v>17.0</v>
      </c>
      <c r="AI248" s="87">
        <v>296.0</v>
      </c>
      <c r="AJ248" s="87">
        <v>24.0</v>
      </c>
      <c r="AK248" s="87">
        <v>11.0</v>
      </c>
      <c r="AL248" s="87"/>
      <c r="AM248" s="87"/>
      <c r="AN248" s="87"/>
      <c r="AO248" s="87">
        <v>307.0</v>
      </c>
      <c r="AP248" s="87">
        <v>19.0</v>
      </c>
      <c r="AQ248" s="87"/>
      <c r="AR248" s="87"/>
      <c r="AS248" s="87">
        <v>274.0</v>
      </c>
      <c r="AT248" s="87">
        <v>45.0</v>
      </c>
      <c r="AU248" s="87">
        <v>3.0</v>
      </c>
      <c r="AV248" s="87"/>
      <c r="AW248" s="87">
        <v>3.0</v>
      </c>
      <c r="AX248" s="87"/>
      <c r="AY248" s="87"/>
      <c r="AZ248" s="87"/>
      <c r="BA248" s="87"/>
      <c r="BB248" s="87"/>
      <c r="BC248" s="87">
        <v>12.0</v>
      </c>
      <c r="BD248" s="87"/>
      <c r="BE248" s="87">
        <v>276.0</v>
      </c>
      <c r="BF248" s="87"/>
      <c r="BG248" s="87">
        <v>61.0</v>
      </c>
      <c r="BH248" s="87"/>
      <c r="BI248" s="87">
        <v>1369.0</v>
      </c>
      <c r="BJ248" s="87">
        <v>270.0</v>
      </c>
      <c r="BK248" s="87">
        <v>7.0</v>
      </c>
      <c r="BL248" s="87">
        <v>48.0</v>
      </c>
      <c r="BM248" s="87">
        <v>12.0</v>
      </c>
      <c r="BN248" s="87"/>
      <c r="BO248" s="87"/>
      <c r="BP248" s="87">
        <v>289.0</v>
      </c>
      <c r="BQ248" s="87">
        <v>15.0</v>
      </c>
      <c r="BR248" s="87">
        <v>2.0</v>
      </c>
      <c r="BS248" s="87">
        <v>6.0</v>
      </c>
      <c r="BT248" s="87"/>
      <c r="BU248" s="87">
        <v>1.0</v>
      </c>
      <c r="BV248" s="87">
        <v>4.0</v>
      </c>
      <c r="BW248" s="87">
        <v>10.0</v>
      </c>
      <c r="BX248" s="87">
        <v>6.0</v>
      </c>
      <c r="BY248" s="87"/>
      <c r="BZ248" s="87"/>
      <c r="CA248" s="87">
        <v>1.0</v>
      </c>
      <c r="CB248" s="87"/>
      <c r="CC248" s="87">
        <v>1.0</v>
      </c>
      <c r="CD248" s="87">
        <v>2.0</v>
      </c>
      <c r="CE248" s="87"/>
      <c r="CF248" s="87"/>
      <c r="CG248" s="87">
        <v>27.0</v>
      </c>
      <c r="CH248" s="87">
        <v>310.0</v>
      </c>
      <c r="CI248" s="87"/>
      <c r="CJ248" s="87">
        <v>184.0</v>
      </c>
      <c r="CK248" s="87">
        <v>75.0</v>
      </c>
      <c r="CL248" s="87">
        <v>61.0</v>
      </c>
      <c r="CM248" s="87">
        <v>1.0</v>
      </c>
      <c r="CN248" s="87"/>
      <c r="CO248" s="87">
        <v>13.0</v>
      </c>
      <c r="CP248" s="87"/>
      <c r="CQ248" s="87">
        <v>3.0</v>
      </c>
      <c r="CR248" s="87"/>
      <c r="CS248" s="87"/>
      <c r="CT248" s="87">
        <v>14.0</v>
      </c>
      <c r="CU248" s="87">
        <v>9.0</v>
      </c>
      <c r="CV248" s="87">
        <v>3.0</v>
      </c>
      <c r="CW248" s="87">
        <v>21.0</v>
      </c>
      <c r="CX248" s="87">
        <v>19.0</v>
      </c>
      <c r="CY248" s="87">
        <v>5.0</v>
      </c>
      <c r="CZ248" s="87"/>
      <c r="DA248" s="87">
        <v>1.0</v>
      </c>
      <c r="DB248" s="87">
        <v>33.0</v>
      </c>
      <c r="DC248" s="87">
        <v>45.0</v>
      </c>
      <c r="DD248" s="87">
        <v>65.0</v>
      </c>
      <c r="DE248" s="87">
        <v>21.0</v>
      </c>
      <c r="DF248" s="87">
        <v>13.0</v>
      </c>
      <c r="DG248" s="87">
        <v>17.0</v>
      </c>
      <c r="DH248" s="87">
        <v>15.0</v>
      </c>
      <c r="DI248" s="87">
        <v>14.0</v>
      </c>
      <c r="DJ248" s="87"/>
      <c r="DK248" s="87">
        <v>31.0</v>
      </c>
      <c r="DL248" s="87">
        <v>10.0</v>
      </c>
      <c r="DM248" s="87">
        <v>1.0</v>
      </c>
      <c r="DN248" s="87"/>
      <c r="DO248" s="87">
        <v>5.0</v>
      </c>
      <c r="DP248" s="87">
        <v>10.0</v>
      </c>
      <c r="DQ248" s="87">
        <v>26.0</v>
      </c>
      <c r="DR248" s="87">
        <v>35.0</v>
      </c>
      <c r="DS248" s="87"/>
      <c r="DT248" s="87"/>
      <c r="DU248" s="87"/>
      <c r="DV248" s="87">
        <v>5.0</v>
      </c>
      <c r="DW248" s="87"/>
      <c r="DX248" s="87">
        <v>3.0</v>
      </c>
      <c r="DY248" s="87">
        <v>2.0</v>
      </c>
      <c r="DZ248" s="87"/>
      <c r="EA248" s="87">
        <v>1.0</v>
      </c>
      <c r="EB248" s="87">
        <v>2.0</v>
      </c>
      <c r="EC248" s="87">
        <v>19.0</v>
      </c>
      <c r="ED248" s="87">
        <v>229.0</v>
      </c>
      <c r="EE248" s="87"/>
      <c r="EF248" s="87"/>
      <c r="EG248" s="87"/>
      <c r="EH248" s="87"/>
      <c r="EI248" s="87">
        <v>4.0</v>
      </c>
      <c r="EJ248" s="87">
        <v>333.0</v>
      </c>
      <c r="EK248" s="88"/>
      <c r="EL248" s="88"/>
      <c r="EM248" s="88"/>
      <c r="EN248" s="88"/>
      <c r="EO248" s="88"/>
      <c r="EP248" s="88"/>
      <c r="EQ248" s="90"/>
    </row>
    <row r="249" ht="12.0" customHeight="1">
      <c r="A249" s="89">
        <v>1.06321016E8</v>
      </c>
      <c r="B249" s="89" t="s">
        <v>1761</v>
      </c>
      <c r="C249" s="89" t="s">
        <v>1749</v>
      </c>
      <c r="D249" s="89" t="s">
        <v>1762</v>
      </c>
      <c r="E249" s="89" t="s">
        <v>1763</v>
      </c>
      <c r="F249" s="89" t="s">
        <v>1764</v>
      </c>
      <c r="G249" s="89" t="s">
        <v>1765</v>
      </c>
      <c r="H249" s="89" t="s">
        <v>494</v>
      </c>
      <c r="I249" s="89" t="s">
        <v>543</v>
      </c>
      <c r="J249" s="89" t="s">
        <v>499</v>
      </c>
      <c r="K249" s="89" t="s">
        <v>645</v>
      </c>
      <c r="L249" s="89" t="s">
        <v>645</v>
      </c>
      <c r="M249" s="89" t="s">
        <v>1766</v>
      </c>
      <c r="N249" s="89" t="s">
        <v>714</v>
      </c>
      <c r="O249" s="87">
        <v>85.0</v>
      </c>
      <c r="P249" s="87">
        <v>14.0</v>
      </c>
      <c r="Q249" s="87"/>
      <c r="R249" s="87"/>
      <c r="S249" s="87"/>
      <c r="T249" s="87"/>
      <c r="U249" s="87">
        <v>37.0</v>
      </c>
      <c r="V249" s="87">
        <v>62.0</v>
      </c>
      <c r="W249" s="87"/>
      <c r="X249" s="87"/>
      <c r="Y249" s="87"/>
      <c r="Z249" s="87"/>
      <c r="AA249" s="87"/>
      <c r="AB249" s="87"/>
      <c r="AC249" s="87"/>
      <c r="AD249" s="87">
        <v>28.0</v>
      </c>
      <c r="AE249" s="87">
        <v>21.0</v>
      </c>
      <c r="AF249" s="87">
        <v>38.0</v>
      </c>
      <c r="AG249" s="87">
        <v>12.0</v>
      </c>
      <c r="AH249" s="87"/>
      <c r="AI249" s="87">
        <v>93.0</v>
      </c>
      <c r="AJ249" s="87">
        <v>6.0</v>
      </c>
      <c r="AK249" s="87"/>
      <c r="AL249" s="87"/>
      <c r="AM249" s="87"/>
      <c r="AN249" s="87"/>
      <c r="AO249" s="87">
        <v>88.0</v>
      </c>
      <c r="AP249" s="87">
        <v>11.0</v>
      </c>
      <c r="AQ249" s="87"/>
      <c r="AR249" s="87"/>
      <c r="AS249" s="87">
        <v>81.0</v>
      </c>
      <c r="AT249" s="87"/>
      <c r="AU249" s="87">
        <v>1.0</v>
      </c>
      <c r="AV249" s="87">
        <v>12.0</v>
      </c>
      <c r="AW249" s="87"/>
      <c r="AX249" s="87">
        <v>5.0</v>
      </c>
      <c r="AY249" s="87"/>
      <c r="AZ249" s="87"/>
      <c r="BA249" s="87"/>
      <c r="BB249" s="87"/>
      <c r="BC249" s="87"/>
      <c r="BD249" s="87"/>
      <c r="BE249" s="87">
        <v>80.0</v>
      </c>
      <c r="BF249" s="87"/>
      <c r="BG249" s="87">
        <v>19.0</v>
      </c>
      <c r="BH249" s="87"/>
      <c r="BI249" s="87">
        <v>749.0</v>
      </c>
      <c r="BJ249" s="87"/>
      <c r="BK249" s="87">
        <v>80.0</v>
      </c>
      <c r="BL249" s="87">
        <v>19.0</v>
      </c>
      <c r="BM249" s="87"/>
      <c r="BN249" s="87"/>
      <c r="BO249" s="87"/>
      <c r="BP249" s="87">
        <v>60.0</v>
      </c>
      <c r="BQ249" s="87">
        <v>5.0</v>
      </c>
      <c r="BR249" s="87">
        <v>3.0</v>
      </c>
      <c r="BS249" s="87">
        <v>9.0</v>
      </c>
      <c r="BT249" s="87"/>
      <c r="BU249" s="87"/>
      <c r="BV249" s="87">
        <v>2.0</v>
      </c>
      <c r="BW249" s="87">
        <v>9.0</v>
      </c>
      <c r="BX249" s="87"/>
      <c r="BY249" s="87"/>
      <c r="BZ249" s="87"/>
      <c r="CA249" s="87"/>
      <c r="CB249" s="87"/>
      <c r="CC249" s="87">
        <v>5.0</v>
      </c>
      <c r="CD249" s="87">
        <v>6.0</v>
      </c>
      <c r="CE249" s="87"/>
      <c r="CF249" s="87"/>
      <c r="CG249" s="87">
        <v>28.0</v>
      </c>
      <c r="CH249" s="87">
        <v>71.0</v>
      </c>
      <c r="CI249" s="87"/>
      <c r="CJ249" s="87">
        <v>76.0</v>
      </c>
      <c r="CK249" s="87">
        <v>9.0</v>
      </c>
      <c r="CL249" s="87">
        <v>13.0</v>
      </c>
      <c r="CM249" s="87"/>
      <c r="CN249" s="87"/>
      <c r="CO249" s="87"/>
      <c r="CP249" s="87"/>
      <c r="CQ249" s="87">
        <v>1.0</v>
      </c>
      <c r="CR249" s="87"/>
      <c r="CS249" s="87"/>
      <c r="CT249" s="87">
        <v>8.0</v>
      </c>
      <c r="CU249" s="87">
        <v>5.0</v>
      </c>
      <c r="CV249" s="87"/>
      <c r="CW249" s="87">
        <v>10.0</v>
      </c>
      <c r="CX249" s="87">
        <v>2.0</v>
      </c>
      <c r="CY249" s="87">
        <v>2.0</v>
      </c>
      <c r="CZ249" s="87"/>
      <c r="DA249" s="87"/>
      <c r="DB249" s="87">
        <v>9.0</v>
      </c>
      <c r="DC249" s="87">
        <v>24.0</v>
      </c>
      <c r="DD249" s="87">
        <v>11.0</v>
      </c>
      <c r="DE249" s="87">
        <v>6.0</v>
      </c>
      <c r="DF249" s="87">
        <v>2.0</v>
      </c>
      <c r="DG249" s="87">
        <v>3.0</v>
      </c>
      <c r="DH249" s="87"/>
      <c r="DI249" s="87"/>
      <c r="DJ249" s="87"/>
      <c r="DK249" s="87">
        <v>9.0</v>
      </c>
      <c r="DL249" s="87">
        <v>8.0</v>
      </c>
      <c r="DM249" s="87"/>
      <c r="DN249" s="87"/>
      <c r="DO249" s="87">
        <v>3.0</v>
      </c>
      <c r="DP249" s="87"/>
      <c r="DQ249" s="87"/>
      <c r="DR249" s="87"/>
      <c r="DS249" s="87"/>
      <c r="DT249" s="87"/>
      <c r="DU249" s="87"/>
      <c r="DV249" s="87"/>
      <c r="DW249" s="87"/>
      <c r="DX249" s="87"/>
      <c r="DY249" s="87"/>
      <c r="DZ249" s="87"/>
      <c r="EA249" s="87"/>
      <c r="EB249" s="87"/>
      <c r="EC249" s="87"/>
      <c r="ED249" s="87">
        <v>96.0</v>
      </c>
      <c r="EE249" s="87"/>
      <c r="EF249" s="87"/>
      <c r="EG249" s="87">
        <v>1.0</v>
      </c>
      <c r="EH249" s="87"/>
      <c r="EI249" s="87">
        <v>1.0</v>
      </c>
      <c r="EJ249" s="87">
        <v>97.0</v>
      </c>
      <c r="EK249" s="88"/>
      <c r="EL249" s="88"/>
      <c r="EM249" s="88"/>
      <c r="EN249" s="88"/>
      <c r="EO249" s="88"/>
      <c r="EP249" s="88"/>
      <c r="EQ249" s="90"/>
    </row>
    <row r="250" ht="12.0" customHeight="1">
      <c r="A250" s="89">
        <v>1.0633012E8</v>
      </c>
      <c r="B250" s="89" t="s">
        <v>1767</v>
      </c>
      <c r="C250" s="89" t="s">
        <v>1768</v>
      </c>
      <c r="D250" s="89" t="s">
        <v>1769</v>
      </c>
      <c r="E250" s="89" t="s">
        <v>1770</v>
      </c>
      <c r="F250" s="89" t="s">
        <v>1771</v>
      </c>
      <c r="G250" s="89" t="s">
        <v>1772</v>
      </c>
      <c r="H250" s="89" t="s">
        <v>447</v>
      </c>
      <c r="I250" s="89" t="s">
        <v>543</v>
      </c>
      <c r="J250" s="89" t="s">
        <v>437</v>
      </c>
      <c r="K250" s="89" t="s">
        <v>1773</v>
      </c>
      <c r="L250" s="89" t="s">
        <v>1774</v>
      </c>
      <c r="M250" s="89" t="s">
        <v>1775</v>
      </c>
      <c r="N250" s="89" t="s">
        <v>441</v>
      </c>
      <c r="O250" s="87"/>
      <c r="P250" s="87"/>
      <c r="Q250" s="87"/>
      <c r="R250" s="87">
        <v>1496.0</v>
      </c>
      <c r="S250" s="87"/>
      <c r="T250" s="87"/>
      <c r="U250" s="87">
        <v>943.0</v>
      </c>
      <c r="V250" s="87">
        <v>553.0</v>
      </c>
      <c r="W250" s="87"/>
      <c r="X250" s="87"/>
      <c r="Y250" s="87">
        <v>11.0</v>
      </c>
      <c r="Z250" s="87">
        <v>251.0</v>
      </c>
      <c r="AA250" s="87">
        <v>342.0</v>
      </c>
      <c r="AB250" s="87">
        <v>364.0</v>
      </c>
      <c r="AC250" s="87">
        <v>342.0</v>
      </c>
      <c r="AD250" s="87">
        <v>160.0</v>
      </c>
      <c r="AE250" s="87">
        <v>24.0</v>
      </c>
      <c r="AF250" s="87"/>
      <c r="AG250" s="87">
        <v>2.0</v>
      </c>
      <c r="AH250" s="87">
        <v>204.0</v>
      </c>
      <c r="AI250" s="87">
        <v>1280.0</v>
      </c>
      <c r="AJ250" s="87">
        <v>12.0</v>
      </c>
      <c r="AK250" s="87">
        <v>32.0</v>
      </c>
      <c r="AL250" s="87">
        <v>16.0</v>
      </c>
      <c r="AM250" s="87"/>
      <c r="AN250" s="87">
        <v>37.0</v>
      </c>
      <c r="AO250" s="87">
        <v>1309.0</v>
      </c>
      <c r="AP250" s="87">
        <v>8.0</v>
      </c>
      <c r="AQ250" s="87">
        <v>22.0</v>
      </c>
      <c r="AR250" s="87">
        <v>72.0</v>
      </c>
      <c r="AS250" s="87">
        <v>1496.0</v>
      </c>
      <c r="AT250" s="87"/>
      <c r="AU250" s="87"/>
      <c r="AV250" s="87"/>
      <c r="AW250" s="87"/>
      <c r="AX250" s="87"/>
      <c r="AY250" s="87"/>
      <c r="AZ250" s="87"/>
      <c r="BA250" s="87"/>
      <c r="BB250" s="87"/>
      <c r="BC250" s="87"/>
      <c r="BD250" s="87"/>
      <c r="BE250" s="87"/>
      <c r="BF250" s="87"/>
      <c r="BG250" s="87">
        <v>1496.0</v>
      </c>
      <c r="BH250" s="87"/>
      <c r="BI250" s="87">
        <v>24655.0</v>
      </c>
      <c r="BJ250" s="87"/>
      <c r="BK250" s="87"/>
      <c r="BL250" s="87">
        <v>1496.0</v>
      </c>
      <c r="BM250" s="87"/>
      <c r="BN250" s="87"/>
      <c r="BO250" s="87"/>
      <c r="BP250" s="87">
        <v>1288.0</v>
      </c>
      <c r="BQ250" s="87"/>
      <c r="BR250" s="87"/>
      <c r="BS250" s="87"/>
      <c r="BT250" s="87"/>
      <c r="BU250" s="87"/>
      <c r="BV250" s="87">
        <v>208.0</v>
      </c>
      <c r="BW250" s="87"/>
      <c r="BX250" s="87"/>
      <c r="BY250" s="87"/>
      <c r="BZ250" s="87"/>
      <c r="CA250" s="87"/>
      <c r="CB250" s="87"/>
      <c r="CC250" s="87"/>
      <c r="CD250" s="87"/>
      <c r="CE250" s="87"/>
      <c r="CF250" s="87"/>
      <c r="CG250" s="87"/>
      <c r="CH250" s="87">
        <v>1496.0</v>
      </c>
      <c r="CI250" s="87"/>
      <c r="CJ250" s="87">
        <v>3.0</v>
      </c>
      <c r="CK250" s="87"/>
      <c r="CL250" s="87">
        <v>1365.0</v>
      </c>
      <c r="CM250" s="87"/>
      <c r="CN250" s="87"/>
      <c r="CO250" s="87"/>
      <c r="CP250" s="87"/>
      <c r="CQ250" s="87">
        <v>105.0</v>
      </c>
      <c r="CR250" s="87">
        <v>23.0</v>
      </c>
      <c r="CS250" s="87"/>
      <c r="CT250" s="87"/>
      <c r="CU250" s="87"/>
      <c r="CV250" s="87"/>
      <c r="CW250" s="87"/>
      <c r="CX250" s="87">
        <v>1496.0</v>
      </c>
      <c r="CY250" s="87"/>
      <c r="CZ250" s="87"/>
      <c r="DA250" s="87"/>
      <c r="DB250" s="87"/>
      <c r="DC250" s="87"/>
      <c r="DD250" s="87"/>
      <c r="DE250" s="87"/>
      <c r="DF250" s="87"/>
      <c r="DG250" s="87"/>
      <c r="DH250" s="87"/>
      <c r="DI250" s="87"/>
      <c r="DJ250" s="87"/>
      <c r="DK250" s="87"/>
      <c r="DL250" s="87"/>
      <c r="DM250" s="87"/>
      <c r="DN250" s="87"/>
      <c r="DO250" s="87">
        <v>1490.0</v>
      </c>
      <c r="DP250" s="87"/>
      <c r="DQ250" s="87"/>
      <c r="DR250" s="87"/>
      <c r="DS250" s="87"/>
      <c r="DT250" s="87"/>
      <c r="DU250" s="87"/>
      <c r="DV250" s="87"/>
      <c r="DW250" s="87"/>
      <c r="DX250" s="87"/>
      <c r="DY250" s="87"/>
      <c r="DZ250" s="87"/>
      <c r="EA250" s="87"/>
      <c r="EB250" s="87"/>
      <c r="EC250" s="87"/>
      <c r="ED250" s="87">
        <v>6.0</v>
      </c>
      <c r="EE250" s="87"/>
      <c r="EF250" s="87">
        <v>1.0</v>
      </c>
      <c r="EG250" s="87"/>
      <c r="EH250" s="87">
        <v>9.0</v>
      </c>
      <c r="EI250" s="87">
        <v>586.0</v>
      </c>
      <c r="EJ250" s="87">
        <v>900.0</v>
      </c>
      <c r="EK250" s="88"/>
      <c r="EL250" s="88"/>
      <c r="EM250" s="88"/>
      <c r="EN250" s="88"/>
      <c r="EO250" s="88"/>
      <c r="EP250" s="88"/>
      <c r="EQ250" s="90"/>
    </row>
    <row r="251" ht="12.0" customHeight="1">
      <c r="A251" s="89">
        <v>1.06331152E8</v>
      </c>
      <c r="B251" s="89" t="s">
        <v>1776</v>
      </c>
      <c r="C251" s="89" t="s">
        <v>1768</v>
      </c>
      <c r="D251" s="89" t="s">
        <v>1777</v>
      </c>
      <c r="E251" s="89" t="s">
        <v>1778</v>
      </c>
      <c r="F251" s="89" t="s">
        <v>1779</v>
      </c>
      <c r="G251" s="89" t="s">
        <v>1780</v>
      </c>
      <c r="H251" s="89" t="s">
        <v>503</v>
      </c>
      <c r="I251" s="89" t="s">
        <v>543</v>
      </c>
      <c r="J251" s="89" t="s">
        <v>457</v>
      </c>
      <c r="K251" s="89" t="s">
        <v>670</v>
      </c>
      <c r="L251" s="89" t="s">
        <v>1781</v>
      </c>
      <c r="M251" s="89" t="s">
        <v>1782</v>
      </c>
      <c r="N251" s="89" t="s">
        <v>441</v>
      </c>
      <c r="O251" s="87">
        <v>9454.0</v>
      </c>
      <c r="P251" s="87">
        <v>102.0</v>
      </c>
      <c r="Q251" s="87">
        <v>1390.0</v>
      </c>
      <c r="R251" s="87"/>
      <c r="S251" s="87"/>
      <c r="T251" s="87"/>
      <c r="U251" s="87">
        <v>4694.0</v>
      </c>
      <c r="V251" s="87">
        <v>6252.0</v>
      </c>
      <c r="W251" s="87"/>
      <c r="X251" s="87">
        <v>1044.0</v>
      </c>
      <c r="Y251" s="87">
        <v>187.0</v>
      </c>
      <c r="Z251" s="87">
        <v>1411.0</v>
      </c>
      <c r="AA251" s="87">
        <v>1446.0</v>
      </c>
      <c r="AB251" s="87">
        <v>1060.0</v>
      </c>
      <c r="AC251" s="87">
        <v>1477.0</v>
      </c>
      <c r="AD251" s="87">
        <v>1581.0</v>
      </c>
      <c r="AE251" s="87">
        <v>1400.0</v>
      </c>
      <c r="AF251" s="87">
        <v>1339.0</v>
      </c>
      <c r="AG251" s="87">
        <v>1.0</v>
      </c>
      <c r="AH251" s="87">
        <v>4227.0</v>
      </c>
      <c r="AI251" s="87">
        <v>6226.0</v>
      </c>
      <c r="AJ251" s="87">
        <v>493.0</v>
      </c>
      <c r="AK251" s="87">
        <v>27.0</v>
      </c>
      <c r="AL251" s="87">
        <v>363.0</v>
      </c>
      <c r="AM251" s="87">
        <v>23.0</v>
      </c>
      <c r="AN251" s="87">
        <v>678.0</v>
      </c>
      <c r="AO251" s="87">
        <v>8318.0</v>
      </c>
      <c r="AP251" s="87">
        <v>539.0</v>
      </c>
      <c r="AQ251" s="87">
        <v>973.0</v>
      </c>
      <c r="AR251" s="87">
        <v>25.0</v>
      </c>
      <c r="AS251" s="87">
        <v>8694.0</v>
      </c>
      <c r="AT251" s="87">
        <v>16.0</v>
      </c>
      <c r="AU251" s="87">
        <v>974.0</v>
      </c>
      <c r="AV251" s="87">
        <v>87.0</v>
      </c>
      <c r="AW251" s="87">
        <v>23.0</v>
      </c>
      <c r="AX251" s="87">
        <v>140.0</v>
      </c>
      <c r="AY251" s="87">
        <v>1.0</v>
      </c>
      <c r="AZ251" s="87"/>
      <c r="BA251" s="87">
        <v>7.0</v>
      </c>
      <c r="BB251" s="87"/>
      <c r="BC251" s="87">
        <v>1004.0</v>
      </c>
      <c r="BD251" s="87"/>
      <c r="BE251" s="87">
        <v>6749.0</v>
      </c>
      <c r="BF251" s="87">
        <v>112.0</v>
      </c>
      <c r="BG251" s="87">
        <v>4085.0</v>
      </c>
      <c r="BH251" s="87"/>
      <c r="BI251" s="87">
        <v>62405.0</v>
      </c>
      <c r="BJ251" s="87">
        <v>2814.0</v>
      </c>
      <c r="BK251" s="87">
        <v>5139.0</v>
      </c>
      <c r="BL251" s="87">
        <v>1963.0</v>
      </c>
      <c r="BM251" s="87">
        <v>1004.0</v>
      </c>
      <c r="BN251" s="87">
        <v>2.0</v>
      </c>
      <c r="BO251" s="87">
        <v>24.0</v>
      </c>
      <c r="BP251" s="87">
        <v>7286.0</v>
      </c>
      <c r="BQ251" s="87">
        <v>309.0</v>
      </c>
      <c r="BR251" s="87">
        <v>46.0</v>
      </c>
      <c r="BS251" s="87">
        <v>983.0</v>
      </c>
      <c r="BT251" s="87">
        <v>52.0</v>
      </c>
      <c r="BU251" s="87">
        <v>14.0</v>
      </c>
      <c r="BV251" s="87">
        <v>379.0</v>
      </c>
      <c r="BW251" s="87">
        <v>318.0</v>
      </c>
      <c r="BX251" s="87">
        <v>1268.0</v>
      </c>
      <c r="BY251" s="87"/>
      <c r="BZ251" s="87">
        <v>18.0</v>
      </c>
      <c r="CA251" s="87">
        <v>182.0</v>
      </c>
      <c r="CB251" s="87">
        <v>57.0</v>
      </c>
      <c r="CC251" s="87"/>
      <c r="CD251" s="87">
        <v>34.0</v>
      </c>
      <c r="CE251" s="87"/>
      <c r="CF251" s="87"/>
      <c r="CG251" s="87">
        <v>217.0</v>
      </c>
      <c r="CH251" s="87">
        <v>10729.0</v>
      </c>
      <c r="CI251" s="87"/>
      <c r="CJ251" s="87">
        <v>3905.0</v>
      </c>
      <c r="CK251" s="87">
        <v>4547.0</v>
      </c>
      <c r="CL251" s="87">
        <v>2181.0</v>
      </c>
      <c r="CM251" s="87">
        <v>24.0</v>
      </c>
      <c r="CN251" s="87"/>
      <c r="CO251" s="87">
        <v>120.0</v>
      </c>
      <c r="CP251" s="87">
        <v>2.0</v>
      </c>
      <c r="CQ251" s="87">
        <v>167.0</v>
      </c>
      <c r="CR251" s="87"/>
      <c r="CS251" s="87"/>
      <c r="CT251" s="87">
        <v>1357.0</v>
      </c>
      <c r="CU251" s="87">
        <v>228.0</v>
      </c>
      <c r="CV251" s="87">
        <v>95.0</v>
      </c>
      <c r="CW251" s="87">
        <v>597.0</v>
      </c>
      <c r="CX251" s="87">
        <v>1500.0</v>
      </c>
      <c r="CY251" s="87">
        <v>256.0</v>
      </c>
      <c r="CZ251" s="87">
        <v>6.0</v>
      </c>
      <c r="DA251" s="87">
        <v>16.0</v>
      </c>
      <c r="DB251" s="87">
        <v>1222.0</v>
      </c>
      <c r="DC251" s="87">
        <v>505.0</v>
      </c>
      <c r="DD251" s="87">
        <v>1304.0</v>
      </c>
      <c r="DE251" s="87">
        <v>107.0</v>
      </c>
      <c r="DF251" s="87">
        <v>288.0</v>
      </c>
      <c r="DG251" s="87">
        <v>585.0</v>
      </c>
      <c r="DH251" s="87">
        <v>1098.0</v>
      </c>
      <c r="DI251" s="87">
        <v>1044.0</v>
      </c>
      <c r="DJ251" s="87"/>
      <c r="DK251" s="87">
        <v>151.0</v>
      </c>
      <c r="DL251" s="87">
        <v>566.0</v>
      </c>
      <c r="DM251" s="87">
        <v>21.0</v>
      </c>
      <c r="DN251" s="87"/>
      <c r="DO251" s="87">
        <v>3531.0</v>
      </c>
      <c r="DP251" s="87">
        <v>1012.0</v>
      </c>
      <c r="DQ251" s="87">
        <v>743.0</v>
      </c>
      <c r="DR251" s="87">
        <v>1463.0</v>
      </c>
      <c r="DS251" s="87"/>
      <c r="DT251" s="87">
        <v>1.0</v>
      </c>
      <c r="DU251" s="87"/>
      <c r="DV251" s="87">
        <v>176.0</v>
      </c>
      <c r="DW251" s="87">
        <v>10.0</v>
      </c>
      <c r="DX251" s="87">
        <v>163.0</v>
      </c>
      <c r="DY251" s="87">
        <v>449.0</v>
      </c>
      <c r="DZ251" s="87">
        <v>61.0</v>
      </c>
      <c r="EA251" s="87">
        <v>6.0</v>
      </c>
      <c r="EB251" s="87">
        <v>176.0</v>
      </c>
      <c r="EC251" s="87">
        <v>139.0</v>
      </c>
      <c r="ED251" s="87">
        <v>2931.0</v>
      </c>
      <c r="EE251" s="87">
        <v>85.0</v>
      </c>
      <c r="EF251" s="87"/>
      <c r="EG251" s="87">
        <v>480.0</v>
      </c>
      <c r="EH251" s="87">
        <v>28.0</v>
      </c>
      <c r="EI251" s="87">
        <v>81.0</v>
      </c>
      <c r="EJ251" s="87">
        <v>10357.0</v>
      </c>
      <c r="EK251" s="88"/>
      <c r="EL251" s="88"/>
      <c r="EM251" s="88"/>
      <c r="EN251" s="88"/>
      <c r="EO251" s="88"/>
      <c r="EP251" s="88"/>
      <c r="EQ251" s="90"/>
    </row>
    <row r="252" ht="12.0" customHeight="1">
      <c r="A252" s="89">
        <v>1.06331164E8</v>
      </c>
      <c r="B252" s="89" t="s">
        <v>1783</v>
      </c>
      <c r="C252" s="89" t="s">
        <v>1768</v>
      </c>
      <c r="D252" s="89" t="s">
        <v>1784</v>
      </c>
      <c r="E252" s="89" t="s">
        <v>1785</v>
      </c>
      <c r="F252" s="89" t="s">
        <v>1786</v>
      </c>
      <c r="G252" s="89" t="s">
        <v>1787</v>
      </c>
      <c r="H252" s="89" t="s">
        <v>503</v>
      </c>
      <c r="I252" s="89" t="s">
        <v>543</v>
      </c>
      <c r="J252" s="89" t="s">
        <v>448</v>
      </c>
      <c r="K252" s="89" t="s">
        <v>1773</v>
      </c>
      <c r="L252" s="89" t="s">
        <v>1774</v>
      </c>
      <c r="M252" s="89" t="s">
        <v>1788</v>
      </c>
      <c r="N252" s="89" t="s">
        <v>441</v>
      </c>
      <c r="O252" s="87">
        <v>17884.0</v>
      </c>
      <c r="P252" s="87">
        <v>306.0</v>
      </c>
      <c r="Q252" s="87"/>
      <c r="R252" s="87"/>
      <c r="S252" s="87">
        <v>191.0</v>
      </c>
      <c r="T252" s="87"/>
      <c r="U252" s="87">
        <v>9182.0</v>
      </c>
      <c r="V252" s="87">
        <v>9196.0</v>
      </c>
      <c r="W252" s="87">
        <v>3.0</v>
      </c>
      <c r="X252" s="87">
        <v>2357.0</v>
      </c>
      <c r="Y252" s="87">
        <v>310.0</v>
      </c>
      <c r="Z252" s="87">
        <v>1909.0</v>
      </c>
      <c r="AA252" s="87">
        <v>2130.0</v>
      </c>
      <c r="AB252" s="87">
        <v>1501.0</v>
      </c>
      <c r="AC252" s="87">
        <v>2122.0</v>
      </c>
      <c r="AD252" s="87">
        <v>2993.0</v>
      </c>
      <c r="AE252" s="87">
        <v>2602.0</v>
      </c>
      <c r="AF252" s="87">
        <v>2457.0</v>
      </c>
      <c r="AG252" s="87"/>
      <c r="AH252" s="87">
        <v>7434.0</v>
      </c>
      <c r="AI252" s="87">
        <v>10483.0</v>
      </c>
      <c r="AJ252" s="87">
        <v>464.0</v>
      </c>
      <c r="AK252" s="87">
        <v>66.0</v>
      </c>
      <c r="AL252" s="87">
        <v>321.0</v>
      </c>
      <c r="AM252" s="87">
        <v>62.0</v>
      </c>
      <c r="AN252" s="87">
        <v>887.0</v>
      </c>
      <c r="AO252" s="87">
        <v>11782.0</v>
      </c>
      <c r="AP252" s="87">
        <v>433.0</v>
      </c>
      <c r="AQ252" s="87">
        <v>4564.0</v>
      </c>
      <c r="AR252" s="87">
        <v>266.0</v>
      </c>
      <c r="AS252" s="87">
        <v>12968.0</v>
      </c>
      <c r="AT252" s="87">
        <v>470.0</v>
      </c>
      <c r="AU252" s="87">
        <v>1804.0</v>
      </c>
      <c r="AV252" s="87">
        <v>231.0</v>
      </c>
      <c r="AW252" s="87">
        <v>388.0</v>
      </c>
      <c r="AX252" s="87">
        <v>523.0</v>
      </c>
      <c r="AY252" s="87">
        <v>5.0</v>
      </c>
      <c r="AZ252" s="87">
        <v>1.0</v>
      </c>
      <c r="BA252" s="87">
        <v>33.0</v>
      </c>
      <c r="BB252" s="87">
        <v>2.0</v>
      </c>
      <c r="BC252" s="87">
        <v>1955.0</v>
      </c>
      <c r="BD252" s="87">
        <v>1.0</v>
      </c>
      <c r="BE252" s="87">
        <v>12913.0</v>
      </c>
      <c r="BF252" s="87">
        <v>491.0</v>
      </c>
      <c r="BG252" s="87">
        <v>4977.0</v>
      </c>
      <c r="BH252" s="87"/>
      <c r="BI252" s="87">
        <v>102612.0</v>
      </c>
      <c r="BJ252" s="87">
        <v>4244.0</v>
      </c>
      <c r="BK252" s="87">
        <v>8746.0</v>
      </c>
      <c r="BL252" s="87">
        <v>1055.0</v>
      </c>
      <c r="BM252" s="87">
        <v>1955.0</v>
      </c>
      <c r="BN252" s="87">
        <v>2375.0</v>
      </c>
      <c r="BO252" s="87">
        <v>6.0</v>
      </c>
      <c r="BP252" s="87">
        <v>11808.0</v>
      </c>
      <c r="BQ252" s="87">
        <v>320.0</v>
      </c>
      <c r="BR252" s="87">
        <v>285.0</v>
      </c>
      <c r="BS252" s="87">
        <v>2024.0</v>
      </c>
      <c r="BT252" s="87">
        <v>60.0</v>
      </c>
      <c r="BU252" s="87">
        <v>69.0</v>
      </c>
      <c r="BV252" s="87">
        <v>781.0</v>
      </c>
      <c r="BW252" s="87">
        <v>704.0</v>
      </c>
      <c r="BX252" s="87">
        <v>1989.0</v>
      </c>
      <c r="BY252" s="87"/>
      <c r="BZ252" s="87">
        <v>5.0</v>
      </c>
      <c r="CA252" s="87">
        <v>291.0</v>
      </c>
      <c r="CB252" s="87">
        <v>36.0</v>
      </c>
      <c r="CC252" s="87"/>
      <c r="CD252" s="87">
        <v>6.0</v>
      </c>
      <c r="CE252" s="87">
        <v>3.0</v>
      </c>
      <c r="CF252" s="87"/>
      <c r="CG252" s="87">
        <v>1968.0</v>
      </c>
      <c r="CH252" s="87">
        <v>16413.0</v>
      </c>
      <c r="CI252" s="87"/>
      <c r="CJ252" s="87">
        <v>6502.0</v>
      </c>
      <c r="CK252" s="87">
        <v>7411.0</v>
      </c>
      <c r="CL252" s="87">
        <v>3607.0</v>
      </c>
      <c r="CM252" s="87">
        <v>90.0</v>
      </c>
      <c r="CN252" s="87">
        <v>7.0</v>
      </c>
      <c r="CO252" s="87">
        <v>232.0</v>
      </c>
      <c r="CP252" s="87">
        <v>53.0</v>
      </c>
      <c r="CQ252" s="87">
        <v>189.0</v>
      </c>
      <c r="CR252" s="87">
        <v>290.0</v>
      </c>
      <c r="CS252" s="87"/>
      <c r="CT252" s="87">
        <v>1628.0</v>
      </c>
      <c r="CU252" s="87">
        <v>357.0</v>
      </c>
      <c r="CV252" s="87">
        <v>103.0</v>
      </c>
      <c r="CW252" s="87">
        <v>846.0</v>
      </c>
      <c r="CX252" s="87">
        <v>193.0</v>
      </c>
      <c r="CY252" s="87">
        <v>506.0</v>
      </c>
      <c r="CZ252" s="87">
        <v>30.0</v>
      </c>
      <c r="DA252" s="87">
        <v>13.0</v>
      </c>
      <c r="DB252" s="87">
        <v>2581.0</v>
      </c>
      <c r="DC252" s="87">
        <v>825.0</v>
      </c>
      <c r="DD252" s="87">
        <v>1696.0</v>
      </c>
      <c r="DE252" s="87">
        <v>214.0</v>
      </c>
      <c r="DF252" s="87">
        <v>408.0</v>
      </c>
      <c r="DG252" s="87">
        <v>679.0</v>
      </c>
      <c r="DH252" s="87">
        <v>2130.0</v>
      </c>
      <c r="DI252" s="87">
        <v>2079.0</v>
      </c>
      <c r="DJ252" s="87">
        <v>20.0</v>
      </c>
      <c r="DK252" s="87">
        <v>338.0</v>
      </c>
      <c r="DL252" s="87">
        <v>3680.0</v>
      </c>
      <c r="DM252" s="87">
        <v>51.0</v>
      </c>
      <c r="DN252" s="87">
        <v>4.0</v>
      </c>
      <c r="DO252" s="87">
        <v>2561.0</v>
      </c>
      <c r="DP252" s="87">
        <v>1990.0</v>
      </c>
      <c r="DQ252" s="87">
        <v>2042.0</v>
      </c>
      <c r="DR252" s="87">
        <v>1729.0</v>
      </c>
      <c r="DS252" s="87">
        <v>9.0</v>
      </c>
      <c r="DT252" s="87">
        <v>12.0</v>
      </c>
      <c r="DU252" s="87">
        <v>15.0</v>
      </c>
      <c r="DV252" s="87">
        <v>107.0</v>
      </c>
      <c r="DW252" s="87">
        <v>42.0</v>
      </c>
      <c r="DX252" s="87">
        <v>587.0</v>
      </c>
      <c r="DY252" s="87">
        <v>1606.0</v>
      </c>
      <c r="DZ252" s="87">
        <v>256.0</v>
      </c>
      <c r="EA252" s="87">
        <v>42.0</v>
      </c>
      <c r="EB252" s="87">
        <v>402.0</v>
      </c>
      <c r="EC252" s="87">
        <v>151.0</v>
      </c>
      <c r="ED252" s="87">
        <v>6541.0</v>
      </c>
      <c r="EE252" s="87">
        <v>289.0</v>
      </c>
      <c r="EF252" s="87">
        <v>47.0</v>
      </c>
      <c r="EG252" s="87">
        <v>500.0</v>
      </c>
      <c r="EH252" s="87">
        <v>55.0</v>
      </c>
      <c r="EI252" s="87">
        <v>576.0</v>
      </c>
      <c r="EJ252" s="87">
        <v>17203.0</v>
      </c>
      <c r="EK252" s="88"/>
      <c r="EL252" s="88"/>
      <c r="EM252" s="88"/>
      <c r="EN252" s="88"/>
      <c r="EO252" s="88"/>
      <c r="EP252" s="88"/>
      <c r="EQ252" s="90"/>
    </row>
    <row r="253" ht="12.0" customHeight="1">
      <c r="A253" s="89">
        <v>1.06331168E8</v>
      </c>
      <c r="B253" s="89" t="s">
        <v>1789</v>
      </c>
      <c r="C253" s="89" t="s">
        <v>1768</v>
      </c>
      <c r="D253" s="89" t="s">
        <v>1790</v>
      </c>
      <c r="E253" s="89" t="s">
        <v>1770</v>
      </c>
      <c r="F253" s="89" t="s">
        <v>1771</v>
      </c>
      <c r="G253" s="89" t="s">
        <v>1772</v>
      </c>
      <c r="H253" s="89" t="s">
        <v>447</v>
      </c>
      <c r="I253" s="89" t="s">
        <v>543</v>
      </c>
      <c r="J253" s="89" t="s">
        <v>448</v>
      </c>
      <c r="K253" s="89" t="s">
        <v>1773</v>
      </c>
      <c r="L253" s="89" t="s">
        <v>1774</v>
      </c>
      <c r="M253" s="89" t="s">
        <v>1775</v>
      </c>
      <c r="N253" s="89" t="s">
        <v>441</v>
      </c>
      <c r="O253" s="87">
        <v>23169.0</v>
      </c>
      <c r="P253" s="87"/>
      <c r="Q253" s="87"/>
      <c r="R253" s="87"/>
      <c r="S253" s="87"/>
      <c r="T253" s="87"/>
      <c r="U253" s="87">
        <v>11611.0</v>
      </c>
      <c r="V253" s="87">
        <v>11556.0</v>
      </c>
      <c r="W253" s="87">
        <v>2.0</v>
      </c>
      <c r="X253" s="87">
        <v>1395.0</v>
      </c>
      <c r="Y253" s="87">
        <v>166.0</v>
      </c>
      <c r="Z253" s="87">
        <v>1118.0</v>
      </c>
      <c r="AA253" s="87">
        <v>1513.0</v>
      </c>
      <c r="AB253" s="87">
        <v>1299.0</v>
      </c>
      <c r="AC253" s="87">
        <v>2174.0</v>
      </c>
      <c r="AD253" s="87">
        <v>3923.0</v>
      </c>
      <c r="AE253" s="87">
        <v>5673.0</v>
      </c>
      <c r="AF253" s="87">
        <v>5908.0</v>
      </c>
      <c r="AG253" s="87"/>
      <c r="AH253" s="87">
        <v>6156.0</v>
      </c>
      <c r="AI253" s="87">
        <v>16642.0</v>
      </c>
      <c r="AJ253" s="87">
        <v>371.0</v>
      </c>
      <c r="AK253" s="87">
        <v>98.0</v>
      </c>
      <c r="AL253" s="87">
        <v>302.0</v>
      </c>
      <c r="AM253" s="87">
        <v>26.0</v>
      </c>
      <c r="AN253" s="87">
        <v>677.0</v>
      </c>
      <c r="AO253" s="87">
        <v>17339.0</v>
      </c>
      <c r="AP253" s="87">
        <v>194.0</v>
      </c>
      <c r="AQ253" s="87">
        <v>4287.0</v>
      </c>
      <c r="AR253" s="87">
        <v>246.0</v>
      </c>
      <c r="AS253" s="87">
        <v>21544.0</v>
      </c>
      <c r="AT253" s="87">
        <v>4.0</v>
      </c>
      <c r="AU253" s="87">
        <v>17.0</v>
      </c>
      <c r="AV253" s="87">
        <v>197.0</v>
      </c>
      <c r="AW253" s="87">
        <v>195.0</v>
      </c>
      <c r="AX253" s="87"/>
      <c r="AY253" s="87"/>
      <c r="AZ253" s="87"/>
      <c r="BA253" s="87"/>
      <c r="BB253" s="87">
        <v>1.0</v>
      </c>
      <c r="BC253" s="87">
        <v>1211.0</v>
      </c>
      <c r="BD253" s="87"/>
      <c r="BE253" s="87">
        <v>16728.0</v>
      </c>
      <c r="BF253" s="87"/>
      <c r="BG253" s="87">
        <v>6441.0</v>
      </c>
      <c r="BH253" s="87"/>
      <c r="BI253" s="87">
        <v>86191.0</v>
      </c>
      <c r="BJ253" s="87">
        <v>8119.0</v>
      </c>
      <c r="BK253" s="87">
        <v>9992.0</v>
      </c>
      <c r="BL253" s="87">
        <v>3809.0</v>
      </c>
      <c r="BM253" s="87">
        <v>1211.0</v>
      </c>
      <c r="BN253" s="87">
        <v>38.0</v>
      </c>
      <c r="BO253" s="87"/>
      <c r="BP253" s="87">
        <v>13876.0</v>
      </c>
      <c r="BQ253" s="87">
        <v>342.0</v>
      </c>
      <c r="BR253" s="87">
        <v>583.0</v>
      </c>
      <c r="BS253" s="87">
        <v>2174.0</v>
      </c>
      <c r="BT253" s="87">
        <v>3.0</v>
      </c>
      <c r="BU253" s="87">
        <v>2.0</v>
      </c>
      <c r="BV253" s="87"/>
      <c r="BW253" s="87">
        <v>456.0</v>
      </c>
      <c r="BX253" s="87">
        <v>4934.0</v>
      </c>
      <c r="BY253" s="87"/>
      <c r="BZ253" s="87">
        <v>2.0</v>
      </c>
      <c r="CA253" s="87">
        <v>776.0</v>
      </c>
      <c r="CB253" s="87">
        <v>20.0</v>
      </c>
      <c r="CC253" s="87">
        <v>1.0</v>
      </c>
      <c r="CD253" s="87"/>
      <c r="CE253" s="87"/>
      <c r="CF253" s="87"/>
      <c r="CG253" s="87">
        <v>21414.0</v>
      </c>
      <c r="CH253" s="87">
        <v>1755.0</v>
      </c>
      <c r="CI253" s="87"/>
      <c r="CJ253" s="87">
        <v>12567.0</v>
      </c>
      <c r="CK253" s="87">
        <v>3919.0</v>
      </c>
      <c r="CL253" s="87">
        <v>6057.0</v>
      </c>
      <c r="CM253" s="87">
        <v>68.0</v>
      </c>
      <c r="CN253" s="87"/>
      <c r="CO253" s="87">
        <v>110.0</v>
      </c>
      <c r="CP253" s="87"/>
      <c r="CQ253" s="87">
        <v>250.0</v>
      </c>
      <c r="CR253" s="87">
        <v>198.0</v>
      </c>
      <c r="CS253" s="87"/>
      <c r="CT253" s="87">
        <v>2661.0</v>
      </c>
      <c r="CU253" s="87">
        <v>1160.0</v>
      </c>
      <c r="CV253" s="87">
        <v>254.0</v>
      </c>
      <c r="CW253" s="87">
        <v>1214.0</v>
      </c>
      <c r="CX253" s="87">
        <v>213.0</v>
      </c>
      <c r="CY253" s="87">
        <v>447.0</v>
      </c>
      <c r="CZ253" s="87">
        <v>23.0</v>
      </c>
      <c r="DA253" s="87">
        <v>24.0</v>
      </c>
      <c r="DB253" s="87">
        <v>4375.0</v>
      </c>
      <c r="DC253" s="87">
        <v>1226.0</v>
      </c>
      <c r="DD253" s="87">
        <v>3115.0</v>
      </c>
      <c r="DE253" s="87">
        <v>437.0</v>
      </c>
      <c r="DF253" s="87">
        <v>1530.0</v>
      </c>
      <c r="DG253" s="87">
        <v>1258.0</v>
      </c>
      <c r="DH253" s="87">
        <v>1317.0</v>
      </c>
      <c r="DI253" s="87">
        <v>1239.0</v>
      </c>
      <c r="DJ253" s="87">
        <v>24.0</v>
      </c>
      <c r="DK253" s="87">
        <v>353.0</v>
      </c>
      <c r="DL253" s="87">
        <v>2059.0</v>
      </c>
      <c r="DM253" s="87">
        <v>235.0</v>
      </c>
      <c r="DN253" s="87">
        <v>5.0</v>
      </c>
      <c r="DO253" s="87">
        <v>1693.0</v>
      </c>
      <c r="DP253" s="87">
        <v>1207.0</v>
      </c>
      <c r="DQ253" s="87">
        <v>2923.0</v>
      </c>
      <c r="DR253" s="87">
        <v>2951.0</v>
      </c>
      <c r="DS253" s="87">
        <v>20.0</v>
      </c>
      <c r="DT253" s="87">
        <v>8.0</v>
      </c>
      <c r="DU253" s="87">
        <v>4.0</v>
      </c>
      <c r="DV253" s="87">
        <v>224.0</v>
      </c>
      <c r="DW253" s="87">
        <v>136.0</v>
      </c>
      <c r="DX253" s="87">
        <v>578.0</v>
      </c>
      <c r="DY253" s="87">
        <v>2241.0</v>
      </c>
      <c r="DZ253" s="87">
        <v>371.0</v>
      </c>
      <c r="EA253" s="87">
        <v>39.0</v>
      </c>
      <c r="EB253" s="87">
        <v>820.0</v>
      </c>
      <c r="EC253" s="87">
        <v>504.0</v>
      </c>
      <c r="ED253" s="87">
        <v>9066.0</v>
      </c>
      <c r="EE253" s="87">
        <v>384.0</v>
      </c>
      <c r="EF253" s="87">
        <v>5.0</v>
      </c>
      <c r="EG253" s="87">
        <v>224.0</v>
      </c>
      <c r="EH253" s="87">
        <v>107.0</v>
      </c>
      <c r="EI253" s="87">
        <v>787.0</v>
      </c>
      <c r="EJ253" s="87">
        <v>22046.0</v>
      </c>
      <c r="EK253" s="88"/>
      <c r="EL253" s="88"/>
      <c r="EM253" s="88"/>
      <c r="EN253" s="88"/>
      <c r="EO253" s="88"/>
      <c r="EP253" s="88"/>
      <c r="EQ253" s="90"/>
    </row>
    <row r="254" ht="12.0" customHeight="1">
      <c r="A254" s="89">
        <v>1.06331194E8</v>
      </c>
      <c r="B254" s="89" t="s">
        <v>1791</v>
      </c>
      <c r="C254" s="89" t="s">
        <v>1768</v>
      </c>
      <c r="D254" s="89" t="s">
        <v>1792</v>
      </c>
      <c r="E254" s="89" t="s">
        <v>1793</v>
      </c>
      <c r="F254" s="89" t="s">
        <v>1794</v>
      </c>
      <c r="G254" s="89" t="s">
        <v>1795</v>
      </c>
      <c r="H254" s="89" t="s">
        <v>503</v>
      </c>
      <c r="I254" s="89" t="s">
        <v>543</v>
      </c>
      <c r="J254" s="89" t="s">
        <v>448</v>
      </c>
      <c r="K254" s="89" t="s">
        <v>662</v>
      </c>
      <c r="L254" s="89" t="s">
        <v>1774</v>
      </c>
      <c r="M254" s="89" t="s">
        <v>1796</v>
      </c>
      <c r="N254" s="89" t="s">
        <v>441</v>
      </c>
      <c r="O254" s="87">
        <v>7143.0</v>
      </c>
      <c r="P254" s="87">
        <v>193.0</v>
      </c>
      <c r="Q254" s="87"/>
      <c r="R254" s="87">
        <v>726.0</v>
      </c>
      <c r="S254" s="87"/>
      <c r="T254" s="87"/>
      <c r="U254" s="87">
        <v>3843.0</v>
      </c>
      <c r="V254" s="87">
        <v>4219.0</v>
      </c>
      <c r="W254" s="87"/>
      <c r="X254" s="87">
        <v>288.0</v>
      </c>
      <c r="Y254" s="87">
        <v>74.0</v>
      </c>
      <c r="Z254" s="87">
        <v>440.0</v>
      </c>
      <c r="AA254" s="87">
        <v>730.0</v>
      </c>
      <c r="AB254" s="87">
        <v>698.0</v>
      </c>
      <c r="AC254" s="87">
        <v>1110.0</v>
      </c>
      <c r="AD254" s="87">
        <v>1816.0</v>
      </c>
      <c r="AE254" s="87">
        <v>1532.0</v>
      </c>
      <c r="AF254" s="87">
        <v>1374.0</v>
      </c>
      <c r="AG254" s="87"/>
      <c r="AH254" s="87">
        <v>2346.0</v>
      </c>
      <c r="AI254" s="87">
        <v>5668.0</v>
      </c>
      <c r="AJ254" s="87">
        <v>48.0</v>
      </c>
      <c r="AK254" s="87">
        <v>65.0</v>
      </c>
      <c r="AL254" s="87">
        <v>131.0</v>
      </c>
      <c r="AM254" s="87">
        <v>27.0</v>
      </c>
      <c r="AN254" s="87">
        <v>835.0</v>
      </c>
      <c r="AO254" s="87">
        <v>6324.0</v>
      </c>
      <c r="AP254" s="87">
        <v>28.0</v>
      </c>
      <c r="AQ254" s="87">
        <v>636.0</v>
      </c>
      <c r="AR254" s="87">
        <v>16.0</v>
      </c>
      <c r="AS254" s="87">
        <v>7312.0</v>
      </c>
      <c r="AT254" s="87">
        <v>231.0</v>
      </c>
      <c r="AU254" s="87">
        <v>47.0</v>
      </c>
      <c r="AV254" s="87">
        <v>22.0</v>
      </c>
      <c r="AW254" s="87">
        <v>58.0</v>
      </c>
      <c r="AX254" s="87">
        <v>8.0</v>
      </c>
      <c r="AY254" s="87">
        <v>1.0</v>
      </c>
      <c r="AZ254" s="87">
        <v>1.0</v>
      </c>
      <c r="BA254" s="87">
        <v>1.0</v>
      </c>
      <c r="BB254" s="87">
        <v>100.0</v>
      </c>
      <c r="BC254" s="87">
        <v>281.0</v>
      </c>
      <c r="BD254" s="87"/>
      <c r="BE254" s="87">
        <v>6261.0</v>
      </c>
      <c r="BF254" s="87">
        <v>8.0</v>
      </c>
      <c r="BG254" s="87">
        <v>1792.0</v>
      </c>
      <c r="BH254" s="87">
        <v>1.0</v>
      </c>
      <c r="BI254" s="87">
        <v>51674.0</v>
      </c>
      <c r="BJ254" s="87">
        <v>6294.0</v>
      </c>
      <c r="BK254" s="87"/>
      <c r="BL254" s="87">
        <v>1487.0</v>
      </c>
      <c r="BM254" s="87">
        <v>281.0</v>
      </c>
      <c r="BN254" s="87"/>
      <c r="BO254" s="87"/>
      <c r="BP254" s="87">
        <v>3870.0</v>
      </c>
      <c r="BQ254" s="87">
        <v>476.0</v>
      </c>
      <c r="BR254" s="87">
        <v>29.0</v>
      </c>
      <c r="BS254" s="87">
        <v>1372.0</v>
      </c>
      <c r="BT254" s="87">
        <v>68.0</v>
      </c>
      <c r="BU254" s="87">
        <v>5.0</v>
      </c>
      <c r="BV254" s="87">
        <v>665.0</v>
      </c>
      <c r="BW254" s="87">
        <v>336.0</v>
      </c>
      <c r="BX254" s="87">
        <v>1007.0</v>
      </c>
      <c r="BY254" s="87"/>
      <c r="BZ254" s="87"/>
      <c r="CA254" s="87">
        <v>227.0</v>
      </c>
      <c r="CB254" s="87">
        <v>1.0</v>
      </c>
      <c r="CC254" s="87"/>
      <c r="CD254" s="87">
        <v>3.0</v>
      </c>
      <c r="CE254" s="87"/>
      <c r="CF254" s="87">
        <v>3.0</v>
      </c>
      <c r="CG254" s="87">
        <v>388.0</v>
      </c>
      <c r="CH254" s="87">
        <v>7674.0</v>
      </c>
      <c r="CI254" s="87"/>
      <c r="CJ254" s="87">
        <v>4233.0</v>
      </c>
      <c r="CK254" s="87">
        <v>2589.0</v>
      </c>
      <c r="CL254" s="87">
        <v>1130.0</v>
      </c>
      <c r="CM254" s="87"/>
      <c r="CN254" s="87"/>
      <c r="CO254" s="87"/>
      <c r="CP254" s="87"/>
      <c r="CQ254" s="87">
        <v>110.0</v>
      </c>
      <c r="CR254" s="87"/>
      <c r="CS254" s="87"/>
      <c r="CT254" s="87">
        <v>1476.0</v>
      </c>
      <c r="CU254" s="87">
        <v>193.0</v>
      </c>
      <c r="CV254" s="87">
        <v>64.0</v>
      </c>
      <c r="CW254" s="87">
        <v>405.0</v>
      </c>
      <c r="CX254" s="87">
        <v>877.0</v>
      </c>
      <c r="CY254" s="87">
        <v>204.0</v>
      </c>
      <c r="CZ254" s="87">
        <v>3.0</v>
      </c>
      <c r="DA254" s="87">
        <v>6.0</v>
      </c>
      <c r="DB254" s="87">
        <v>996.0</v>
      </c>
      <c r="DC254" s="87">
        <v>524.0</v>
      </c>
      <c r="DD254" s="87">
        <v>1064.0</v>
      </c>
      <c r="DE254" s="87">
        <v>131.0</v>
      </c>
      <c r="DF254" s="87">
        <v>154.0</v>
      </c>
      <c r="DG254" s="87">
        <v>506.0</v>
      </c>
      <c r="DH254" s="87">
        <v>352.0</v>
      </c>
      <c r="DI254" s="87">
        <v>288.0</v>
      </c>
      <c r="DJ254" s="87"/>
      <c r="DK254" s="87">
        <v>89.0</v>
      </c>
      <c r="DL254" s="87">
        <v>701.0</v>
      </c>
      <c r="DM254" s="87">
        <v>29.0</v>
      </c>
      <c r="DN254" s="87"/>
      <c r="DO254" s="87">
        <v>2442.0</v>
      </c>
      <c r="DP254" s="87">
        <v>285.0</v>
      </c>
      <c r="DQ254" s="87">
        <v>509.0</v>
      </c>
      <c r="DR254" s="87">
        <v>655.0</v>
      </c>
      <c r="DS254" s="87"/>
      <c r="DT254" s="87">
        <v>2.0</v>
      </c>
      <c r="DU254" s="87"/>
      <c r="DV254" s="87">
        <v>87.0</v>
      </c>
      <c r="DW254" s="87">
        <v>13.0</v>
      </c>
      <c r="DX254" s="87">
        <v>99.0</v>
      </c>
      <c r="DY254" s="87">
        <v>364.0</v>
      </c>
      <c r="DZ254" s="87">
        <v>11.0</v>
      </c>
      <c r="EA254" s="87">
        <v>45.0</v>
      </c>
      <c r="EB254" s="87">
        <v>142.0</v>
      </c>
      <c r="EC254" s="87">
        <v>136.0</v>
      </c>
      <c r="ED254" s="87">
        <v>3202.0</v>
      </c>
      <c r="EE254" s="87">
        <v>70.0</v>
      </c>
      <c r="EF254" s="87">
        <v>3.0</v>
      </c>
      <c r="EG254" s="87">
        <v>215.0</v>
      </c>
      <c r="EH254" s="87"/>
      <c r="EI254" s="87">
        <v>80.0</v>
      </c>
      <c r="EJ254" s="87">
        <v>7764.0</v>
      </c>
      <c r="EK254" s="88"/>
      <c r="EL254" s="88"/>
      <c r="EM254" s="88"/>
      <c r="EN254" s="88"/>
      <c r="EO254" s="88"/>
      <c r="EP254" s="88"/>
      <c r="EQ254" s="90"/>
    </row>
    <row r="255" ht="12.0" customHeight="1">
      <c r="A255" s="89">
        <v>1.06331216E8</v>
      </c>
      <c r="B255" s="89" t="s">
        <v>1797</v>
      </c>
      <c r="C255" s="89" t="s">
        <v>1768</v>
      </c>
      <c r="D255" s="89" t="s">
        <v>1798</v>
      </c>
      <c r="E255" s="89" t="s">
        <v>1799</v>
      </c>
      <c r="F255" s="89" t="s">
        <v>1800</v>
      </c>
      <c r="G255" s="89" t="s">
        <v>1801</v>
      </c>
      <c r="H255" s="89" t="s">
        <v>503</v>
      </c>
      <c r="I255" s="89" t="s">
        <v>543</v>
      </c>
      <c r="J255" s="89" t="s">
        <v>437</v>
      </c>
      <c r="K255" s="89" t="s">
        <v>1773</v>
      </c>
      <c r="L255" s="89" t="s">
        <v>749</v>
      </c>
      <c r="M255" s="89" t="s">
        <v>1802</v>
      </c>
      <c r="N255" s="89" t="s">
        <v>441</v>
      </c>
      <c r="O255" s="87">
        <v>7637.0</v>
      </c>
      <c r="P255" s="87"/>
      <c r="Q255" s="87"/>
      <c r="R255" s="87"/>
      <c r="S255" s="87"/>
      <c r="T255" s="87"/>
      <c r="U255" s="87">
        <v>3208.0</v>
      </c>
      <c r="V255" s="87">
        <v>4429.0</v>
      </c>
      <c r="W255" s="87"/>
      <c r="X255" s="87">
        <v>1670.0</v>
      </c>
      <c r="Y255" s="87">
        <v>211.0</v>
      </c>
      <c r="Z255" s="87">
        <v>1189.0</v>
      </c>
      <c r="AA255" s="87">
        <v>1037.0</v>
      </c>
      <c r="AB255" s="87">
        <v>560.0</v>
      </c>
      <c r="AC255" s="87">
        <v>628.0</v>
      </c>
      <c r="AD255" s="87">
        <v>804.0</v>
      </c>
      <c r="AE255" s="87">
        <v>795.0</v>
      </c>
      <c r="AF255" s="87">
        <v>743.0</v>
      </c>
      <c r="AG255" s="87"/>
      <c r="AH255" s="87">
        <v>5696.0</v>
      </c>
      <c r="AI255" s="87">
        <v>1910.0</v>
      </c>
      <c r="AJ255" s="87">
        <v>31.0</v>
      </c>
      <c r="AK255" s="87">
        <v>15.0</v>
      </c>
      <c r="AL255" s="87">
        <v>57.0</v>
      </c>
      <c r="AM255" s="87">
        <v>16.0</v>
      </c>
      <c r="AN255" s="87">
        <v>160.0</v>
      </c>
      <c r="AO255" s="87">
        <v>7327.0</v>
      </c>
      <c r="AP255" s="87">
        <v>42.0</v>
      </c>
      <c r="AQ255" s="87">
        <v>20.0</v>
      </c>
      <c r="AR255" s="87"/>
      <c r="AS255" s="87">
        <v>5827.0</v>
      </c>
      <c r="AT255" s="87">
        <v>43.0</v>
      </c>
      <c r="AU255" s="87">
        <v>111.0</v>
      </c>
      <c r="AV255" s="87">
        <v>122.0</v>
      </c>
      <c r="AW255" s="87">
        <v>8.0</v>
      </c>
      <c r="AX255" s="87">
        <v>2.0</v>
      </c>
      <c r="AY255" s="87"/>
      <c r="AZ255" s="87">
        <v>1.0</v>
      </c>
      <c r="BA255" s="87">
        <v>42.0</v>
      </c>
      <c r="BB255" s="87"/>
      <c r="BC255" s="87">
        <v>1481.0</v>
      </c>
      <c r="BD255" s="87"/>
      <c r="BE255" s="87">
        <v>4517.0</v>
      </c>
      <c r="BF255" s="87">
        <v>4.0</v>
      </c>
      <c r="BG255" s="87">
        <v>3116.0</v>
      </c>
      <c r="BH255" s="87"/>
      <c r="BI255" s="87">
        <v>19946.0</v>
      </c>
      <c r="BJ255" s="87">
        <v>2483.0</v>
      </c>
      <c r="BK255" s="87">
        <v>3070.0</v>
      </c>
      <c r="BL255" s="87">
        <v>463.0</v>
      </c>
      <c r="BM255" s="87">
        <v>1481.0</v>
      </c>
      <c r="BN255" s="87">
        <v>140.0</v>
      </c>
      <c r="BO255" s="87"/>
      <c r="BP255" s="87">
        <v>5862.0</v>
      </c>
      <c r="BQ255" s="87">
        <v>216.0</v>
      </c>
      <c r="BR255" s="87">
        <v>8.0</v>
      </c>
      <c r="BS255" s="87">
        <v>473.0</v>
      </c>
      <c r="BT255" s="87">
        <v>3.0</v>
      </c>
      <c r="BU255" s="87">
        <v>26.0</v>
      </c>
      <c r="BV255" s="87">
        <v>173.0</v>
      </c>
      <c r="BW255" s="87">
        <v>190.0</v>
      </c>
      <c r="BX255" s="87">
        <v>591.0</v>
      </c>
      <c r="BY255" s="87"/>
      <c r="BZ255" s="87">
        <v>1.0</v>
      </c>
      <c r="CA255" s="87">
        <v>69.0</v>
      </c>
      <c r="CB255" s="87">
        <v>23.0</v>
      </c>
      <c r="CC255" s="87"/>
      <c r="CD255" s="87">
        <v>2.0</v>
      </c>
      <c r="CE255" s="87"/>
      <c r="CF255" s="87"/>
      <c r="CG255" s="87">
        <v>227.0</v>
      </c>
      <c r="CH255" s="87">
        <v>7409.0</v>
      </c>
      <c r="CI255" s="87">
        <v>1.0</v>
      </c>
      <c r="CJ255" s="87">
        <v>1541.0</v>
      </c>
      <c r="CK255" s="87">
        <v>4522.0</v>
      </c>
      <c r="CL255" s="87">
        <v>1304.0</v>
      </c>
      <c r="CM255" s="87">
        <v>9.0</v>
      </c>
      <c r="CN255" s="87">
        <v>8.0</v>
      </c>
      <c r="CO255" s="87">
        <v>15.0</v>
      </c>
      <c r="CP255" s="87">
        <v>26.0</v>
      </c>
      <c r="CQ255" s="87">
        <v>96.0</v>
      </c>
      <c r="CR255" s="87">
        <v>116.0</v>
      </c>
      <c r="CS255" s="87"/>
      <c r="CT255" s="87">
        <v>830.0</v>
      </c>
      <c r="CU255" s="87">
        <v>55.0</v>
      </c>
      <c r="CV255" s="87">
        <v>23.0</v>
      </c>
      <c r="CW255" s="87">
        <v>318.0</v>
      </c>
      <c r="CX255" s="87">
        <v>84.0</v>
      </c>
      <c r="CY255" s="87">
        <v>111.0</v>
      </c>
      <c r="CZ255" s="87"/>
      <c r="DA255" s="87"/>
      <c r="DB255" s="87">
        <v>820.0</v>
      </c>
      <c r="DC255" s="87">
        <v>368.0</v>
      </c>
      <c r="DD255" s="87">
        <v>685.0</v>
      </c>
      <c r="DE255" s="87">
        <v>68.0</v>
      </c>
      <c r="DF255" s="87">
        <v>67.0</v>
      </c>
      <c r="DG255" s="87">
        <v>364.0</v>
      </c>
      <c r="DH255" s="87">
        <v>1708.0</v>
      </c>
      <c r="DI255" s="87">
        <v>1512.0</v>
      </c>
      <c r="DJ255" s="87">
        <v>2.0</v>
      </c>
      <c r="DK255" s="87">
        <v>66.0</v>
      </c>
      <c r="DL255" s="87">
        <v>544.0</v>
      </c>
      <c r="DM255" s="87">
        <v>12.0</v>
      </c>
      <c r="DN255" s="87"/>
      <c r="DO255" s="87">
        <v>2262.0</v>
      </c>
      <c r="DP255" s="87">
        <v>1532.0</v>
      </c>
      <c r="DQ255" s="87">
        <v>551.0</v>
      </c>
      <c r="DR255" s="87">
        <v>471.0</v>
      </c>
      <c r="DS255" s="87">
        <v>1.0</v>
      </c>
      <c r="DT255" s="87">
        <v>1.0</v>
      </c>
      <c r="DU255" s="87"/>
      <c r="DV255" s="87">
        <v>137.0</v>
      </c>
      <c r="DW255" s="87">
        <v>4.0</v>
      </c>
      <c r="DX255" s="87">
        <v>108.0</v>
      </c>
      <c r="DY255" s="87">
        <v>267.0</v>
      </c>
      <c r="DZ255" s="87">
        <v>43.0</v>
      </c>
      <c r="EA255" s="87">
        <v>22.0</v>
      </c>
      <c r="EB255" s="87">
        <v>108.0</v>
      </c>
      <c r="EC255" s="87">
        <v>71.0</v>
      </c>
      <c r="ED255" s="87">
        <v>2031.0</v>
      </c>
      <c r="EE255" s="87">
        <v>28.0</v>
      </c>
      <c r="EF255" s="87">
        <v>52.0</v>
      </c>
      <c r="EG255" s="87">
        <v>42.0</v>
      </c>
      <c r="EH255" s="87">
        <v>11.0</v>
      </c>
      <c r="EI255" s="87">
        <v>115.0</v>
      </c>
      <c r="EJ255" s="87">
        <v>7417.0</v>
      </c>
      <c r="EK255" s="88"/>
      <c r="EL255" s="88"/>
      <c r="EM255" s="88"/>
      <c r="EN255" s="88"/>
      <c r="EO255" s="88"/>
      <c r="EP255" s="88"/>
      <c r="EQ255" s="90"/>
    </row>
    <row r="256" ht="12.0" customHeight="1">
      <c r="A256" s="89">
        <v>1.06331226E8</v>
      </c>
      <c r="B256" s="89" t="s">
        <v>1803</v>
      </c>
      <c r="C256" s="89" t="s">
        <v>1768</v>
      </c>
      <c r="D256" s="89" t="s">
        <v>1804</v>
      </c>
      <c r="E256" s="89" t="s">
        <v>1805</v>
      </c>
      <c r="F256" s="89" t="s">
        <v>1768</v>
      </c>
      <c r="G256" s="89" t="s">
        <v>1806</v>
      </c>
      <c r="H256" s="89" t="s">
        <v>475</v>
      </c>
      <c r="I256" s="89" t="s">
        <v>543</v>
      </c>
      <c r="J256" s="89" t="s">
        <v>463</v>
      </c>
      <c r="K256" s="89" t="s">
        <v>670</v>
      </c>
      <c r="L256" s="89" t="s">
        <v>1807</v>
      </c>
      <c r="M256" s="89" t="s">
        <v>1808</v>
      </c>
      <c r="N256" s="89" t="s">
        <v>441</v>
      </c>
      <c r="O256" s="87"/>
      <c r="P256" s="87"/>
      <c r="Q256" s="87">
        <v>1722.0</v>
      </c>
      <c r="R256" s="87">
        <v>46.0</v>
      </c>
      <c r="S256" s="87"/>
      <c r="T256" s="87"/>
      <c r="U256" s="87">
        <v>1084.0</v>
      </c>
      <c r="V256" s="87">
        <v>684.0</v>
      </c>
      <c r="W256" s="87"/>
      <c r="X256" s="87"/>
      <c r="Y256" s="87">
        <v>65.0</v>
      </c>
      <c r="Z256" s="87">
        <v>528.0</v>
      </c>
      <c r="AA256" s="87">
        <v>434.0</v>
      </c>
      <c r="AB256" s="87">
        <v>303.0</v>
      </c>
      <c r="AC256" s="87">
        <v>217.0</v>
      </c>
      <c r="AD256" s="87">
        <v>191.0</v>
      </c>
      <c r="AE256" s="87">
        <v>29.0</v>
      </c>
      <c r="AF256" s="87"/>
      <c r="AG256" s="87">
        <v>1.0</v>
      </c>
      <c r="AH256" s="87">
        <v>448.0</v>
      </c>
      <c r="AI256" s="87">
        <v>1116.0</v>
      </c>
      <c r="AJ256" s="87">
        <v>204.0</v>
      </c>
      <c r="AK256" s="87"/>
      <c r="AL256" s="87">
        <v>28.0</v>
      </c>
      <c r="AM256" s="87"/>
      <c r="AN256" s="87">
        <v>182.0</v>
      </c>
      <c r="AO256" s="87">
        <v>840.0</v>
      </c>
      <c r="AP256" s="87">
        <v>425.0</v>
      </c>
      <c r="AQ256" s="87">
        <v>293.0</v>
      </c>
      <c r="AR256" s="87"/>
      <c r="AS256" s="87">
        <v>233.0</v>
      </c>
      <c r="AT256" s="87">
        <v>11.0</v>
      </c>
      <c r="AU256" s="87">
        <v>1320.0</v>
      </c>
      <c r="AV256" s="87"/>
      <c r="AW256" s="87">
        <v>198.0</v>
      </c>
      <c r="AX256" s="87"/>
      <c r="AY256" s="87"/>
      <c r="AZ256" s="87"/>
      <c r="BA256" s="87">
        <v>1.0</v>
      </c>
      <c r="BB256" s="87">
        <v>5.0</v>
      </c>
      <c r="BC256" s="87"/>
      <c r="BD256" s="87"/>
      <c r="BE256" s="87"/>
      <c r="BF256" s="87">
        <v>1319.0</v>
      </c>
      <c r="BG256" s="87">
        <v>449.0</v>
      </c>
      <c r="BH256" s="87"/>
      <c r="BI256" s="87">
        <v>13753.0</v>
      </c>
      <c r="BJ256" s="87">
        <v>317.0</v>
      </c>
      <c r="BK256" s="87">
        <v>1322.0</v>
      </c>
      <c r="BL256" s="87">
        <v>129.0</v>
      </c>
      <c r="BM256" s="87"/>
      <c r="BN256" s="87"/>
      <c r="BO256" s="87"/>
      <c r="BP256" s="87">
        <v>1640.0</v>
      </c>
      <c r="BQ256" s="87">
        <v>18.0</v>
      </c>
      <c r="BR256" s="87">
        <v>2.0</v>
      </c>
      <c r="BS256" s="87"/>
      <c r="BT256" s="87"/>
      <c r="BU256" s="87">
        <v>1.0</v>
      </c>
      <c r="BV256" s="87">
        <v>101.0</v>
      </c>
      <c r="BW256" s="87"/>
      <c r="BX256" s="87"/>
      <c r="BY256" s="87"/>
      <c r="BZ256" s="87"/>
      <c r="CA256" s="87"/>
      <c r="CB256" s="87">
        <v>2.0</v>
      </c>
      <c r="CC256" s="87"/>
      <c r="CD256" s="87">
        <v>4.0</v>
      </c>
      <c r="CE256" s="87"/>
      <c r="CF256" s="87"/>
      <c r="CG256" s="87"/>
      <c r="CH256" s="87">
        <v>1768.0</v>
      </c>
      <c r="CI256" s="87"/>
      <c r="CJ256" s="87">
        <v>455.0</v>
      </c>
      <c r="CK256" s="87">
        <v>637.0</v>
      </c>
      <c r="CL256" s="87">
        <v>528.0</v>
      </c>
      <c r="CM256" s="87"/>
      <c r="CN256" s="87"/>
      <c r="CO256" s="87">
        <v>131.0</v>
      </c>
      <c r="CP256" s="87"/>
      <c r="CQ256" s="87"/>
      <c r="CR256" s="87">
        <v>17.0</v>
      </c>
      <c r="CS256" s="87"/>
      <c r="CT256" s="87"/>
      <c r="CU256" s="87"/>
      <c r="CV256" s="87"/>
      <c r="CW256" s="87"/>
      <c r="CX256" s="87">
        <v>1767.0</v>
      </c>
      <c r="CY256" s="87"/>
      <c r="CZ256" s="87"/>
      <c r="DA256" s="87"/>
      <c r="DB256" s="87"/>
      <c r="DC256" s="87"/>
      <c r="DD256" s="87"/>
      <c r="DE256" s="87"/>
      <c r="DF256" s="87"/>
      <c r="DG256" s="87"/>
      <c r="DH256" s="87"/>
      <c r="DI256" s="87"/>
      <c r="DJ256" s="87"/>
      <c r="DK256" s="87"/>
      <c r="DL256" s="87"/>
      <c r="DM256" s="87"/>
      <c r="DN256" s="87">
        <v>1.0</v>
      </c>
      <c r="DO256" s="87">
        <v>57.0</v>
      </c>
      <c r="DP256" s="87"/>
      <c r="DQ256" s="87"/>
      <c r="DR256" s="87"/>
      <c r="DS256" s="87"/>
      <c r="DT256" s="87"/>
      <c r="DU256" s="87"/>
      <c r="DV256" s="87"/>
      <c r="DW256" s="87"/>
      <c r="DX256" s="87"/>
      <c r="DY256" s="87"/>
      <c r="DZ256" s="87"/>
      <c r="EA256" s="87"/>
      <c r="EB256" s="87"/>
      <c r="EC256" s="87"/>
      <c r="ED256" s="87">
        <v>1711.0</v>
      </c>
      <c r="EE256" s="87"/>
      <c r="EF256" s="87"/>
      <c r="EG256" s="87">
        <v>434.0</v>
      </c>
      <c r="EH256" s="87">
        <v>1.0</v>
      </c>
      <c r="EI256" s="87">
        <v>20.0</v>
      </c>
      <c r="EJ256" s="87">
        <v>1313.0</v>
      </c>
      <c r="EK256" s="88"/>
      <c r="EL256" s="88"/>
      <c r="EM256" s="88"/>
      <c r="EN256" s="88"/>
      <c r="EO256" s="88"/>
      <c r="EP256" s="88"/>
      <c r="EQ256" s="90"/>
    </row>
    <row r="257" ht="12.0" customHeight="1">
      <c r="A257" s="89">
        <v>1.06331288E8</v>
      </c>
      <c r="B257" s="89" t="s">
        <v>1809</v>
      </c>
      <c r="C257" s="89" t="s">
        <v>1768</v>
      </c>
      <c r="D257" s="89" t="s">
        <v>1810</v>
      </c>
      <c r="E257" s="89" t="s">
        <v>1811</v>
      </c>
      <c r="F257" s="89" t="s">
        <v>1812</v>
      </c>
      <c r="G257" s="89" t="s">
        <v>1813</v>
      </c>
      <c r="H257" s="89" t="s">
        <v>494</v>
      </c>
      <c r="I257" s="89" t="s">
        <v>543</v>
      </c>
      <c r="J257" s="89" t="s">
        <v>499</v>
      </c>
      <c r="K257" s="89" t="s">
        <v>1773</v>
      </c>
      <c r="L257" s="89" t="s">
        <v>749</v>
      </c>
      <c r="M257" s="89" t="s">
        <v>1814</v>
      </c>
      <c r="N257" s="89" t="s">
        <v>547</v>
      </c>
      <c r="O257" s="87">
        <v>356.0</v>
      </c>
      <c r="P257" s="87"/>
      <c r="Q257" s="87"/>
      <c r="R257" s="87"/>
      <c r="S257" s="87"/>
      <c r="T257" s="87"/>
      <c r="U257" s="87">
        <v>164.0</v>
      </c>
      <c r="V257" s="87">
        <v>192.0</v>
      </c>
      <c r="W257" s="87"/>
      <c r="X257" s="87">
        <v>56.0</v>
      </c>
      <c r="Y257" s="87"/>
      <c r="Z257" s="87">
        <v>67.0</v>
      </c>
      <c r="AA257" s="87">
        <v>44.0</v>
      </c>
      <c r="AB257" s="87">
        <v>23.0</v>
      </c>
      <c r="AC257" s="87">
        <v>46.0</v>
      </c>
      <c r="AD257" s="87">
        <v>58.0</v>
      </c>
      <c r="AE257" s="87">
        <v>24.0</v>
      </c>
      <c r="AF257" s="87">
        <v>31.0</v>
      </c>
      <c r="AG257" s="87">
        <v>7.0</v>
      </c>
      <c r="AH257" s="87">
        <v>175.0</v>
      </c>
      <c r="AI257" s="87">
        <v>181.0</v>
      </c>
      <c r="AJ257" s="87"/>
      <c r="AK257" s="87"/>
      <c r="AL257" s="87"/>
      <c r="AM257" s="87"/>
      <c r="AN257" s="87">
        <v>37.0</v>
      </c>
      <c r="AO257" s="87">
        <v>138.0</v>
      </c>
      <c r="AP257" s="87">
        <v>11.0</v>
      </c>
      <c r="AQ257" s="87">
        <v>170.0</v>
      </c>
      <c r="AR257" s="87"/>
      <c r="AS257" s="87">
        <v>242.0</v>
      </c>
      <c r="AT257" s="87">
        <v>45.0</v>
      </c>
      <c r="AU257" s="87"/>
      <c r="AV257" s="87">
        <v>11.0</v>
      </c>
      <c r="AW257" s="87"/>
      <c r="AX257" s="87"/>
      <c r="AY257" s="87"/>
      <c r="AZ257" s="87"/>
      <c r="BA257" s="87">
        <v>1.0</v>
      </c>
      <c r="BB257" s="87">
        <v>1.0</v>
      </c>
      <c r="BC257" s="87">
        <v>56.0</v>
      </c>
      <c r="BD257" s="87"/>
      <c r="BE257" s="87">
        <v>224.0</v>
      </c>
      <c r="BF257" s="87"/>
      <c r="BG257" s="87">
        <v>132.0</v>
      </c>
      <c r="BH257" s="87"/>
      <c r="BI257" s="87">
        <v>1318.0</v>
      </c>
      <c r="BJ257" s="87">
        <v>243.0</v>
      </c>
      <c r="BK257" s="87">
        <v>30.0</v>
      </c>
      <c r="BL257" s="87">
        <v>27.0</v>
      </c>
      <c r="BM257" s="87">
        <v>56.0</v>
      </c>
      <c r="BN257" s="87"/>
      <c r="BO257" s="87"/>
      <c r="BP257" s="87">
        <v>242.0</v>
      </c>
      <c r="BQ257" s="87">
        <v>21.0</v>
      </c>
      <c r="BR257" s="87"/>
      <c r="BS257" s="87">
        <v>37.0</v>
      </c>
      <c r="BT257" s="87">
        <v>1.0</v>
      </c>
      <c r="BU257" s="87">
        <v>30.0</v>
      </c>
      <c r="BV257" s="87">
        <v>11.0</v>
      </c>
      <c r="BW257" s="87">
        <v>8.0</v>
      </c>
      <c r="BX257" s="87"/>
      <c r="BY257" s="87"/>
      <c r="BZ257" s="87">
        <v>2.0</v>
      </c>
      <c r="CA257" s="87">
        <v>1.0</v>
      </c>
      <c r="CB257" s="87"/>
      <c r="CC257" s="87"/>
      <c r="CD257" s="87">
        <v>3.0</v>
      </c>
      <c r="CE257" s="87"/>
      <c r="CF257" s="87"/>
      <c r="CG257" s="87">
        <v>14.0</v>
      </c>
      <c r="CH257" s="87">
        <v>342.0</v>
      </c>
      <c r="CI257" s="87"/>
      <c r="CJ257" s="87">
        <v>108.0</v>
      </c>
      <c r="CK257" s="87">
        <v>171.0</v>
      </c>
      <c r="CL257" s="87">
        <v>71.0</v>
      </c>
      <c r="CM257" s="87">
        <v>1.0</v>
      </c>
      <c r="CN257" s="87"/>
      <c r="CO257" s="87"/>
      <c r="CP257" s="87"/>
      <c r="CQ257" s="87">
        <v>5.0</v>
      </c>
      <c r="CR257" s="87"/>
      <c r="CS257" s="87"/>
      <c r="CT257" s="87">
        <v>12.0</v>
      </c>
      <c r="CU257" s="87">
        <v>4.0</v>
      </c>
      <c r="CV257" s="87">
        <v>2.0</v>
      </c>
      <c r="CW257" s="87">
        <v>12.0</v>
      </c>
      <c r="CX257" s="87"/>
      <c r="CY257" s="87">
        <v>1.0</v>
      </c>
      <c r="CZ257" s="87"/>
      <c r="DA257" s="87"/>
      <c r="DB257" s="87">
        <v>13.0</v>
      </c>
      <c r="DC257" s="87">
        <v>37.0</v>
      </c>
      <c r="DD257" s="87">
        <v>56.0</v>
      </c>
      <c r="DE257" s="87">
        <v>42.0</v>
      </c>
      <c r="DF257" s="87">
        <v>4.0</v>
      </c>
      <c r="DG257" s="87">
        <v>21.0</v>
      </c>
      <c r="DH257" s="87">
        <v>76.0</v>
      </c>
      <c r="DI257" s="87">
        <v>56.0</v>
      </c>
      <c r="DJ257" s="87"/>
      <c r="DK257" s="87">
        <v>2.0</v>
      </c>
      <c r="DL257" s="87">
        <v>17.0</v>
      </c>
      <c r="DM257" s="87">
        <v>1.0</v>
      </c>
      <c r="DN257" s="87"/>
      <c r="DO257" s="87">
        <v>68.0</v>
      </c>
      <c r="DP257" s="87">
        <v>61.0</v>
      </c>
      <c r="DQ257" s="87">
        <v>4.0</v>
      </c>
      <c r="DR257" s="87">
        <v>38.0</v>
      </c>
      <c r="DS257" s="87"/>
      <c r="DT257" s="87">
        <v>1.0</v>
      </c>
      <c r="DU257" s="87"/>
      <c r="DV257" s="87">
        <v>11.0</v>
      </c>
      <c r="DW257" s="87"/>
      <c r="DX257" s="87">
        <v>18.0</v>
      </c>
      <c r="DY257" s="87">
        <v>5.0</v>
      </c>
      <c r="DZ257" s="87"/>
      <c r="EA257" s="87"/>
      <c r="EB257" s="87">
        <v>5.0</v>
      </c>
      <c r="EC257" s="87"/>
      <c r="ED257" s="87">
        <v>145.0</v>
      </c>
      <c r="EE257" s="87"/>
      <c r="EF257" s="87"/>
      <c r="EG257" s="87">
        <v>14.0</v>
      </c>
      <c r="EH257" s="87"/>
      <c r="EI257" s="87">
        <v>23.0</v>
      </c>
      <c r="EJ257" s="87">
        <v>319.0</v>
      </c>
      <c r="EK257" s="88"/>
      <c r="EL257" s="88"/>
      <c r="EM257" s="88"/>
      <c r="EN257" s="88"/>
      <c r="EO257" s="88"/>
      <c r="EP257" s="88"/>
      <c r="EQ257" s="90"/>
    </row>
    <row r="258" ht="12.0" customHeight="1">
      <c r="A258" s="89">
        <v>1.06331293E8</v>
      </c>
      <c r="B258" s="89" t="s">
        <v>1815</v>
      </c>
      <c r="C258" s="89" t="s">
        <v>1768</v>
      </c>
      <c r="D258" s="89" t="s">
        <v>1816</v>
      </c>
      <c r="E258" s="89" t="s">
        <v>1817</v>
      </c>
      <c r="F258" s="89" t="s">
        <v>1768</v>
      </c>
      <c r="G258" s="89" t="s">
        <v>1818</v>
      </c>
      <c r="H258" s="89" t="s">
        <v>475</v>
      </c>
      <c r="I258" s="89" t="s">
        <v>543</v>
      </c>
      <c r="J258" s="89" t="s">
        <v>457</v>
      </c>
      <c r="K258" s="89" t="s">
        <v>670</v>
      </c>
      <c r="L258" s="89" t="s">
        <v>1781</v>
      </c>
      <c r="M258" s="89" t="s">
        <v>1808</v>
      </c>
      <c r="N258" s="89" t="s">
        <v>441</v>
      </c>
      <c r="O258" s="87">
        <v>6886.0</v>
      </c>
      <c r="P258" s="87"/>
      <c r="Q258" s="87"/>
      <c r="R258" s="87"/>
      <c r="S258" s="87"/>
      <c r="T258" s="87"/>
      <c r="U258" s="87">
        <v>2716.0</v>
      </c>
      <c r="V258" s="87">
        <v>4170.0</v>
      </c>
      <c r="W258" s="87"/>
      <c r="X258" s="87">
        <v>1197.0</v>
      </c>
      <c r="Y258" s="87">
        <v>84.0</v>
      </c>
      <c r="Z258" s="87">
        <v>798.0</v>
      </c>
      <c r="AA258" s="87">
        <v>908.0</v>
      </c>
      <c r="AB258" s="87">
        <v>589.0</v>
      </c>
      <c r="AC258" s="87">
        <v>760.0</v>
      </c>
      <c r="AD258" s="87">
        <v>1035.0</v>
      </c>
      <c r="AE258" s="87">
        <v>780.0</v>
      </c>
      <c r="AF258" s="87">
        <v>735.0</v>
      </c>
      <c r="AG258" s="87"/>
      <c r="AH258" s="87">
        <v>2566.0</v>
      </c>
      <c r="AI258" s="87">
        <v>4320.0</v>
      </c>
      <c r="AJ258" s="87"/>
      <c r="AK258" s="87">
        <v>53.0</v>
      </c>
      <c r="AL258" s="87">
        <v>230.0</v>
      </c>
      <c r="AM258" s="87">
        <v>15.0</v>
      </c>
      <c r="AN258" s="87">
        <v>547.0</v>
      </c>
      <c r="AO258" s="87">
        <v>5108.0</v>
      </c>
      <c r="AP258" s="87">
        <v>342.0</v>
      </c>
      <c r="AQ258" s="87">
        <v>538.0</v>
      </c>
      <c r="AR258" s="87">
        <v>53.0</v>
      </c>
      <c r="AS258" s="87">
        <v>4890.0</v>
      </c>
      <c r="AT258" s="87">
        <v>398.0</v>
      </c>
      <c r="AU258" s="87">
        <v>41.0</v>
      </c>
      <c r="AV258" s="87">
        <v>263.0</v>
      </c>
      <c r="AW258" s="87">
        <v>89.0</v>
      </c>
      <c r="AX258" s="87">
        <v>35.0</v>
      </c>
      <c r="AY258" s="87"/>
      <c r="AZ258" s="87"/>
      <c r="BA258" s="87">
        <v>2.0</v>
      </c>
      <c r="BB258" s="87"/>
      <c r="BC258" s="87">
        <v>1168.0</v>
      </c>
      <c r="BD258" s="87"/>
      <c r="BE258" s="87">
        <v>4101.0</v>
      </c>
      <c r="BF258" s="87"/>
      <c r="BG258" s="87">
        <v>2785.0</v>
      </c>
      <c r="BH258" s="87"/>
      <c r="BI258" s="87">
        <v>25884.0</v>
      </c>
      <c r="BJ258" s="87">
        <v>4101.0</v>
      </c>
      <c r="BK258" s="87">
        <v>3.0</v>
      </c>
      <c r="BL258" s="87">
        <v>1601.0</v>
      </c>
      <c r="BM258" s="87">
        <v>1168.0</v>
      </c>
      <c r="BN258" s="87"/>
      <c r="BO258" s="87">
        <v>13.0</v>
      </c>
      <c r="BP258" s="87">
        <v>4460.0</v>
      </c>
      <c r="BQ258" s="87">
        <v>162.0</v>
      </c>
      <c r="BR258" s="87">
        <v>3.0</v>
      </c>
      <c r="BS258" s="87">
        <v>886.0</v>
      </c>
      <c r="BT258" s="87">
        <v>18.0</v>
      </c>
      <c r="BU258" s="87">
        <v>2.0</v>
      </c>
      <c r="BV258" s="87">
        <v>230.0</v>
      </c>
      <c r="BW258" s="87">
        <v>257.0</v>
      </c>
      <c r="BX258" s="87">
        <v>651.0</v>
      </c>
      <c r="BY258" s="87"/>
      <c r="BZ258" s="87"/>
      <c r="CA258" s="87">
        <v>197.0</v>
      </c>
      <c r="CB258" s="87">
        <v>20.0</v>
      </c>
      <c r="CC258" s="87"/>
      <c r="CD258" s="87"/>
      <c r="CE258" s="87"/>
      <c r="CF258" s="87"/>
      <c r="CG258" s="87">
        <v>59.0</v>
      </c>
      <c r="CH258" s="87">
        <v>6827.0</v>
      </c>
      <c r="CI258" s="87"/>
      <c r="CJ258" s="87">
        <v>2082.0</v>
      </c>
      <c r="CK258" s="87">
        <v>3035.0</v>
      </c>
      <c r="CL258" s="87">
        <v>1167.0</v>
      </c>
      <c r="CM258" s="87">
        <v>4.0</v>
      </c>
      <c r="CN258" s="87"/>
      <c r="CO258" s="87">
        <v>32.0</v>
      </c>
      <c r="CP258" s="87">
        <v>1.0</v>
      </c>
      <c r="CQ258" s="87">
        <v>565.0</v>
      </c>
      <c r="CR258" s="87"/>
      <c r="CS258" s="87"/>
      <c r="CT258" s="87">
        <v>1082.0</v>
      </c>
      <c r="CU258" s="87">
        <v>78.0</v>
      </c>
      <c r="CV258" s="87">
        <v>61.0</v>
      </c>
      <c r="CW258" s="87">
        <v>583.0</v>
      </c>
      <c r="CX258" s="87">
        <v>77.0</v>
      </c>
      <c r="CY258" s="87">
        <v>112.0</v>
      </c>
      <c r="CZ258" s="87">
        <v>2.0</v>
      </c>
      <c r="DA258" s="87">
        <v>1.0</v>
      </c>
      <c r="DB258" s="87">
        <v>541.0</v>
      </c>
      <c r="DC258" s="87">
        <v>334.0</v>
      </c>
      <c r="DD258" s="87">
        <v>758.0</v>
      </c>
      <c r="DE258" s="87">
        <v>88.0</v>
      </c>
      <c r="DF258" s="87">
        <v>85.0</v>
      </c>
      <c r="DG258" s="87">
        <v>250.0</v>
      </c>
      <c r="DH258" s="87">
        <v>1219.0</v>
      </c>
      <c r="DI258" s="87">
        <v>1197.0</v>
      </c>
      <c r="DJ258" s="87">
        <v>1.0</v>
      </c>
      <c r="DK258" s="87">
        <v>114.0</v>
      </c>
      <c r="DL258" s="87">
        <v>296.0</v>
      </c>
      <c r="DM258" s="87">
        <v>7.0</v>
      </c>
      <c r="DN258" s="87"/>
      <c r="DO258" s="87">
        <v>1853.0</v>
      </c>
      <c r="DP258" s="87">
        <v>1184.0</v>
      </c>
      <c r="DQ258" s="87">
        <v>387.0</v>
      </c>
      <c r="DR258" s="87">
        <v>820.0</v>
      </c>
      <c r="DS258" s="87">
        <v>4.0</v>
      </c>
      <c r="DT258" s="87">
        <v>2.0</v>
      </c>
      <c r="DU258" s="87"/>
      <c r="DV258" s="87">
        <v>46.0</v>
      </c>
      <c r="DW258" s="87">
        <v>3.0</v>
      </c>
      <c r="DX258" s="87">
        <v>64.0</v>
      </c>
      <c r="DY258" s="87">
        <v>239.0</v>
      </c>
      <c r="DZ258" s="87">
        <v>8.0</v>
      </c>
      <c r="EA258" s="87">
        <v>5.0</v>
      </c>
      <c r="EB258" s="87">
        <v>113.0</v>
      </c>
      <c r="EC258" s="87">
        <v>27.0</v>
      </c>
      <c r="ED258" s="87">
        <v>1995.0</v>
      </c>
      <c r="EE258" s="87">
        <v>136.0</v>
      </c>
      <c r="EF258" s="87">
        <v>3.0</v>
      </c>
      <c r="EG258" s="87">
        <v>183.0</v>
      </c>
      <c r="EH258" s="87"/>
      <c r="EI258" s="87">
        <v>45.0</v>
      </c>
      <c r="EJ258" s="87">
        <v>6655.0</v>
      </c>
      <c r="EK258" s="88"/>
      <c r="EL258" s="88"/>
      <c r="EM258" s="88"/>
      <c r="EN258" s="88"/>
      <c r="EO258" s="88"/>
      <c r="EP258" s="88"/>
      <c r="EQ258" s="90"/>
    </row>
    <row r="259" ht="12.0" customHeight="1">
      <c r="A259" s="89">
        <v>1.06331312E8</v>
      </c>
      <c r="B259" s="89" t="s">
        <v>1819</v>
      </c>
      <c r="C259" s="89" t="s">
        <v>1768</v>
      </c>
      <c r="D259" s="89" t="s">
        <v>1820</v>
      </c>
      <c r="E259" s="89" t="s">
        <v>1821</v>
      </c>
      <c r="F259" s="89" t="s">
        <v>1768</v>
      </c>
      <c r="G259" s="89" t="s">
        <v>1822</v>
      </c>
      <c r="H259" s="89" t="s">
        <v>696</v>
      </c>
      <c r="I259" s="89" t="s">
        <v>543</v>
      </c>
      <c r="J259" s="89" t="s">
        <v>448</v>
      </c>
      <c r="K259" s="89" t="s">
        <v>670</v>
      </c>
      <c r="L259" s="89" t="s">
        <v>1807</v>
      </c>
      <c r="M259" s="89" t="s">
        <v>1823</v>
      </c>
      <c r="N259" s="89" t="s">
        <v>441</v>
      </c>
      <c r="O259" s="87">
        <v>29634.0</v>
      </c>
      <c r="P259" s="87"/>
      <c r="Q259" s="87"/>
      <c r="R259" s="87"/>
      <c r="S259" s="87"/>
      <c r="T259" s="87">
        <v>2.0</v>
      </c>
      <c r="U259" s="87">
        <v>13395.0</v>
      </c>
      <c r="V259" s="87">
        <v>16233.0</v>
      </c>
      <c r="W259" s="87">
        <v>8.0</v>
      </c>
      <c r="X259" s="87">
        <v>3755.0</v>
      </c>
      <c r="Y259" s="87">
        <v>385.0</v>
      </c>
      <c r="Z259" s="87">
        <v>3326.0</v>
      </c>
      <c r="AA259" s="87">
        <v>3600.0</v>
      </c>
      <c r="AB259" s="87">
        <v>2478.0</v>
      </c>
      <c r="AC259" s="87">
        <v>3624.0</v>
      </c>
      <c r="AD259" s="87">
        <v>4964.0</v>
      </c>
      <c r="AE259" s="87">
        <v>4223.0</v>
      </c>
      <c r="AF259" s="87">
        <v>3281.0</v>
      </c>
      <c r="AG259" s="87"/>
      <c r="AH259" s="87">
        <v>13680.0</v>
      </c>
      <c r="AI259" s="87">
        <v>15301.0</v>
      </c>
      <c r="AJ259" s="87">
        <v>655.0</v>
      </c>
      <c r="AK259" s="87">
        <v>62.0</v>
      </c>
      <c r="AL259" s="87">
        <v>759.0</v>
      </c>
      <c r="AM259" s="87">
        <v>47.0</v>
      </c>
      <c r="AN259" s="87">
        <v>2344.0</v>
      </c>
      <c r="AO259" s="87">
        <v>14510.0</v>
      </c>
      <c r="AP259" s="87">
        <v>347.0</v>
      </c>
      <c r="AQ259" s="87">
        <v>9962.0</v>
      </c>
      <c r="AR259" s="87">
        <v>1605.0</v>
      </c>
      <c r="AS259" s="87">
        <v>22030.0</v>
      </c>
      <c r="AT259" s="87">
        <v>3083.0</v>
      </c>
      <c r="AU259" s="87">
        <v>682.0</v>
      </c>
      <c r="AV259" s="87">
        <v>71.0</v>
      </c>
      <c r="AW259" s="87">
        <v>62.0</v>
      </c>
      <c r="AX259" s="87"/>
      <c r="AY259" s="87"/>
      <c r="AZ259" s="87"/>
      <c r="BA259" s="87">
        <v>10.0</v>
      </c>
      <c r="BB259" s="87"/>
      <c r="BC259" s="87">
        <v>3698.0</v>
      </c>
      <c r="BD259" s="87"/>
      <c r="BE259" s="87">
        <v>22325.0</v>
      </c>
      <c r="BF259" s="87"/>
      <c r="BG259" s="87">
        <v>7311.0</v>
      </c>
      <c r="BH259" s="87"/>
      <c r="BI259" s="87">
        <v>148193.0</v>
      </c>
      <c r="BJ259" s="87">
        <v>20596.0</v>
      </c>
      <c r="BK259" s="87">
        <v>543.0</v>
      </c>
      <c r="BL259" s="87">
        <v>2998.0</v>
      </c>
      <c r="BM259" s="87">
        <v>3698.0</v>
      </c>
      <c r="BN259" s="87">
        <v>1801.0</v>
      </c>
      <c r="BO259" s="87"/>
      <c r="BP259" s="87">
        <v>18586.0</v>
      </c>
      <c r="BQ259" s="87">
        <v>464.0</v>
      </c>
      <c r="BR259" s="87">
        <v>280.0</v>
      </c>
      <c r="BS259" s="87">
        <v>3098.0</v>
      </c>
      <c r="BT259" s="87">
        <v>206.0</v>
      </c>
      <c r="BU259" s="87">
        <v>47.0</v>
      </c>
      <c r="BV259" s="87">
        <v>1109.0</v>
      </c>
      <c r="BW259" s="87">
        <v>938.0</v>
      </c>
      <c r="BX259" s="87">
        <v>4032.0</v>
      </c>
      <c r="BY259" s="87"/>
      <c r="BZ259" s="87">
        <v>3.0</v>
      </c>
      <c r="CA259" s="87">
        <v>787.0</v>
      </c>
      <c r="CB259" s="87">
        <v>55.0</v>
      </c>
      <c r="CC259" s="87">
        <v>1.0</v>
      </c>
      <c r="CD259" s="87">
        <v>29.0</v>
      </c>
      <c r="CE259" s="87"/>
      <c r="CF259" s="87">
        <v>1.0</v>
      </c>
      <c r="CG259" s="87"/>
      <c r="CH259" s="87">
        <v>29634.0</v>
      </c>
      <c r="CI259" s="87">
        <v>2.0</v>
      </c>
      <c r="CJ259" s="87">
        <v>9861.0</v>
      </c>
      <c r="CK259" s="87">
        <v>11889.0</v>
      </c>
      <c r="CL259" s="87">
        <v>5498.0</v>
      </c>
      <c r="CM259" s="87">
        <v>101.0</v>
      </c>
      <c r="CN259" s="87"/>
      <c r="CO259" s="87">
        <v>293.0</v>
      </c>
      <c r="CP259" s="87">
        <v>418.0</v>
      </c>
      <c r="CQ259" s="87">
        <v>784.0</v>
      </c>
      <c r="CR259" s="87">
        <v>792.0</v>
      </c>
      <c r="CS259" s="87"/>
      <c r="CT259" s="87">
        <v>3455.0</v>
      </c>
      <c r="CU259" s="87">
        <v>915.0</v>
      </c>
      <c r="CV259" s="87">
        <v>334.0</v>
      </c>
      <c r="CW259" s="87">
        <v>953.0</v>
      </c>
      <c r="CX259" s="87">
        <v>503.0</v>
      </c>
      <c r="CY259" s="87">
        <v>812.0</v>
      </c>
      <c r="CZ259" s="87">
        <v>23.0</v>
      </c>
      <c r="DA259" s="87">
        <v>63.0</v>
      </c>
      <c r="DB259" s="87">
        <v>4658.0</v>
      </c>
      <c r="DC259" s="87">
        <v>914.0</v>
      </c>
      <c r="DD259" s="87">
        <v>2898.0</v>
      </c>
      <c r="DE259" s="87">
        <v>279.0</v>
      </c>
      <c r="DF259" s="87">
        <v>1010.0</v>
      </c>
      <c r="DG259" s="87">
        <v>1176.0</v>
      </c>
      <c r="DH259" s="87">
        <v>4006.0</v>
      </c>
      <c r="DI259" s="87">
        <v>3754.0</v>
      </c>
      <c r="DJ259" s="87">
        <v>19.0</v>
      </c>
      <c r="DK259" s="87">
        <v>362.0</v>
      </c>
      <c r="DL259" s="87">
        <v>2957.0</v>
      </c>
      <c r="DM259" s="87">
        <v>544.0</v>
      </c>
      <c r="DN259" s="87">
        <v>1.0</v>
      </c>
      <c r="DO259" s="87">
        <v>1899.0</v>
      </c>
      <c r="DP259" s="87">
        <v>3220.0</v>
      </c>
      <c r="DQ259" s="87">
        <v>3847.0</v>
      </c>
      <c r="DR259" s="87">
        <v>2883.0</v>
      </c>
      <c r="DS259" s="87">
        <v>12.0</v>
      </c>
      <c r="DT259" s="87">
        <v>30.0</v>
      </c>
      <c r="DU259" s="87">
        <v>2.0</v>
      </c>
      <c r="DV259" s="87">
        <v>342.0</v>
      </c>
      <c r="DW259" s="87">
        <v>124.0</v>
      </c>
      <c r="DX259" s="87">
        <v>633.0</v>
      </c>
      <c r="DY259" s="87">
        <v>1875.0</v>
      </c>
      <c r="DZ259" s="87">
        <v>473.0</v>
      </c>
      <c r="EA259" s="87">
        <v>43.0</v>
      </c>
      <c r="EB259" s="87">
        <v>699.0</v>
      </c>
      <c r="EC259" s="87">
        <v>317.0</v>
      </c>
      <c r="ED259" s="87">
        <v>12913.0</v>
      </c>
      <c r="EE259" s="87">
        <v>324.0</v>
      </c>
      <c r="EF259" s="87">
        <v>46.0</v>
      </c>
      <c r="EG259" s="87">
        <v>518.0</v>
      </c>
      <c r="EH259" s="87">
        <v>9.0</v>
      </c>
      <c r="EI259" s="87">
        <v>367.0</v>
      </c>
      <c r="EJ259" s="87">
        <v>28696.0</v>
      </c>
      <c r="EK259" s="88"/>
      <c r="EL259" s="88"/>
      <c r="EM259" s="88"/>
      <c r="EN259" s="88"/>
      <c r="EO259" s="88"/>
      <c r="EP259" s="88"/>
      <c r="EQ259" s="90"/>
    </row>
    <row r="260" ht="12.0" customHeight="1">
      <c r="A260" s="89">
        <v>1.06331326E8</v>
      </c>
      <c r="B260" s="89" t="s">
        <v>1824</v>
      </c>
      <c r="C260" s="89" t="s">
        <v>1768</v>
      </c>
      <c r="D260" s="89" t="s">
        <v>1825</v>
      </c>
      <c r="E260" s="89" t="s">
        <v>1826</v>
      </c>
      <c r="F260" s="89" t="s">
        <v>1827</v>
      </c>
      <c r="G260" s="89" t="s">
        <v>1828</v>
      </c>
      <c r="H260" s="89" t="s">
        <v>494</v>
      </c>
      <c r="I260" s="89" t="s">
        <v>543</v>
      </c>
      <c r="J260" s="89" t="s">
        <v>463</v>
      </c>
      <c r="K260" s="89" t="s">
        <v>662</v>
      </c>
      <c r="L260" s="89" t="s">
        <v>1774</v>
      </c>
      <c r="M260" s="89" t="s">
        <v>1829</v>
      </c>
      <c r="N260" s="89" t="s">
        <v>441</v>
      </c>
      <c r="O260" s="87">
        <v>2495.0</v>
      </c>
      <c r="P260" s="87"/>
      <c r="Q260" s="87"/>
      <c r="R260" s="87"/>
      <c r="S260" s="87"/>
      <c r="T260" s="87"/>
      <c r="U260" s="87">
        <v>1159.0</v>
      </c>
      <c r="V260" s="87">
        <v>1336.0</v>
      </c>
      <c r="W260" s="87"/>
      <c r="X260" s="87">
        <v>181.0</v>
      </c>
      <c r="Y260" s="87">
        <v>21.0</v>
      </c>
      <c r="Z260" s="87">
        <v>217.0</v>
      </c>
      <c r="AA260" s="87">
        <v>192.0</v>
      </c>
      <c r="AB260" s="87">
        <v>207.0</v>
      </c>
      <c r="AC260" s="87">
        <v>278.0</v>
      </c>
      <c r="AD260" s="87">
        <v>496.0</v>
      </c>
      <c r="AE260" s="87">
        <v>429.0</v>
      </c>
      <c r="AF260" s="87">
        <v>474.0</v>
      </c>
      <c r="AG260" s="87"/>
      <c r="AH260" s="87">
        <v>808.0</v>
      </c>
      <c r="AI260" s="87">
        <v>1686.0</v>
      </c>
      <c r="AJ260" s="87">
        <v>1.0</v>
      </c>
      <c r="AK260" s="87">
        <v>53.0</v>
      </c>
      <c r="AL260" s="87">
        <v>45.0</v>
      </c>
      <c r="AM260" s="87">
        <v>11.0</v>
      </c>
      <c r="AN260" s="87">
        <v>228.0</v>
      </c>
      <c r="AO260" s="87">
        <v>2081.0</v>
      </c>
      <c r="AP260" s="87"/>
      <c r="AQ260" s="87">
        <v>31.0</v>
      </c>
      <c r="AR260" s="87">
        <v>46.0</v>
      </c>
      <c r="AS260" s="87">
        <v>2101.0</v>
      </c>
      <c r="AT260" s="87">
        <v>98.0</v>
      </c>
      <c r="AU260" s="87">
        <v>3.0</v>
      </c>
      <c r="AV260" s="87">
        <v>107.0</v>
      </c>
      <c r="AW260" s="87">
        <v>4.0</v>
      </c>
      <c r="AX260" s="87"/>
      <c r="AY260" s="87">
        <v>1.0</v>
      </c>
      <c r="AZ260" s="87">
        <v>2.0</v>
      </c>
      <c r="BA260" s="87">
        <v>1.0</v>
      </c>
      <c r="BB260" s="87"/>
      <c r="BC260" s="87">
        <v>178.0</v>
      </c>
      <c r="BD260" s="87"/>
      <c r="BE260" s="87">
        <v>2322.0</v>
      </c>
      <c r="BF260" s="87"/>
      <c r="BG260" s="87">
        <v>173.0</v>
      </c>
      <c r="BH260" s="87"/>
      <c r="BI260" s="87">
        <v>10094.0</v>
      </c>
      <c r="BJ260" s="87">
        <v>2193.0</v>
      </c>
      <c r="BK260" s="87">
        <v>103.0</v>
      </c>
      <c r="BL260" s="87">
        <v>21.0</v>
      </c>
      <c r="BM260" s="87">
        <v>178.0</v>
      </c>
      <c r="BN260" s="87"/>
      <c r="BO260" s="87"/>
      <c r="BP260" s="87">
        <v>990.0</v>
      </c>
      <c r="BQ260" s="87">
        <v>128.0</v>
      </c>
      <c r="BR260" s="87">
        <v>4.0</v>
      </c>
      <c r="BS260" s="87">
        <v>404.0</v>
      </c>
      <c r="BT260" s="87">
        <v>6.0</v>
      </c>
      <c r="BU260" s="87"/>
      <c r="BV260" s="87">
        <v>102.0</v>
      </c>
      <c r="BW260" s="87">
        <v>107.0</v>
      </c>
      <c r="BX260" s="87">
        <v>650.0</v>
      </c>
      <c r="BY260" s="87"/>
      <c r="BZ260" s="87"/>
      <c r="CA260" s="87">
        <v>101.0</v>
      </c>
      <c r="CB260" s="87">
        <v>3.0</v>
      </c>
      <c r="CC260" s="87"/>
      <c r="CD260" s="87"/>
      <c r="CE260" s="87"/>
      <c r="CF260" s="87"/>
      <c r="CG260" s="87">
        <v>367.0</v>
      </c>
      <c r="CH260" s="87">
        <v>2128.0</v>
      </c>
      <c r="CI260" s="87"/>
      <c r="CJ260" s="87">
        <v>1111.0</v>
      </c>
      <c r="CK260" s="87">
        <v>901.0</v>
      </c>
      <c r="CL260" s="87">
        <v>339.0</v>
      </c>
      <c r="CM260" s="87">
        <v>4.0</v>
      </c>
      <c r="CN260" s="87"/>
      <c r="CO260" s="87">
        <v>96.0</v>
      </c>
      <c r="CP260" s="87"/>
      <c r="CQ260" s="87">
        <v>38.0</v>
      </c>
      <c r="CR260" s="87">
        <v>6.0</v>
      </c>
      <c r="CS260" s="87"/>
      <c r="CT260" s="87">
        <v>481.0</v>
      </c>
      <c r="CU260" s="87">
        <v>24.0</v>
      </c>
      <c r="CV260" s="87">
        <v>22.0</v>
      </c>
      <c r="CW260" s="87">
        <v>195.0</v>
      </c>
      <c r="CX260" s="87">
        <v>36.0</v>
      </c>
      <c r="CY260" s="87">
        <v>59.0</v>
      </c>
      <c r="CZ260" s="87">
        <v>1.0</v>
      </c>
      <c r="DA260" s="87"/>
      <c r="DB260" s="87">
        <v>271.0</v>
      </c>
      <c r="DC260" s="87">
        <v>246.0</v>
      </c>
      <c r="DD260" s="87">
        <v>366.0</v>
      </c>
      <c r="DE260" s="87">
        <v>35.0</v>
      </c>
      <c r="DF260" s="87">
        <v>21.0</v>
      </c>
      <c r="DG260" s="87">
        <v>169.0</v>
      </c>
      <c r="DH260" s="87">
        <v>210.0</v>
      </c>
      <c r="DI260" s="87">
        <v>181.0</v>
      </c>
      <c r="DJ260" s="87"/>
      <c r="DK260" s="87">
        <v>39.0</v>
      </c>
      <c r="DL260" s="87">
        <v>136.0</v>
      </c>
      <c r="DM260" s="87">
        <v>2.0</v>
      </c>
      <c r="DN260" s="87">
        <v>1.0</v>
      </c>
      <c r="DO260" s="87">
        <v>776.0</v>
      </c>
      <c r="DP260" s="87">
        <v>178.0</v>
      </c>
      <c r="DQ260" s="87">
        <v>166.0</v>
      </c>
      <c r="DR260" s="87">
        <v>266.0</v>
      </c>
      <c r="DS260" s="87"/>
      <c r="DT260" s="87"/>
      <c r="DU260" s="87"/>
      <c r="DV260" s="87">
        <v>15.0</v>
      </c>
      <c r="DW260" s="87">
        <v>1.0</v>
      </c>
      <c r="DX260" s="87">
        <v>44.0</v>
      </c>
      <c r="DY260" s="87">
        <v>87.0</v>
      </c>
      <c r="DZ260" s="87">
        <v>7.0</v>
      </c>
      <c r="EA260" s="87">
        <v>1.0</v>
      </c>
      <c r="EB260" s="87">
        <v>47.0</v>
      </c>
      <c r="EC260" s="87">
        <v>36.0</v>
      </c>
      <c r="ED260" s="87">
        <v>851.0</v>
      </c>
      <c r="EE260" s="87">
        <v>20.0</v>
      </c>
      <c r="EF260" s="87"/>
      <c r="EG260" s="87">
        <v>79.0</v>
      </c>
      <c r="EH260" s="87">
        <v>1.0</v>
      </c>
      <c r="EI260" s="87">
        <v>20.0</v>
      </c>
      <c r="EJ260" s="87">
        <v>2395.0</v>
      </c>
      <c r="EK260" s="88"/>
      <c r="EL260" s="88"/>
      <c r="EM260" s="88"/>
      <c r="EN260" s="88"/>
      <c r="EO260" s="88"/>
      <c r="EP260" s="88"/>
      <c r="EQ260" s="90"/>
    </row>
    <row r="261" ht="12.0" customHeight="1">
      <c r="A261" s="89">
        <v>1.06332172E8</v>
      </c>
      <c r="B261" s="89" t="s">
        <v>1830</v>
      </c>
      <c r="C261" s="89" t="s">
        <v>1768</v>
      </c>
      <c r="D261" s="89" t="s">
        <v>1831</v>
      </c>
      <c r="E261" s="89" t="s">
        <v>1832</v>
      </c>
      <c r="F261" s="89" t="s">
        <v>1833</v>
      </c>
      <c r="G261" s="89" t="s">
        <v>1834</v>
      </c>
      <c r="H261" s="89" t="s">
        <v>503</v>
      </c>
      <c r="I261" s="89" t="s">
        <v>543</v>
      </c>
      <c r="J261" s="89" t="s">
        <v>499</v>
      </c>
      <c r="K261" s="89" t="s">
        <v>670</v>
      </c>
      <c r="L261" s="89" t="s">
        <v>1807</v>
      </c>
      <c r="M261" s="89" t="s">
        <v>1835</v>
      </c>
      <c r="N261" s="89" t="s">
        <v>441</v>
      </c>
      <c r="O261" s="87">
        <v>307.0</v>
      </c>
      <c r="P261" s="87"/>
      <c r="Q261" s="87"/>
      <c r="R261" s="87"/>
      <c r="S261" s="87"/>
      <c r="T261" s="87"/>
      <c r="U261" s="87">
        <v>190.0</v>
      </c>
      <c r="V261" s="87">
        <v>117.0</v>
      </c>
      <c r="W261" s="87"/>
      <c r="X261" s="87"/>
      <c r="Y261" s="87"/>
      <c r="Z261" s="87"/>
      <c r="AA261" s="87">
        <v>19.0</v>
      </c>
      <c r="AB261" s="87">
        <v>22.0</v>
      </c>
      <c r="AC261" s="87">
        <v>64.0</v>
      </c>
      <c r="AD261" s="87">
        <v>95.0</v>
      </c>
      <c r="AE261" s="87">
        <v>62.0</v>
      </c>
      <c r="AF261" s="87">
        <v>35.0</v>
      </c>
      <c r="AG261" s="87">
        <v>10.0</v>
      </c>
      <c r="AH261" s="87">
        <v>90.0</v>
      </c>
      <c r="AI261" s="87">
        <v>203.0</v>
      </c>
      <c r="AJ261" s="87">
        <v>14.0</v>
      </c>
      <c r="AK261" s="87"/>
      <c r="AL261" s="87"/>
      <c r="AM261" s="87"/>
      <c r="AN261" s="87">
        <v>32.0</v>
      </c>
      <c r="AO261" s="87">
        <v>154.0</v>
      </c>
      <c r="AP261" s="87">
        <v>17.0</v>
      </c>
      <c r="AQ261" s="87">
        <v>104.0</v>
      </c>
      <c r="AR261" s="87"/>
      <c r="AS261" s="87"/>
      <c r="AT261" s="87"/>
      <c r="AU261" s="87">
        <v>306.0</v>
      </c>
      <c r="AV261" s="87"/>
      <c r="AW261" s="87">
        <v>1.0</v>
      </c>
      <c r="AX261" s="87"/>
      <c r="AY261" s="87"/>
      <c r="AZ261" s="87"/>
      <c r="BA261" s="87"/>
      <c r="BB261" s="87"/>
      <c r="BC261" s="87"/>
      <c r="BD261" s="87"/>
      <c r="BE261" s="87"/>
      <c r="BF261" s="87"/>
      <c r="BG261" s="87">
        <v>307.0</v>
      </c>
      <c r="BH261" s="87"/>
      <c r="BI261" s="87">
        <v>13910.0</v>
      </c>
      <c r="BJ261" s="87"/>
      <c r="BK261" s="87"/>
      <c r="BL261" s="87">
        <v>307.0</v>
      </c>
      <c r="BM261" s="87"/>
      <c r="BN261" s="87"/>
      <c r="BO261" s="87"/>
      <c r="BP261" s="87">
        <v>2.0</v>
      </c>
      <c r="BQ261" s="87">
        <v>58.0</v>
      </c>
      <c r="BR261" s="87">
        <v>10.0</v>
      </c>
      <c r="BS261" s="87">
        <v>114.0</v>
      </c>
      <c r="BT261" s="87">
        <v>1.0</v>
      </c>
      <c r="BU261" s="87"/>
      <c r="BV261" s="87">
        <v>10.0</v>
      </c>
      <c r="BW261" s="87">
        <v>68.0</v>
      </c>
      <c r="BX261" s="87">
        <v>42.0</v>
      </c>
      <c r="BY261" s="87"/>
      <c r="BZ261" s="87"/>
      <c r="CA261" s="87">
        <v>2.0</v>
      </c>
      <c r="CB261" s="87"/>
      <c r="CC261" s="87"/>
      <c r="CD261" s="87"/>
      <c r="CE261" s="87"/>
      <c r="CF261" s="87"/>
      <c r="CG261" s="87">
        <v>35.0</v>
      </c>
      <c r="CH261" s="87">
        <v>272.0</v>
      </c>
      <c r="CI261" s="87"/>
      <c r="CJ261" s="87">
        <v>92.0</v>
      </c>
      <c r="CK261" s="87">
        <v>110.0</v>
      </c>
      <c r="CL261" s="87">
        <v>94.0</v>
      </c>
      <c r="CM261" s="87">
        <v>1.0</v>
      </c>
      <c r="CN261" s="87"/>
      <c r="CO261" s="87">
        <v>10.0</v>
      </c>
      <c r="CP261" s="87"/>
      <c r="CQ261" s="87"/>
      <c r="CR261" s="87"/>
      <c r="CS261" s="87"/>
      <c r="CT261" s="87">
        <v>29.0</v>
      </c>
      <c r="CU261" s="87">
        <v>2.0</v>
      </c>
      <c r="CV261" s="87"/>
      <c r="CW261" s="87">
        <v>11.0</v>
      </c>
      <c r="CX261" s="87"/>
      <c r="CY261" s="87">
        <v>1.0</v>
      </c>
      <c r="CZ261" s="87">
        <v>1.0</v>
      </c>
      <c r="DA261" s="87"/>
      <c r="DB261" s="87">
        <v>5.0</v>
      </c>
      <c r="DC261" s="87">
        <v>188.0</v>
      </c>
      <c r="DD261" s="87">
        <v>20.0</v>
      </c>
      <c r="DE261" s="87">
        <v>15.0</v>
      </c>
      <c r="DF261" s="87">
        <v>8.0</v>
      </c>
      <c r="DG261" s="87">
        <v>9.0</v>
      </c>
      <c r="DH261" s="87"/>
      <c r="DI261" s="87"/>
      <c r="DJ261" s="87"/>
      <c r="DK261" s="87">
        <v>2.0</v>
      </c>
      <c r="DL261" s="87">
        <v>12.0</v>
      </c>
      <c r="DM261" s="87">
        <v>4.0</v>
      </c>
      <c r="DN261" s="87"/>
      <c r="DO261" s="87">
        <v>165.0</v>
      </c>
      <c r="DP261" s="87"/>
      <c r="DQ261" s="87">
        <v>28.0</v>
      </c>
      <c r="DR261" s="87">
        <v>19.0</v>
      </c>
      <c r="DS261" s="87"/>
      <c r="DT261" s="87"/>
      <c r="DU261" s="87"/>
      <c r="DV261" s="87"/>
      <c r="DW261" s="87"/>
      <c r="DX261" s="87">
        <v>1.0</v>
      </c>
      <c r="DY261" s="87">
        <v>3.0</v>
      </c>
      <c r="DZ261" s="87"/>
      <c r="EA261" s="87"/>
      <c r="EB261" s="87"/>
      <c r="EC261" s="87"/>
      <c r="ED261" s="87">
        <v>74.0</v>
      </c>
      <c r="EE261" s="87">
        <v>17.0</v>
      </c>
      <c r="EF261" s="87"/>
      <c r="EG261" s="87">
        <v>7.0</v>
      </c>
      <c r="EH261" s="87"/>
      <c r="EI261" s="87">
        <v>1.0</v>
      </c>
      <c r="EJ261" s="87">
        <v>299.0</v>
      </c>
      <c r="EK261" s="88"/>
      <c r="EL261" s="88"/>
      <c r="EM261" s="88"/>
      <c r="EN261" s="88"/>
      <c r="EO261" s="88"/>
      <c r="EP261" s="88"/>
      <c r="EQ261" s="90"/>
    </row>
    <row r="262" ht="12.0" customHeight="1">
      <c r="A262" s="89">
        <v>1.06334018E8</v>
      </c>
      <c r="B262" s="89" t="s">
        <v>1836</v>
      </c>
      <c r="C262" s="89" t="s">
        <v>1768</v>
      </c>
      <c r="D262" s="89" t="s">
        <v>1837</v>
      </c>
      <c r="E262" s="89" t="s">
        <v>1838</v>
      </c>
      <c r="F262" s="89" t="s">
        <v>1839</v>
      </c>
      <c r="G262" s="89" t="s">
        <v>1840</v>
      </c>
      <c r="H262" s="89" t="s">
        <v>503</v>
      </c>
      <c r="I262" s="89" t="s">
        <v>543</v>
      </c>
      <c r="J262" s="89" t="s">
        <v>463</v>
      </c>
      <c r="K262" s="89" t="s">
        <v>662</v>
      </c>
      <c r="L262" s="89" t="s">
        <v>1841</v>
      </c>
      <c r="M262" s="89" t="s">
        <v>1835</v>
      </c>
      <c r="N262" s="89" t="s">
        <v>441</v>
      </c>
      <c r="O262" s="87">
        <v>3125.0</v>
      </c>
      <c r="P262" s="87"/>
      <c r="Q262" s="87"/>
      <c r="R262" s="87"/>
      <c r="S262" s="87"/>
      <c r="T262" s="87"/>
      <c r="U262" s="87">
        <v>1828.0</v>
      </c>
      <c r="V262" s="87">
        <v>1297.0</v>
      </c>
      <c r="W262" s="87"/>
      <c r="X262" s="87"/>
      <c r="Y262" s="87">
        <v>34.0</v>
      </c>
      <c r="Z262" s="87">
        <v>340.0</v>
      </c>
      <c r="AA262" s="87">
        <v>620.0</v>
      </c>
      <c r="AB262" s="87">
        <v>441.0</v>
      </c>
      <c r="AC262" s="87">
        <v>433.0</v>
      </c>
      <c r="AD262" s="87">
        <v>441.0</v>
      </c>
      <c r="AE262" s="87">
        <v>380.0</v>
      </c>
      <c r="AF262" s="87">
        <v>436.0</v>
      </c>
      <c r="AG262" s="87"/>
      <c r="AH262" s="87">
        <v>943.0</v>
      </c>
      <c r="AI262" s="87">
        <v>1834.0</v>
      </c>
      <c r="AJ262" s="87">
        <v>348.0</v>
      </c>
      <c r="AK262" s="87">
        <v>14.0</v>
      </c>
      <c r="AL262" s="87">
        <v>32.0</v>
      </c>
      <c r="AM262" s="87">
        <v>12.0</v>
      </c>
      <c r="AN262" s="87">
        <v>214.0</v>
      </c>
      <c r="AO262" s="87">
        <v>2182.0</v>
      </c>
      <c r="AP262" s="87">
        <v>333.0</v>
      </c>
      <c r="AQ262" s="87">
        <v>338.0</v>
      </c>
      <c r="AR262" s="87"/>
      <c r="AS262" s="87">
        <v>2947.0</v>
      </c>
      <c r="AT262" s="87">
        <v>106.0</v>
      </c>
      <c r="AU262" s="87">
        <v>11.0</v>
      </c>
      <c r="AV262" s="87"/>
      <c r="AW262" s="87">
        <v>17.0</v>
      </c>
      <c r="AX262" s="87">
        <v>4.0</v>
      </c>
      <c r="AY262" s="87">
        <v>1.0</v>
      </c>
      <c r="AZ262" s="87"/>
      <c r="BA262" s="87">
        <v>1.0</v>
      </c>
      <c r="BB262" s="87">
        <v>38.0</v>
      </c>
      <c r="BC262" s="87"/>
      <c r="BD262" s="87"/>
      <c r="BE262" s="87">
        <v>1903.0</v>
      </c>
      <c r="BF262" s="87">
        <v>4.0</v>
      </c>
      <c r="BG262" s="87">
        <v>1218.0</v>
      </c>
      <c r="BH262" s="87"/>
      <c r="BI262" s="87">
        <v>14924.0</v>
      </c>
      <c r="BJ262" s="87">
        <v>1952.0</v>
      </c>
      <c r="BK262" s="87"/>
      <c r="BL262" s="87">
        <v>1168.0</v>
      </c>
      <c r="BM262" s="87"/>
      <c r="BN262" s="87"/>
      <c r="BO262" s="87">
        <v>5.0</v>
      </c>
      <c r="BP262" s="87">
        <v>1788.0</v>
      </c>
      <c r="BQ262" s="87">
        <v>143.0</v>
      </c>
      <c r="BR262" s="87">
        <v>90.0</v>
      </c>
      <c r="BS262" s="87">
        <v>324.0</v>
      </c>
      <c r="BT262" s="87">
        <v>10.0</v>
      </c>
      <c r="BU262" s="87">
        <v>3.0</v>
      </c>
      <c r="BV262" s="87">
        <v>381.0</v>
      </c>
      <c r="BW262" s="87">
        <v>74.0</v>
      </c>
      <c r="BX262" s="87">
        <v>222.0</v>
      </c>
      <c r="BY262" s="87"/>
      <c r="BZ262" s="87"/>
      <c r="CA262" s="87">
        <v>75.0</v>
      </c>
      <c r="CB262" s="87"/>
      <c r="CC262" s="87"/>
      <c r="CD262" s="87">
        <v>4.0</v>
      </c>
      <c r="CE262" s="87"/>
      <c r="CF262" s="87">
        <v>11.0</v>
      </c>
      <c r="CG262" s="87">
        <v>103.0</v>
      </c>
      <c r="CH262" s="87">
        <v>3022.0</v>
      </c>
      <c r="CI262" s="87"/>
      <c r="CJ262" s="87">
        <v>1091.0</v>
      </c>
      <c r="CK262" s="87">
        <v>1804.0</v>
      </c>
      <c r="CL262" s="87">
        <v>219.0</v>
      </c>
      <c r="CM262" s="87"/>
      <c r="CN262" s="87"/>
      <c r="CO262" s="87"/>
      <c r="CP262" s="87"/>
      <c r="CQ262" s="87">
        <v>11.0</v>
      </c>
      <c r="CR262" s="87"/>
      <c r="CS262" s="87"/>
      <c r="CT262" s="87">
        <v>441.0</v>
      </c>
      <c r="CU262" s="87">
        <v>32.0</v>
      </c>
      <c r="CV262" s="87">
        <v>20.0</v>
      </c>
      <c r="CW262" s="87">
        <v>160.0</v>
      </c>
      <c r="CX262" s="87">
        <v>1320.0</v>
      </c>
      <c r="CY262" s="87">
        <v>33.0</v>
      </c>
      <c r="CZ262" s="87">
        <v>1.0</v>
      </c>
      <c r="DA262" s="87">
        <v>1.0</v>
      </c>
      <c r="DB262" s="87">
        <v>253.0</v>
      </c>
      <c r="DC262" s="87">
        <v>166.0</v>
      </c>
      <c r="DD262" s="87">
        <v>313.0</v>
      </c>
      <c r="DE262" s="87">
        <v>49.0</v>
      </c>
      <c r="DF262" s="87">
        <v>31.0</v>
      </c>
      <c r="DG262" s="87">
        <v>89.0</v>
      </c>
      <c r="DH262" s="87"/>
      <c r="DI262" s="87"/>
      <c r="DJ262" s="87"/>
      <c r="DK262" s="87">
        <v>30.0</v>
      </c>
      <c r="DL262" s="87">
        <v>170.0</v>
      </c>
      <c r="DM262" s="87">
        <v>13.0</v>
      </c>
      <c r="DN262" s="87">
        <v>3.0</v>
      </c>
      <c r="DO262" s="87">
        <v>1650.0</v>
      </c>
      <c r="DP262" s="87"/>
      <c r="DQ262" s="87">
        <v>98.0</v>
      </c>
      <c r="DR262" s="87">
        <v>151.0</v>
      </c>
      <c r="DS262" s="87"/>
      <c r="DT262" s="87">
        <v>1.0</v>
      </c>
      <c r="DU262" s="87"/>
      <c r="DV262" s="87"/>
      <c r="DW262" s="87"/>
      <c r="DX262" s="87">
        <v>26.0</v>
      </c>
      <c r="DY262" s="87">
        <v>108.0</v>
      </c>
      <c r="DZ262" s="87">
        <v>18.0</v>
      </c>
      <c r="EA262" s="87">
        <v>9.0</v>
      </c>
      <c r="EB262" s="87">
        <v>21.0</v>
      </c>
      <c r="EC262" s="87">
        <v>2.0</v>
      </c>
      <c r="ED262" s="87">
        <v>1017.0</v>
      </c>
      <c r="EE262" s="87">
        <v>24.0</v>
      </c>
      <c r="EF262" s="87">
        <v>2.0</v>
      </c>
      <c r="EG262" s="87">
        <v>128.0</v>
      </c>
      <c r="EH262" s="87"/>
      <c r="EI262" s="87">
        <v>21.0</v>
      </c>
      <c r="EJ262" s="87">
        <v>2974.0</v>
      </c>
      <c r="EK262" s="88"/>
      <c r="EL262" s="88"/>
      <c r="EM262" s="88"/>
      <c r="EN262" s="88"/>
      <c r="EO262" s="88"/>
      <c r="EP262" s="88"/>
      <c r="EQ262" s="90"/>
    </row>
    <row r="263" ht="12.0" customHeight="1">
      <c r="A263" s="89">
        <v>1.06334025E8</v>
      </c>
      <c r="B263" s="89" t="s">
        <v>1842</v>
      </c>
      <c r="C263" s="89" t="s">
        <v>1768</v>
      </c>
      <c r="D263" s="89" t="s">
        <v>1843</v>
      </c>
      <c r="E263" s="89" t="s">
        <v>1844</v>
      </c>
      <c r="F263" s="89" t="s">
        <v>1768</v>
      </c>
      <c r="G263" s="89" t="s">
        <v>1845</v>
      </c>
      <c r="H263" s="89" t="s">
        <v>447</v>
      </c>
      <c r="I263" s="89" t="s">
        <v>543</v>
      </c>
      <c r="J263" s="89" t="s">
        <v>469</v>
      </c>
      <c r="K263" s="89" t="s">
        <v>670</v>
      </c>
      <c r="L263" s="89" t="s">
        <v>1781</v>
      </c>
      <c r="M263" s="89" t="s">
        <v>1782</v>
      </c>
      <c r="N263" s="89" t="s">
        <v>441</v>
      </c>
      <c r="O263" s="87">
        <v>12987.0</v>
      </c>
      <c r="P263" s="87"/>
      <c r="Q263" s="87"/>
      <c r="R263" s="87"/>
      <c r="S263" s="87"/>
      <c r="T263" s="87"/>
      <c r="U263" s="87">
        <v>4902.0</v>
      </c>
      <c r="V263" s="87">
        <v>8084.0</v>
      </c>
      <c r="W263" s="87">
        <v>1.0</v>
      </c>
      <c r="X263" s="87">
        <v>3440.0</v>
      </c>
      <c r="Y263" s="87">
        <v>104.0</v>
      </c>
      <c r="Z263" s="87">
        <v>1618.0</v>
      </c>
      <c r="AA263" s="87">
        <v>2232.0</v>
      </c>
      <c r="AB263" s="87">
        <v>709.0</v>
      </c>
      <c r="AC263" s="87">
        <v>933.0</v>
      </c>
      <c r="AD263" s="87">
        <v>1328.0</v>
      </c>
      <c r="AE263" s="87">
        <v>1443.0</v>
      </c>
      <c r="AF263" s="87">
        <v>1177.0</v>
      </c>
      <c r="AG263" s="87">
        <v>3.0</v>
      </c>
      <c r="AH263" s="87">
        <v>5749.0</v>
      </c>
      <c r="AI263" s="87">
        <v>6994.0</v>
      </c>
      <c r="AJ263" s="87">
        <v>244.0</v>
      </c>
      <c r="AK263" s="87">
        <v>56.0</v>
      </c>
      <c r="AL263" s="87">
        <v>732.0</v>
      </c>
      <c r="AM263" s="87">
        <v>80.0</v>
      </c>
      <c r="AN263" s="87">
        <v>1240.0</v>
      </c>
      <c r="AO263" s="87">
        <v>4856.0</v>
      </c>
      <c r="AP263" s="87">
        <v>386.0</v>
      </c>
      <c r="AQ263" s="87">
        <v>5540.0</v>
      </c>
      <c r="AR263" s="87">
        <v>97.0</v>
      </c>
      <c r="AS263" s="87">
        <v>8322.0</v>
      </c>
      <c r="AT263" s="87">
        <v>423.0</v>
      </c>
      <c r="AU263" s="87">
        <v>759.0</v>
      </c>
      <c r="AV263" s="87">
        <v>32.0</v>
      </c>
      <c r="AW263" s="87">
        <v>116.0</v>
      </c>
      <c r="AX263" s="87"/>
      <c r="AY263" s="87">
        <v>51.0</v>
      </c>
      <c r="AZ263" s="87"/>
      <c r="BA263" s="87"/>
      <c r="BB263" s="87">
        <v>6.0</v>
      </c>
      <c r="BC263" s="87">
        <v>3278.0</v>
      </c>
      <c r="BD263" s="87"/>
      <c r="BE263" s="87">
        <v>4167.0</v>
      </c>
      <c r="BF263" s="87">
        <v>307.0</v>
      </c>
      <c r="BG263" s="87">
        <v>8513.0</v>
      </c>
      <c r="BH263" s="87"/>
      <c r="BI263" s="87">
        <v>50337.0</v>
      </c>
      <c r="BJ263" s="87">
        <v>3729.0</v>
      </c>
      <c r="BK263" s="87">
        <v>4964.0</v>
      </c>
      <c r="BL263" s="87">
        <v>1016.0</v>
      </c>
      <c r="BM263" s="87">
        <v>3278.0</v>
      </c>
      <c r="BN263" s="87"/>
      <c r="BO263" s="87"/>
      <c r="BP263" s="87">
        <v>9642.0</v>
      </c>
      <c r="BQ263" s="87">
        <v>259.0</v>
      </c>
      <c r="BR263" s="87">
        <v>12.0</v>
      </c>
      <c r="BS263" s="87">
        <v>460.0</v>
      </c>
      <c r="BT263" s="87"/>
      <c r="BU263" s="87"/>
      <c r="BV263" s="87">
        <v>65.0</v>
      </c>
      <c r="BW263" s="87">
        <v>372.0</v>
      </c>
      <c r="BX263" s="87">
        <v>1995.0</v>
      </c>
      <c r="BY263" s="87"/>
      <c r="BZ263" s="87"/>
      <c r="CA263" s="87">
        <v>169.0</v>
      </c>
      <c r="CB263" s="87">
        <v>3.0</v>
      </c>
      <c r="CC263" s="87"/>
      <c r="CD263" s="87">
        <v>2.0</v>
      </c>
      <c r="CE263" s="87">
        <v>8.0</v>
      </c>
      <c r="CF263" s="87"/>
      <c r="CG263" s="87">
        <v>777.0</v>
      </c>
      <c r="CH263" s="87">
        <v>12210.0</v>
      </c>
      <c r="CI263" s="87"/>
      <c r="CJ263" s="87">
        <v>3479.0</v>
      </c>
      <c r="CK263" s="87">
        <v>1628.0</v>
      </c>
      <c r="CL263" s="87">
        <v>7728.0</v>
      </c>
      <c r="CM263" s="87">
        <v>4.0</v>
      </c>
      <c r="CN263" s="87"/>
      <c r="CO263" s="87">
        <v>25.0</v>
      </c>
      <c r="CP263" s="87"/>
      <c r="CQ263" s="87">
        <v>103.0</v>
      </c>
      <c r="CR263" s="87">
        <v>20.0</v>
      </c>
      <c r="CS263" s="87"/>
      <c r="CT263" s="87">
        <v>1353.0</v>
      </c>
      <c r="CU263" s="87">
        <v>471.0</v>
      </c>
      <c r="CV263" s="87">
        <v>90.0</v>
      </c>
      <c r="CW263" s="87">
        <v>392.0</v>
      </c>
      <c r="CX263" s="87">
        <v>65.0</v>
      </c>
      <c r="CY263" s="87">
        <v>155.0</v>
      </c>
      <c r="CZ263" s="87">
        <v>6.0</v>
      </c>
      <c r="DA263" s="87">
        <v>6.0</v>
      </c>
      <c r="DB263" s="87">
        <v>989.0</v>
      </c>
      <c r="DC263" s="87">
        <v>364.0</v>
      </c>
      <c r="DD263" s="87">
        <v>906.0</v>
      </c>
      <c r="DE263" s="87">
        <v>100.0</v>
      </c>
      <c r="DF263" s="87">
        <v>181.0</v>
      </c>
      <c r="DG263" s="87">
        <v>343.0</v>
      </c>
      <c r="DH263" s="87">
        <v>3409.0</v>
      </c>
      <c r="DI263" s="87">
        <v>3434.0</v>
      </c>
      <c r="DJ263" s="87">
        <v>11.0</v>
      </c>
      <c r="DK263" s="87">
        <v>135.0</v>
      </c>
      <c r="DL263" s="87">
        <v>491.0</v>
      </c>
      <c r="DM263" s="87">
        <v>86.0</v>
      </c>
      <c r="DN263" s="87"/>
      <c r="DO263" s="87">
        <v>1320.0</v>
      </c>
      <c r="DP263" s="87">
        <v>3216.0</v>
      </c>
      <c r="DQ263" s="87">
        <v>764.0</v>
      </c>
      <c r="DR263" s="87">
        <v>1105.0</v>
      </c>
      <c r="DS263" s="87">
        <v>6.0</v>
      </c>
      <c r="DT263" s="87">
        <v>7.0</v>
      </c>
      <c r="DU263" s="87">
        <v>1.0</v>
      </c>
      <c r="DV263" s="87">
        <v>1030.0</v>
      </c>
      <c r="DW263" s="87">
        <v>39.0</v>
      </c>
      <c r="DX263" s="87">
        <v>160.0</v>
      </c>
      <c r="DY263" s="87">
        <v>536.0</v>
      </c>
      <c r="DZ263" s="87">
        <v>55.0</v>
      </c>
      <c r="EA263" s="87">
        <v>184.0</v>
      </c>
      <c r="EB263" s="87">
        <v>206.0</v>
      </c>
      <c r="EC263" s="87">
        <v>233.0</v>
      </c>
      <c r="ED263" s="87">
        <v>4032.0</v>
      </c>
      <c r="EE263" s="87">
        <v>93.0</v>
      </c>
      <c r="EF263" s="87">
        <v>2.0</v>
      </c>
      <c r="EG263" s="87">
        <v>52.0</v>
      </c>
      <c r="EH263" s="87"/>
      <c r="EI263" s="87">
        <v>23.0</v>
      </c>
      <c r="EJ263" s="87">
        <v>12910.0</v>
      </c>
      <c r="EK263" s="88"/>
      <c r="EL263" s="88"/>
      <c r="EM263" s="88"/>
      <c r="EN263" s="88"/>
      <c r="EO263" s="88"/>
      <c r="EP263" s="88"/>
      <c r="EQ263" s="90"/>
    </row>
    <row r="264" ht="12.0" customHeight="1">
      <c r="A264" s="89">
        <v>1.06334048E8</v>
      </c>
      <c r="B264" s="89" t="s">
        <v>1846</v>
      </c>
      <c r="C264" s="89" t="s">
        <v>1768</v>
      </c>
      <c r="D264" s="89" t="s">
        <v>1847</v>
      </c>
      <c r="E264" s="89" t="s">
        <v>1848</v>
      </c>
      <c r="F264" s="89" t="s">
        <v>1849</v>
      </c>
      <c r="G264" s="89" t="s">
        <v>1850</v>
      </c>
      <c r="H264" s="89" t="s">
        <v>447</v>
      </c>
      <c r="I264" s="89" t="s">
        <v>543</v>
      </c>
      <c r="J264" s="89" t="s">
        <v>463</v>
      </c>
      <c r="K264" s="89" t="s">
        <v>670</v>
      </c>
      <c r="L264" s="89" t="s">
        <v>1807</v>
      </c>
      <c r="M264" s="89" t="s">
        <v>1829</v>
      </c>
      <c r="N264" s="89" t="s">
        <v>441</v>
      </c>
      <c r="O264" s="87">
        <v>6482.0</v>
      </c>
      <c r="P264" s="87"/>
      <c r="Q264" s="87"/>
      <c r="R264" s="87"/>
      <c r="S264" s="87"/>
      <c r="T264" s="87"/>
      <c r="U264" s="87">
        <v>2461.0</v>
      </c>
      <c r="V264" s="87">
        <v>4021.0</v>
      </c>
      <c r="W264" s="87"/>
      <c r="X264" s="87">
        <v>1527.0</v>
      </c>
      <c r="Y264" s="87">
        <v>59.0</v>
      </c>
      <c r="Z264" s="87">
        <v>892.0</v>
      </c>
      <c r="AA264" s="87">
        <v>1021.0</v>
      </c>
      <c r="AB264" s="87">
        <v>303.0</v>
      </c>
      <c r="AC264" s="87">
        <v>477.0</v>
      </c>
      <c r="AD264" s="87">
        <v>714.0</v>
      </c>
      <c r="AE264" s="87">
        <v>831.0</v>
      </c>
      <c r="AF264" s="87">
        <v>658.0</v>
      </c>
      <c r="AG264" s="87"/>
      <c r="AH264" s="87">
        <v>2974.0</v>
      </c>
      <c r="AI264" s="87">
        <v>3466.0</v>
      </c>
      <c r="AJ264" s="87">
        <v>42.0</v>
      </c>
      <c r="AK264" s="87">
        <v>13.0</v>
      </c>
      <c r="AL264" s="87">
        <v>236.0</v>
      </c>
      <c r="AM264" s="87">
        <v>25.0</v>
      </c>
      <c r="AN264" s="87">
        <v>1096.0</v>
      </c>
      <c r="AO264" s="87">
        <v>1948.0</v>
      </c>
      <c r="AP264" s="87">
        <v>147.0</v>
      </c>
      <c r="AQ264" s="87">
        <v>2990.0</v>
      </c>
      <c r="AR264" s="87">
        <v>27.0</v>
      </c>
      <c r="AS264" s="87">
        <v>4153.0</v>
      </c>
      <c r="AT264" s="87">
        <v>363.0</v>
      </c>
      <c r="AU264" s="87">
        <v>358.0</v>
      </c>
      <c r="AV264" s="87">
        <v>11.0</v>
      </c>
      <c r="AW264" s="87">
        <v>56.0</v>
      </c>
      <c r="AX264" s="87"/>
      <c r="AY264" s="87">
        <v>11.0</v>
      </c>
      <c r="AZ264" s="87"/>
      <c r="BA264" s="87">
        <v>2.0</v>
      </c>
      <c r="BB264" s="87">
        <v>4.0</v>
      </c>
      <c r="BC264" s="87">
        <v>1524.0</v>
      </c>
      <c r="BD264" s="87"/>
      <c r="BE264" s="87">
        <v>2875.0</v>
      </c>
      <c r="BF264" s="87">
        <v>248.0</v>
      </c>
      <c r="BG264" s="87">
        <v>3359.0</v>
      </c>
      <c r="BH264" s="87"/>
      <c r="BI264" s="87">
        <v>18620.0</v>
      </c>
      <c r="BJ264" s="87">
        <v>2518.0</v>
      </c>
      <c r="BK264" s="87">
        <v>1874.0</v>
      </c>
      <c r="BL264" s="87">
        <v>549.0</v>
      </c>
      <c r="BM264" s="87">
        <v>1524.0</v>
      </c>
      <c r="BN264" s="87"/>
      <c r="BO264" s="87">
        <v>17.0</v>
      </c>
      <c r="BP264" s="87">
        <v>4485.0</v>
      </c>
      <c r="BQ264" s="87">
        <v>381.0</v>
      </c>
      <c r="BR264" s="87">
        <v>12.0</v>
      </c>
      <c r="BS264" s="87">
        <v>206.0</v>
      </c>
      <c r="BT264" s="87"/>
      <c r="BU264" s="87"/>
      <c r="BV264" s="87">
        <v>55.0</v>
      </c>
      <c r="BW264" s="87">
        <v>158.0</v>
      </c>
      <c r="BX264" s="87">
        <v>1079.0</v>
      </c>
      <c r="BY264" s="87"/>
      <c r="BZ264" s="87"/>
      <c r="CA264" s="87">
        <v>95.0</v>
      </c>
      <c r="CB264" s="87">
        <v>7.0</v>
      </c>
      <c r="CC264" s="87"/>
      <c r="CD264" s="87"/>
      <c r="CE264" s="87">
        <v>4.0</v>
      </c>
      <c r="CF264" s="87"/>
      <c r="CG264" s="87">
        <v>481.0</v>
      </c>
      <c r="CH264" s="87">
        <v>6001.0</v>
      </c>
      <c r="CI264" s="87"/>
      <c r="CJ264" s="87">
        <v>1998.0</v>
      </c>
      <c r="CK264" s="87">
        <v>928.0</v>
      </c>
      <c r="CL264" s="87">
        <v>3480.0</v>
      </c>
      <c r="CM264" s="87">
        <v>2.0</v>
      </c>
      <c r="CN264" s="87"/>
      <c r="CO264" s="87">
        <v>4.0</v>
      </c>
      <c r="CP264" s="87"/>
      <c r="CQ264" s="87">
        <v>69.0</v>
      </c>
      <c r="CR264" s="87">
        <v>1.0</v>
      </c>
      <c r="CS264" s="87"/>
      <c r="CT264" s="87">
        <v>878.0</v>
      </c>
      <c r="CU264" s="87">
        <v>89.0</v>
      </c>
      <c r="CV264" s="87">
        <v>79.0</v>
      </c>
      <c r="CW264" s="87">
        <v>170.0</v>
      </c>
      <c r="CX264" s="87">
        <v>38.0</v>
      </c>
      <c r="CY264" s="87">
        <v>129.0</v>
      </c>
      <c r="CZ264" s="87">
        <v>2.0</v>
      </c>
      <c r="DA264" s="87">
        <v>1.0</v>
      </c>
      <c r="DB264" s="87">
        <v>590.0</v>
      </c>
      <c r="DC264" s="87">
        <v>244.0</v>
      </c>
      <c r="DD264" s="87">
        <v>592.0</v>
      </c>
      <c r="DE264" s="87">
        <v>42.0</v>
      </c>
      <c r="DF264" s="87">
        <v>43.0</v>
      </c>
      <c r="DG264" s="87">
        <v>180.0</v>
      </c>
      <c r="DH264" s="87">
        <v>1643.0</v>
      </c>
      <c r="DI264" s="87">
        <v>1525.0</v>
      </c>
      <c r="DJ264" s="87"/>
      <c r="DK264" s="87">
        <v>59.0</v>
      </c>
      <c r="DL264" s="87">
        <v>175.0</v>
      </c>
      <c r="DM264" s="87">
        <v>3.0</v>
      </c>
      <c r="DN264" s="87"/>
      <c r="DO264" s="87">
        <v>608.0</v>
      </c>
      <c r="DP264" s="87">
        <v>1526.0</v>
      </c>
      <c r="DQ264" s="87">
        <v>369.0</v>
      </c>
      <c r="DR264" s="87">
        <v>487.0</v>
      </c>
      <c r="DS264" s="87">
        <v>1.0</v>
      </c>
      <c r="DT264" s="87">
        <v>1.0</v>
      </c>
      <c r="DU264" s="87"/>
      <c r="DV264" s="87">
        <v>393.0</v>
      </c>
      <c r="DW264" s="87">
        <v>13.0</v>
      </c>
      <c r="DX264" s="87">
        <v>63.0</v>
      </c>
      <c r="DY264" s="87">
        <v>137.0</v>
      </c>
      <c r="DZ264" s="87">
        <v>16.0</v>
      </c>
      <c r="EA264" s="87">
        <v>12.0</v>
      </c>
      <c r="EB264" s="87">
        <v>58.0</v>
      </c>
      <c r="EC264" s="87">
        <v>116.0</v>
      </c>
      <c r="ED264" s="87">
        <v>2628.0</v>
      </c>
      <c r="EE264" s="87">
        <v>54.0</v>
      </c>
      <c r="EF264" s="87">
        <v>1.0</v>
      </c>
      <c r="EG264" s="87">
        <v>12.0</v>
      </c>
      <c r="EH264" s="87"/>
      <c r="EI264" s="87"/>
      <c r="EJ264" s="87">
        <v>6469.0</v>
      </c>
      <c r="EK264" s="88"/>
      <c r="EL264" s="88"/>
      <c r="EM264" s="88"/>
      <c r="EN264" s="88"/>
      <c r="EO264" s="88"/>
      <c r="EP264" s="88"/>
      <c r="EQ264" s="90"/>
    </row>
    <row r="265" ht="12.0" customHeight="1">
      <c r="A265" s="89">
        <v>1.06334068E8</v>
      </c>
      <c r="B265" s="89" t="s">
        <v>1851</v>
      </c>
      <c r="C265" s="89" t="s">
        <v>1768</v>
      </c>
      <c r="D265" s="89" t="s">
        <v>1852</v>
      </c>
      <c r="E265" s="89" t="s">
        <v>1853</v>
      </c>
      <c r="F265" s="89" t="s">
        <v>1854</v>
      </c>
      <c r="G265" s="89" t="s">
        <v>1855</v>
      </c>
      <c r="H265" s="89" t="s">
        <v>503</v>
      </c>
      <c r="I265" s="89" t="s">
        <v>543</v>
      </c>
      <c r="J265" s="89" t="s">
        <v>437</v>
      </c>
      <c r="K265" s="89" t="s">
        <v>1773</v>
      </c>
      <c r="L265" s="89" t="s">
        <v>1841</v>
      </c>
      <c r="M265" s="89" t="s">
        <v>1856</v>
      </c>
      <c r="N265" s="89" t="s">
        <v>441</v>
      </c>
      <c r="O265" s="87">
        <v>18793.0</v>
      </c>
      <c r="P265" s="87"/>
      <c r="Q265" s="87"/>
      <c r="R265" s="87"/>
      <c r="S265" s="87"/>
      <c r="T265" s="87"/>
      <c r="U265" s="87">
        <v>7582.0</v>
      </c>
      <c r="V265" s="87">
        <v>11211.0</v>
      </c>
      <c r="W265" s="87"/>
      <c r="X265" s="87">
        <v>3223.0</v>
      </c>
      <c r="Y265" s="87">
        <v>256.0</v>
      </c>
      <c r="Z265" s="87">
        <v>2154.0</v>
      </c>
      <c r="AA265" s="87">
        <v>2682.0</v>
      </c>
      <c r="AB265" s="87">
        <v>1478.0</v>
      </c>
      <c r="AC265" s="87">
        <v>1726.0</v>
      </c>
      <c r="AD265" s="87">
        <v>2401.0</v>
      </c>
      <c r="AE265" s="87">
        <v>2434.0</v>
      </c>
      <c r="AF265" s="87">
        <v>2439.0</v>
      </c>
      <c r="AG265" s="87"/>
      <c r="AH265" s="87">
        <v>5804.0</v>
      </c>
      <c r="AI265" s="87">
        <v>12459.0</v>
      </c>
      <c r="AJ265" s="87">
        <v>530.0</v>
      </c>
      <c r="AK265" s="87">
        <v>392.0</v>
      </c>
      <c r="AL265" s="87">
        <v>727.0</v>
      </c>
      <c r="AM265" s="87">
        <v>87.0</v>
      </c>
      <c r="AN265" s="87">
        <v>1182.0</v>
      </c>
      <c r="AO265" s="87">
        <v>10454.0</v>
      </c>
      <c r="AP265" s="87">
        <v>546.0</v>
      </c>
      <c r="AQ265" s="87">
        <v>5078.0</v>
      </c>
      <c r="AR265" s="87">
        <v>327.0</v>
      </c>
      <c r="AS265" s="87">
        <v>15334.0</v>
      </c>
      <c r="AT265" s="87">
        <v>34.0</v>
      </c>
      <c r="AU265" s="87">
        <v>98.0</v>
      </c>
      <c r="AV265" s="87">
        <v>114.0</v>
      </c>
      <c r="AW265" s="87">
        <v>24.0</v>
      </c>
      <c r="AX265" s="87">
        <v>2.0</v>
      </c>
      <c r="AY265" s="87">
        <v>1.0</v>
      </c>
      <c r="AZ265" s="87"/>
      <c r="BA265" s="87">
        <v>16.0</v>
      </c>
      <c r="BB265" s="87"/>
      <c r="BC265" s="87">
        <v>3170.0</v>
      </c>
      <c r="BD265" s="87"/>
      <c r="BE265" s="87">
        <v>13151.0</v>
      </c>
      <c r="BF265" s="87">
        <v>38.0</v>
      </c>
      <c r="BG265" s="87">
        <v>5604.0</v>
      </c>
      <c r="BH265" s="87"/>
      <c r="BI265" s="87">
        <v>69783.0</v>
      </c>
      <c r="BJ265" s="87">
        <v>6904.0</v>
      </c>
      <c r="BK265" s="87">
        <v>6445.0</v>
      </c>
      <c r="BL265" s="87">
        <v>1674.0</v>
      </c>
      <c r="BM265" s="87">
        <v>3170.0</v>
      </c>
      <c r="BN265" s="87">
        <v>589.0</v>
      </c>
      <c r="BO265" s="87">
        <v>11.0</v>
      </c>
      <c r="BP265" s="87">
        <v>12587.0</v>
      </c>
      <c r="BQ265" s="87">
        <v>635.0</v>
      </c>
      <c r="BR265" s="87">
        <v>216.0</v>
      </c>
      <c r="BS265" s="87">
        <v>1564.0</v>
      </c>
      <c r="BT265" s="87">
        <v>112.0</v>
      </c>
      <c r="BU265" s="87">
        <v>23.0</v>
      </c>
      <c r="BV265" s="87">
        <v>383.0</v>
      </c>
      <c r="BW265" s="87">
        <v>398.0</v>
      </c>
      <c r="BX265" s="87">
        <v>2263.0</v>
      </c>
      <c r="BY265" s="87"/>
      <c r="BZ265" s="87">
        <v>152.0</v>
      </c>
      <c r="CA265" s="87">
        <v>420.0</v>
      </c>
      <c r="CB265" s="87">
        <v>36.0</v>
      </c>
      <c r="CC265" s="87"/>
      <c r="CD265" s="87">
        <v>4.0</v>
      </c>
      <c r="CE265" s="87"/>
      <c r="CF265" s="87"/>
      <c r="CG265" s="87">
        <v>619.0</v>
      </c>
      <c r="CH265" s="87">
        <v>18174.0</v>
      </c>
      <c r="CI265" s="87"/>
      <c r="CJ265" s="87">
        <v>6457.0</v>
      </c>
      <c r="CK265" s="87">
        <v>5636.0</v>
      </c>
      <c r="CL265" s="87">
        <v>5638.0</v>
      </c>
      <c r="CM265" s="87">
        <v>41.0</v>
      </c>
      <c r="CN265" s="87"/>
      <c r="CO265" s="87">
        <v>717.0</v>
      </c>
      <c r="CP265" s="87">
        <v>8.0</v>
      </c>
      <c r="CQ265" s="87">
        <v>296.0</v>
      </c>
      <c r="CR265" s="87"/>
      <c r="CS265" s="87"/>
      <c r="CT265" s="87">
        <v>1573.0</v>
      </c>
      <c r="CU265" s="87">
        <v>429.0</v>
      </c>
      <c r="CV265" s="87">
        <v>131.0</v>
      </c>
      <c r="CW265" s="87">
        <v>1179.0</v>
      </c>
      <c r="CX265" s="87">
        <v>271.0</v>
      </c>
      <c r="CY265" s="87">
        <v>425.0</v>
      </c>
      <c r="CZ265" s="87">
        <v>5.0</v>
      </c>
      <c r="DA265" s="87">
        <v>19.0</v>
      </c>
      <c r="DB265" s="87">
        <v>1775.0</v>
      </c>
      <c r="DC265" s="87">
        <v>727.0</v>
      </c>
      <c r="DD265" s="87">
        <v>1650.0</v>
      </c>
      <c r="DE265" s="87">
        <v>220.0</v>
      </c>
      <c r="DF265" s="87">
        <v>487.0</v>
      </c>
      <c r="DG265" s="87">
        <v>875.0</v>
      </c>
      <c r="DH265" s="87">
        <v>3356.0</v>
      </c>
      <c r="DI265" s="87">
        <v>3218.0</v>
      </c>
      <c r="DJ265" s="87">
        <v>7.0</v>
      </c>
      <c r="DK265" s="87">
        <v>296.0</v>
      </c>
      <c r="DL265" s="87">
        <v>2116.0</v>
      </c>
      <c r="DM265" s="87">
        <v>34.0</v>
      </c>
      <c r="DN265" s="87"/>
      <c r="DO265" s="87">
        <v>4337.0</v>
      </c>
      <c r="DP265" s="87">
        <v>3139.0</v>
      </c>
      <c r="DQ265" s="87">
        <v>763.0</v>
      </c>
      <c r="DR265" s="87">
        <v>1878.0</v>
      </c>
      <c r="DS265" s="87">
        <v>3.0</v>
      </c>
      <c r="DT265" s="87">
        <v>8.0</v>
      </c>
      <c r="DU265" s="87">
        <v>1.0</v>
      </c>
      <c r="DV265" s="87">
        <v>289.0</v>
      </c>
      <c r="DW265" s="87">
        <v>20.0</v>
      </c>
      <c r="DX265" s="87">
        <v>328.0</v>
      </c>
      <c r="DY265" s="87">
        <v>1080.0</v>
      </c>
      <c r="DZ265" s="87">
        <v>211.0</v>
      </c>
      <c r="EA265" s="87">
        <v>30.0</v>
      </c>
      <c r="EB265" s="87">
        <v>223.0</v>
      </c>
      <c r="EC265" s="87">
        <v>220.0</v>
      </c>
      <c r="ED265" s="87">
        <v>6097.0</v>
      </c>
      <c r="EE265" s="87">
        <v>166.0</v>
      </c>
      <c r="EF265" s="87">
        <v>6.0</v>
      </c>
      <c r="EG265" s="87">
        <v>246.0</v>
      </c>
      <c r="EH265" s="87">
        <v>31.0</v>
      </c>
      <c r="EI265" s="87">
        <v>200.0</v>
      </c>
      <c r="EJ265" s="87">
        <v>18310.0</v>
      </c>
      <c r="EK265" s="88"/>
      <c r="EL265" s="88"/>
      <c r="EM265" s="88"/>
      <c r="EN265" s="88"/>
      <c r="EO265" s="88"/>
      <c r="EP265" s="88"/>
      <c r="EQ265" s="90"/>
    </row>
    <row r="266" ht="12.0" customHeight="1">
      <c r="A266" s="89">
        <v>1.06334457E8</v>
      </c>
      <c r="B266" s="89" t="s">
        <v>1857</v>
      </c>
      <c r="C266" s="89" t="s">
        <v>1768</v>
      </c>
      <c r="D266" s="89" t="s">
        <v>1858</v>
      </c>
      <c r="E266" s="89" t="s">
        <v>1859</v>
      </c>
      <c r="F266" s="89" t="s">
        <v>1800</v>
      </c>
      <c r="G266" s="89" t="s">
        <v>1801</v>
      </c>
      <c r="H266" s="89" t="s">
        <v>503</v>
      </c>
      <c r="I266" s="89" t="s">
        <v>543</v>
      </c>
      <c r="J266" s="89" t="s">
        <v>499</v>
      </c>
      <c r="K266" s="89" t="s">
        <v>1773</v>
      </c>
      <c r="L266" s="89" t="s">
        <v>749</v>
      </c>
      <c r="M266" s="89" t="s">
        <v>1802</v>
      </c>
      <c r="N266" s="89" t="s">
        <v>441</v>
      </c>
      <c r="O266" s="87"/>
      <c r="P266" s="87"/>
      <c r="Q266" s="87">
        <v>387.0</v>
      </c>
      <c r="R266" s="87"/>
      <c r="S266" s="87"/>
      <c r="T266" s="87"/>
      <c r="U266" s="87">
        <v>230.0</v>
      </c>
      <c r="V266" s="87">
        <v>157.0</v>
      </c>
      <c r="W266" s="87"/>
      <c r="X266" s="87"/>
      <c r="Y266" s="87"/>
      <c r="Z266" s="87">
        <v>113.0</v>
      </c>
      <c r="AA266" s="87">
        <v>156.0</v>
      </c>
      <c r="AB266" s="87">
        <v>59.0</v>
      </c>
      <c r="AC266" s="87">
        <v>48.0</v>
      </c>
      <c r="AD266" s="87"/>
      <c r="AE266" s="87"/>
      <c r="AF266" s="87"/>
      <c r="AG266" s="87">
        <v>11.0</v>
      </c>
      <c r="AH266" s="87">
        <v>185.0</v>
      </c>
      <c r="AI266" s="87">
        <v>185.0</v>
      </c>
      <c r="AJ266" s="87">
        <v>17.0</v>
      </c>
      <c r="AK266" s="87"/>
      <c r="AL266" s="87"/>
      <c r="AM266" s="87"/>
      <c r="AN266" s="87">
        <v>28.0</v>
      </c>
      <c r="AO266" s="87">
        <v>160.0</v>
      </c>
      <c r="AP266" s="87">
        <v>22.0</v>
      </c>
      <c r="AQ266" s="87">
        <v>177.0</v>
      </c>
      <c r="AR266" s="87"/>
      <c r="AS266" s="87">
        <v>382.0</v>
      </c>
      <c r="AT266" s="87"/>
      <c r="AU266" s="87">
        <v>1.0</v>
      </c>
      <c r="AV266" s="87"/>
      <c r="AW266" s="87">
        <v>4.0</v>
      </c>
      <c r="AX266" s="87"/>
      <c r="AY266" s="87"/>
      <c r="AZ266" s="87"/>
      <c r="BA266" s="87"/>
      <c r="BB266" s="87"/>
      <c r="BC266" s="87"/>
      <c r="BD266" s="87"/>
      <c r="BE266" s="87"/>
      <c r="BF266" s="87"/>
      <c r="BG266" s="87">
        <v>387.0</v>
      </c>
      <c r="BH266" s="87"/>
      <c r="BI266" s="87">
        <v>6195.0</v>
      </c>
      <c r="BJ266" s="87"/>
      <c r="BK266" s="87">
        <v>387.0</v>
      </c>
      <c r="BL266" s="87"/>
      <c r="BM266" s="87"/>
      <c r="BN266" s="87"/>
      <c r="BO266" s="87"/>
      <c r="BP266" s="87">
        <v>259.0</v>
      </c>
      <c r="BQ266" s="87">
        <v>7.0</v>
      </c>
      <c r="BR266" s="87"/>
      <c r="BS266" s="87">
        <v>1.0</v>
      </c>
      <c r="BT266" s="87">
        <v>117.0</v>
      </c>
      <c r="BU266" s="87">
        <v>1.0</v>
      </c>
      <c r="BV266" s="87">
        <v>1.0</v>
      </c>
      <c r="BW266" s="87">
        <v>1.0</v>
      </c>
      <c r="BX266" s="87"/>
      <c r="BY266" s="87"/>
      <c r="BZ266" s="87"/>
      <c r="CA266" s="87"/>
      <c r="CB266" s="87"/>
      <c r="CC266" s="87"/>
      <c r="CD266" s="87"/>
      <c r="CE266" s="87"/>
      <c r="CF266" s="87"/>
      <c r="CG266" s="87"/>
      <c r="CH266" s="87">
        <v>387.0</v>
      </c>
      <c r="CI266" s="87"/>
      <c r="CJ266" s="87">
        <v>11.0</v>
      </c>
      <c r="CK266" s="87">
        <v>250.0</v>
      </c>
      <c r="CL266" s="87">
        <v>108.0</v>
      </c>
      <c r="CM266" s="87"/>
      <c r="CN266" s="87"/>
      <c r="CO266" s="87"/>
      <c r="CP266" s="87"/>
      <c r="CQ266" s="87">
        <v>10.0</v>
      </c>
      <c r="CR266" s="87">
        <v>8.0</v>
      </c>
      <c r="CS266" s="87"/>
      <c r="CT266" s="87"/>
      <c r="CU266" s="87"/>
      <c r="CV266" s="87"/>
      <c r="CW266" s="87"/>
      <c r="CX266" s="87">
        <v>387.0</v>
      </c>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v>387.0</v>
      </c>
      <c r="EE266" s="87"/>
      <c r="EF266" s="87"/>
      <c r="EG266" s="87">
        <v>3.0</v>
      </c>
      <c r="EH266" s="87"/>
      <c r="EI266" s="87">
        <v>1.0</v>
      </c>
      <c r="EJ266" s="87">
        <v>383.0</v>
      </c>
      <c r="EK266" s="88"/>
      <c r="EL266" s="88"/>
      <c r="EM266" s="88"/>
      <c r="EN266" s="88"/>
      <c r="EO266" s="88"/>
      <c r="EP266" s="88"/>
      <c r="EQ266" s="90"/>
    </row>
    <row r="267" ht="12.0" customHeight="1">
      <c r="A267" s="89">
        <v>1.06334487E8</v>
      </c>
      <c r="B267" s="89" t="s">
        <v>1860</v>
      </c>
      <c r="C267" s="89" t="s">
        <v>1768</v>
      </c>
      <c r="D267" s="89" t="s">
        <v>1861</v>
      </c>
      <c r="E267" s="89" t="s">
        <v>1862</v>
      </c>
      <c r="F267" s="89" t="s">
        <v>1849</v>
      </c>
      <c r="G267" s="89" t="s">
        <v>1850</v>
      </c>
      <c r="H267" s="89" t="s">
        <v>435</v>
      </c>
      <c r="I267" s="89" t="s">
        <v>456</v>
      </c>
      <c r="J267" s="89" t="s">
        <v>448</v>
      </c>
      <c r="K267" s="89" t="s">
        <v>670</v>
      </c>
      <c r="L267" s="89" t="s">
        <v>1807</v>
      </c>
      <c r="M267" s="89" t="s">
        <v>1829</v>
      </c>
      <c r="N267" s="89" t="s">
        <v>441</v>
      </c>
      <c r="O267" s="87">
        <v>20354.0</v>
      </c>
      <c r="P267" s="87"/>
      <c r="Q267" s="87">
        <v>2741.0</v>
      </c>
      <c r="R267" s="87"/>
      <c r="S267" s="87"/>
      <c r="T267" s="87"/>
      <c r="U267" s="87">
        <v>11539.0</v>
      </c>
      <c r="V267" s="87">
        <v>11554.0</v>
      </c>
      <c r="W267" s="87">
        <v>2.0</v>
      </c>
      <c r="X267" s="87">
        <v>3076.0</v>
      </c>
      <c r="Y267" s="87">
        <v>1261.0</v>
      </c>
      <c r="Z267" s="87">
        <v>2908.0</v>
      </c>
      <c r="AA267" s="87">
        <v>3257.0</v>
      </c>
      <c r="AB267" s="87">
        <v>2710.0</v>
      </c>
      <c r="AC267" s="87">
        <v>3134.0</v>
      </c>
      <c r="AD267" s="87">
        <v>3218.0</v>
      </c>
      <c r="AE267" s="87">
        <v>1985.0</v>
      </c>
      <c r="AF267" s="87">
        <v>1546.0</v>
      </c>
      <c r="AG267" s="87"/>
      <c r="AH267" s="87">
        <v>12381.0</v>
      </c>
      <c r="AI267" s="87">
        <v>10641.0</v>
      </c>
      <c r="AJ267" s="87">
        <v>73.0</v>
      </c>
      <c r="AK267" s="87"/>
      <c r="AL267" s="87">
        <v>590.0</v>
      </c>
      <c r="AM267" s="87">
        <v>172.0</v>
      </c>
      <c r="AN267" s="87">
        <v>3610.0</v>
      </c>
      <c r="AO267" s="87">
        <v>12634.0</v>
      </c>
      <c r="AP267" s="87">
        <v>72.0</v>
      </c>
      <c r="AQ267" s="87">
        <v>5439.0</v>
      </c>
      <c r="AR267" s="87">
        <v>578.0</v>
      </c>
      <c r="AS267" s="87">
        <v>18989.0</v>
      </c>
      <c r="AT267" s="87">
        <v>297.0</v>
      </c>
      <c r="AU267" s="87">
        <v>840.0</v>
      </c>
      <c r="AV267" s="87">
        <v>20.0</v>
      </c>
      <c r="AW267" s="87">
        <v>14.0</v>
      </c>
      <c r="AX267" s="87"/>
      <c r="AY267" s="87">
        <v>1.0</v>
      </c>
      <c r="AZ267" s="87"/>
      <c r="BA267" s="87">
        <v>1247.0</v>
      </c>
      <c r="BB267" s="87">
        <v>13.0</v>
      </c>
      <c r="BC267" s="87">
        <v>1674.0</v>
      </c>
      <c r="BD267" s="87"/>
      <c r="BE267" s="87">
        <v>17438.0</v>
      </c>
      <c r="BF267" s="87">
        <v>636.0</v>
      </c>
      <c r="BG267" s="87">
        <v>5021.0</v>
      </c>
      <c r="BH267" s="87"/>
      <c r="BI267" s="87">
        <v>137054.0</v>
      </c>
      <c r="BJ267" s="87">
        <v>8971.0</v>
      </c>
      <c r="BK267" s="87">
        <v>9429.0</v>
      </c>
      <c r="BL267" s="87">
        <v>2984.0</v>
      </c>
      <c r="BM267" s="87">
        <v>1674.0</v>
      </c>
      <c r="BN267" s="87">
        <v>6.0</v>
      </c>
      <c r="BO267" s="87">
        <v>31.0</v>
      </c>
      <c r="BP267" s="87">
        <v>16267.0</v>
      </c>
      <c r="BQ267" s="87">
        <v>518.0</v>
      </c>
      <c r="BR267" s="87">
        <v>395.0</v>
      </c>
      <c r="BS267" s="87">
        <v>1747.0</v>
      </c>
      <c r="BT267" s="87">
        <v>65.0</v>
      </c>
      <c r="BU267" s="87">
        <v>1087.0</v>
      </c>
      <c r="BV267" s="87">
        <v>673.0</v>
      </c>
      <c r="BW267" s="87">
        <v>503.0</v>
      </c>
      <c r="BX267" s="87">
        <v>1333.0</v>
      </c>
      <c r="BY267" s="87"/>
      <c r="BZ267" s="87">
        <v>41.0</v>
      </c>
      <c r="CA267" s="87">
        <v>335.0</v>
      </c>
      <c r="CB267" s="87">
        <v>112.0</v>
      </c>
      <c r="CC267" s="87">
        <v>2.0</v>
      </c>
      <c r="CD267" s="87">
        <v>17.0</v>
      </c>
      <c r="CE267" s="87"/>
      <c r="CF267" s="87"/>
      <c r="CG267" s="87">
        <v>1248.0</v>
      </c>
      <c r="CH267" s="87">
        <v>21847.0</v>
      </c>
      <c r="CI267" s="87"/>
      <c r="CJ267" s="87">
        <v>5997.0</v>
      </c>
      <c r="CK267" s="87">
        <v>13469.0</v>
      </c>
      <c r="CL267" s="87">
        <v>1574.0</v>
      </c>
      <c r="CM267" s="87">
        <v>83.0</v>
      </c>
      <c r="CN267" s="87"/>
      <c r="CO267" s="87">
        <v>1135.0</v>
      </c>
      <c r="CP267" s="87">
        <v>44.0</v>
      </c>
      <c r="CQ267" s="87">
        <v>793.0</v>
      </c>
      <c r="CR267" s="87"/>
      <c r="CS267" s="87"/>
      <c r="CT267" s="87">
        <v>1986.0</v>
      </c>
      <c r="CU267" s="87">
        <v>556.0</v>
      </c>
      <c r="CV267" s="87">
        <v>192.0</v>
      </c>
      <c r="CW267" s="87">
        <v>1131.0</v>
      </c>
      <c r="CX267" s="87">
        <v>3443.0</v>
      </c>
      <c r="CY267" s="87">
        <v>903.0</v>
      </c>
      <c r="CZ267" s="87">
        <v>89.0</v>
      </c>
      <c r="DA267" s="87">
        <v>33.0</v>
      </c>
      <c r="DB267" s="87">
        <v>1909.0</v>
      </c>
      <c r="DC267" s="87">
        <v>1435.0</v>
      </c>
      <c r="DD267" s="87">
        <v>2180.0</v>
      </c>
      <c r="DE267" s="87">
        <v>337.0</v>
      </c>
      <c r="DF267" s="87">
        <v>641.0</v>
      </c>
      <c r="DG267" s="87">
        <v>1058.0</v>
      </c>
      <c r="DH267" s="87">
        <v>2032.0</v>
      </c>
      <c r="DI267" s="87">
        <v>1840.0</v>
      </c>
      <c r="DJ267" s="87">
        <v>13.0</v>
      </c>
      <c r="DK267" s="87">
        <v>196.0</v>
      </c>
      <c r="DL267" s="87">
        <v>2858.0</v>
      </c>
      <c r="DM267" s="87">
        <v>255.0</v>
      </c>
      <c r="DN267" s="87">
        <v>8.0</v>
      </c>
      <c r="DO267" s="87">
        <v>6336.0</v>
      </c>
      <c r="DP267" s="87">
        <v>1728.0</v>
      </c>
      <c r="DQ267" s="87">
        <v>1121.0</v>
      </c>
      <c r="DR267" s="87">
        <v>1938.0</v>
      </c>
      <c r="DS267" s="87">
        <v>10.0</v>
      </c>
      <c r="DT267" s="87">
        <v>16.0</v>
      </c>
      <c r="DU267" s="87">
        <v>63.0</v>
      </c>
      <c r="DV267" s="87">
        <v>242.0</v>
      </c>
      <c r="DW267" s="87">
        <v>44.0</v>
      </c>
      <c r="DX267" s="87">
        <v>603.0</v>
      </c>
      <c r="DY267" s="87">
        <v>2626.0</v>
      </c>
      <c r="DZ267" s="87">
        <v>369.0</v>
      </c>
      <c r="EA267" s="87">
        <v>84.0</v>
      </c>
      <c r="EB267" s="87">
        <v>464.0</v>
      </c>
      <c r="EC267" s="87">
        <v>286.0</v>
      </c>
      <c r="ED267" s="87">
        <v>6662.0</v>
      </c>
      <c r="EE267" s="87">
        <v>503.0</v>
      </c>
      <c r="EF267" s="87">
        <v>2.0</v>
      </c>
      <c r="EG267" s="87">
        <v>1396.0</v>
      </c>
      <c r="EH267" s="87">
        <v>4.0</v>
      </c>
      <c r="EI267" s="87">
        <v>126.0</v>
      </c>
      <c r="EJ267" s="87">
        <v>21567.0</v>
      </c>
      <c r="EK267" s="88"/>
      <c r="EL267" s="88"/>
      <c r="EM267" s="88"/>
      <c r="EN267" s="88"/>
      <c r="EO267" s="88"/>
      <c r="EP267" s="88"/>
      <c r="EQ267" s="90"/>
    </row>
    <row r="268" ht="12.0" customHeight="1">
      <c r="A268" s="89">
        <v>1.06334533E8</v>
      </c>
      <c r="B268" s="89" t="s">
        <v>1863</v>
      </c>
      <c r="C268" s="89" t="s">
        <v>1768</v>
      </c>
      <c r="D268" s="89" t="s">
        <v>1864</v>
      </c>
      <c r="E268" s="89" t="s">
        <v>1865</v>
      </c>
      <c r="F268" s="89" t="s">
        <v>1771</v>
      </c>
      <c r="G268" s="89" t="s">
        <v>1772</v>
      </c>
      <c r="H268" s="89" t="s">
        <v>475</v>
      </c>
      <c r="I268" s="89" t="s">
        <v>456</v>
      </c>
      <c r="J268" s="89" t="s">
        <v>463</v>
      </c>
      <c r="K268" s="89" t="s">
        <v>1773</v>
      </c>
      <c r="L268" s="89" t="s">
        <v>1774</v>
      </c>
      <c r="M268" s="89" t="s">
        <v>1788</v>
      </c>
      <c r="N268" s="89" t="s">
        <v>441</v>
      </c>
      <c r="O268" s="87">
        <v>738.0</v>
      </c>
      <c r="P268" s="87"/>
      <c r="Q268" s="87"/>
      <c r="R268" s="87"/>
      <c r="S268" s="87"/>
      <c r="T268" s="87"/>
      <c r="U268" s="87">
        <v>347.0</v>
      </c>
      <c r="V268" s="87">
        <v>391.0</v>
      </c>
      <c r="W268" s="87"/>
      <c r="X268" s="87"/>
      <c r="Y268" s="87"/>
      <c r="Z268" s="87">
        <v>17.0</v>
      </c>
      <c r="AA268" s="87"/>
      <c r="AB268" s="87">
        <v>22.0</v>
      </c>
      <c r="AC268" s="87">
        <v>52.0</v>
      </c>
      <c r="AD268" s="87">
        <v>102.0</v>
      </c>
      <c r="AE268" s="87">
        <v>239.0</v>
      </c>
      <c r="AF268" s="87">
        <v>295.0</v>
      </c>
      <c r="AG268" s="87">
        <v>11.0</v>
      </c>
      <c r="AH268" s="87">
        <v>63.0</v>
      </c>
      <c r="AI268" s="87">
        <v>674.0</v>
      </c>
      <c r="AJ268" s="87">
        <v>1.0</v>
      </c>
      <c r="AK268" s="87"/>
      <c r="AL268" s="87"/>
      <c r="AM268" s="87"/>
      <c r="AN268" s="87">
        <v>11.0</v>
      </c>
      <c r="AO268" s="87">
        <v>652.0</v>
      </c>
      <c r="AP268" s="87">
        <v>75.0</v>
      </c>
      <c r="AQ268" s="87"/>
      <c r="AR268" s="87"/>
      <c r="AS268" s="87">
        <v>1.0</v>
      </c>
      <c r="AT268" s="87">
        <v>1.0</v>
      </c>
      <c r="AU268" s="87">
        <v>725.0</v>
      </c>
      <c r="AV268" s="87">
        <v>7.0</v>
      </c>
      <c r="AW268" s="87">
        <v>2.0</v>
      </c>
      <c r="AX268" s="87"/>
      <c r="AY268" s="87"/>
      <c r="AZ268" s="87">
        <v>2.0</v>
      </c>
      <c r="BA268" s="87"/>
      <c r="BB268" s="87"/>
      <c r="BC268" s="87"/>
      <c r="BD268" s="87"/>
      <c r="BE268" s="87"/>
      <c r="BF268" s="87"/>
      <c r="BG268" s="87">
        <v>738.0</v>
      </c>
      <c r="BH268" s="87"/>
      <c r="BI268" s="87">
        <v>8504.0</v>
      </c>
      <c r="BJ268" s="87"/>
      <c r="BK268" s="87"/>
      <c r="BL268" s="87">
        <v>738.0</v>
      </c>
      <c r="BM268" s="87"/>
      <c r="BN268" s="87"/>
      <c r="BO268" s="87"/>
      <c r="BP268" s="87">
        <v>176.0</v>
      </c>
      <c r="BQ268" s="87">
        <v>94.0</v>
      </c>
      <c r="BR268" s="87"/>
      <c r="BS268" s="87">
        <v>81.0</v>
      </c>
      <c r="BT268" s="87"/>
      <c r="BU268" s="87"/>
      <c r="BV268" s="87">
        <v>11.0</v>
      </c>
      <c r="BW268" s="87">
        <v>2.0</v>
      </c>
      <c r="BX268" s="87">
        <v>373.0</v>
      </c>
      <c r="BY268" s="87"/>
      <c r="BZ268" s="87"/>
      <c r="CA268" s="87">
        <v>1.0</v>
      </c>
      <c r="CB268" s="87"/>
      <c r="CC268" s="87"/>
      <c r="CD268" s="87"/>
      <c r="CE268" s="87"/>
      <c r="CF268" s="87"/>
      <c r="CG268" s="87">
        <v>34.0</v>
      </c>
      <c r="CH268" s="87">
        <v>704.0</v>
      </c>
      <c r="CI268" s="87"/>
      <c r="CJ268" s="87">
        <v>591.0</v>
      </c>
      <c r="CK268" s="87">
        <v>82.0</v>
      </c>
      <c r="CL268" s="87">
        <v>61.0</v>
      </c>
      <c r="CM268" s="87">
        <v>3.0</v>
      </c>
      <c r="CN268" s="87"/>
      <c r="CO268" s="87"/>
      <c r="CP268" s="87"/>
      <c r="CQ268" s="87">
        <v>1.0</v>
      </c>
      <c r="CR268" s="87"/>
      <c r="CS268" s="87"/>
      <c r="CT268" s="87"/>
      <c r="CU268" s="87">
        <v>2.0</v>
      </c>
      <c r="CV268" s="87"/>
      <c r="CW268" s="87">
        <v>1.0</v>
      </c>
      <c r="CX268" s="87"/>
      <c r="CY268" s="87">
        <v>21.0</v>
      </c>
      <c r="CZ268" s="87"/>
      <c r="DA268" s="87">
        <v>1.0</v>
      </c>
      <c r="DB268" s="87">
        <v>152.0</v>
      </c>
      <c r="DC268" s="87">
        <v>1.0</v>
      </c>
      <c r="DD268" s="87">
        <v>1.0</v>
      </c>
      <c r="DE268" s="87"/>
      <c r="DF268" s="87">
        <v>30.0</v>
      </c>
      <c r="DG268" s="87"/>
      <c r="DH268" s="87"/>
      <c r="DI268" s="87"/>
      <c r="DJ268" s="87"/>
      <c r="DK268" s="87">
        <v>63.0</v>
      </c>
      <c r="DL268" s="87">
        <v>249.0</v>
      </c>
      <c r="DM268" s="87">
        <v>217.0</v>
      </c>
      <c r="DN268" s="87"/>
      <c r="DO268" s="87">
        <v>38.0</v>
      </c>
      <c r="DP268" s="87"/>
      <c r="DQ268" s="87">
        <v>20.0</v>
      </c>
      <c r="DR268" s="87">
        <v>2.0</v>
      </c>
      <c r="DS268" s="87"/>
      <c r="DT268" s="87"/>
      <c r="DU268" s="87"/>
      <c r="DV268" s="87"/>
      <c r="DW268" s="87"/>
      <c r="DX268" s="87">
        <v>15.0</v>
      </c>
      <c r="DY268" s="87">
        <v>2.0</v>
      </c>
      <c r="DZ268" s="87"/>
      <c r="EA268" s="87"/>
      <c r="EB268" s="87"/>
      <c r="EC268" s="87"/>
      <c r="ED268" s="87">
        <v>661.0</v>
      </c>
      <c r="EE268" s="87"/>
      <c r="EF268" s="87"/>
      <c r="EG268" s="87">
        <v>1.0</v>
      </c>
      <c r="EH268" s="87">
        <v>1.0</v>
      </c>
      <c r="EI268" s="87">
        <v>34.0</v>
      </c>
      <c r="EJ268" s="87">
        <v>702.0</v>
      </c>
      <c r="EK268" s="88"/>
      <c r="EL268" s="88"/>
      <c r="EM268" s="88"/>
      <c r="EN268" s="88"/>
      <c r="EO268" s="88"/>
      <c r="EP268" s="88"/>
      <c r="EQ268" s="90"/>
    </row>
    <row r="269" ht="12.0" customHeight="1">
      <c r="A269" s="89">
        <v>1.06334564E8</v>
      </c>
      <c r="B269" s="89" t="s">
        <v>1866</v>
      </c>
      <c r="C269" s="89" t="s">
        <v>1768</v>
      </c>
      <c r="D269" s="89" t="s">
        <v>1867</v>
      </c>
      <c r="E269" s="89" t="s">
        <v>1868</v>
      </c>
      <c r="F269" s="89" t="s">
        <v>1869</v>
      </c>
      <c r="G269" s="89" t="s">
        <v>1870</v>
      </c>
      <c r="H269" s="89" t="s">
        <v>503</v>
      </c>
      <c r="I269" s="89" t="s">
        <v>456</v>
      </c>
      <c r="J269" s="89" t="s">
        <v>437</v>
      </c>
      <c r="K269" s="89" t="s">
        <v>1773</v>
      </c>
      <c r="L269" s="89" t="s">
        <v>1871</v>
      </c>
      <c r="M269" s="89" t="s">
        <v>1872</v>
      </c>
      <c r="N269" s="89" t="s">
        <v>441</v>
      </c>
      <c r="O269" s="87">
        <v>9234.0</v>
      </c>
      <c r="P269" s="87"/>
      <c r="Q269" s="87"/>
      <c r="R269" s="87"/>
      <c r="S269" s="87"/>
      <c r="T269" s="87"/>
      <c r="U269" s="87">
        <v>4710.0</v>
      </c>
      <c r="V269" s="87">
        <v>4524.0</v>
      </c>
      <c r="W269" s="87"/>
      <c r="X269" s="87"/>
      <c r="Y269" s="87">
        <v>32.0</v>
      </c>
      <c r="Z269" s="87">
        <v>295.0</v>
      </c>
      <c r="AA269" s="87">
        <v>557.0</v>
      </c>
      <c r="AB269" s="87">
        <v>757.0</v>
      </c>
      <c r="AC269" s="87">
        <v>1280.0</v>
      </c>
      <c r="AD269" s="87">
        <v>2021.0</v>
      </c>
      <c r="AE269" s="87">
        <v>2132.0</v>
      </c>
      <c r="AF269" s="87">
        <v>2160.0</v>
      </c>
      <c r="AG269" s="87"/>
      <c r="AH269" s="87">
        <v>1610.0</v>
      </c>
      <c r="AI269" s="87">
        <v>7420.0</v>
      </c>
      <c r="AJ269" s="87">
        <v>204.0</v>
      </c>
      <c r="AK269" s="87">
        <v>157.0</v>
      </c>
      <c r="AL269" s="87">
        <v>444.0</v>
      </c>
      <c r="AM269" s="87">
        <v>94.0</v>
      </c>
      <c r="AN269" s="87">
        <v>502.0</v>
      </c>
      <c r="AO269" s="87">
        <v>6584.0</v>
      </c>
      <c r="AP269" s="87">
        <v>50.0</v>
      </c>
      <c r="AQ269" s="87">
        <v>1355.0</v>
      </c>
      <c r="AR269" s="87">
        <v>48.0</v>
      </c>
      <c r="AS269" s="87">
        <v>8784.0</v>
      </c>
      <c r="AT269" s="87">
        <v>17.0</v>
      </c>
      <c r="AU269" s="87">
        <v>277.0</v>
      </c>
      <c r="AV269" s="87">
        <v>127.0</v>
      </c>
      <c r="AW269" s="87">
        <v>25.0</v>
      </c>
      <c r="AX269" s="87"/>
      <c r="AY269" s="87">
        <v>1.0</v>
      </c>
      <c r="AZ269" s="87"/>
      <c r="BA269" s="87">
        <v>3.0</v>
      </c>
      <c r="BB269" s="87"/>
      <c r="BC269" s="87"/>
      <c r="BD269" s="87"/>
      <c r="BE269" s="87">
        <v>8127.0</v>
      </c>
      <c r="BF269" s="87">
        <v>113.0</v>
      </c>
      <c r="BG269" s="87">
        <v>994.0</v>
      </c>
      <c r="BH269" s="87"/>
      <c r="BI269" s="87">
        <v>44524.0</v>
      </c>
      <c r="BJ269" s="87">
        <v>3660.0</v>
      </c>
      <c r="BK269" s="87">
        <v>4689.0</v>
      </c>
      <c r="BL269" s="87">
        <v>870.0</v>
      </c>
      <c r="BM269" s="87"/>
      <c r="BN269" s="87">
        <v>1.0</v>
      </c>
      <c r="BO269" s="87">
        <v>14.0</v>
      </c>
      <c r="BP269" s="87">
        <v>5170.0</v>
      </c>
      <c r="BQ269" s="87">
        <v>162.0</v>
      </c>
      <c r="BR269" s="87">
        <v>107.0</v>
      </c>
      <c r="BS269" s="87">
        <v>1071.0</v>
      </c>
      <c r="BT269" s="87">
        <v>34.0</v>
      </c>
      <c r="BU269" s="87">
        <v>1.0</v>
      </c>
      <c r="BV269" s="87">
        <v>356.0</v>
      </c>
      <c r="BW269" s="87">
        <v>332.0</v>
      </c>
      <c r="BX269" s="87">
        <v>1674.0</v>
      </c>
      <c r="BY269" s="87"/>
      <c r="BZ269" s="87"/>
      <c r="CA269" s="87">
        <v>311.0</v>
      </c>
      <c r="CB269" s="87">
        <v>14.0</v>
      </c>
      <c r="CC269" s="87"/>
      <c r="CD269" s="87">
        <v>2.0</v>
      </c>
      <c r="CE269" s="87"/>
      <c r="CF269" s="87"/>
      <c r="CG269" s="87">
        <v>429.0</v>
      </c>
      <c r="CH269" s="87">
        <v>8805.0</v>
      </c>
      <c r="CI269" s="87"/>
      <c r="CJ269" s="87">
        <v>5531.0</v>
      </c>
      <c r="CK269" s="87">
        <v>1670.0</v>
      </c>
      <c r="CL269" s="87">
        <v>1609.0</v>
      </c>
      <c r="CM269" s="87">
        <v>31.0</v>
      </c>
      <c r="CN269" s="87"/>
      <c r="CO269" s="87">
        <v>257.0</v>
      </c>
      <c r="CP269" s="87">
        <v>1.0</v>
      </c>
      <c r="CQ269" s="87">
        <v>135.0</v>
      </c>
      <c r="CR269" s="87"/>
      <c r="CS269" s="87"/>
      <c r="CT269" s="87">
        <v>1105.0</v>
      </c>
      <c r="CU269" s="87">
        <v>276.0</v>
      </c>
      <c r="CV269" s="87">
        <v>132.0</v>
      </c>
      <c r="CW269" s="87">
        <v>479.0</v>
      </c>
      <c r="CX269" s="87">
        <v>192.0</v>
      </c>
      <c r="CY269" s="87">
        <v>356.0</v>
      </c>
      <c r="CZ269" s="87">
        <v>8.0</v>
      </c>
      <c r="DA269" s="87">
        <v>17.0</v>
      </c>
      <c r="DB269" s="87">
        <v>2740.0</v>
      </c>
      <c r="DC269" s="87">
        <v>533.0</v>
      </c>
      <c r="DD269" s="87">
        <v>1335.0</v>
      </c>
      <c r="DE269" s="87">
        <v>155.0</v>
      </c>
      <c r="DF269" s="87">
        <v>366.0</v>
      </c>
      <c r="DG269" s="87">
        <v>488.0</v>
      </c>
      <c r="DH269" s="87"/>
      <c r="DI269" s="87"/>
      <c r="DJ269" s="87">
        <v>13.0</v>
      </c>
      <c r="DK269" s="87">
        <v>242.0</v>
      </c>
      <c r="DL269" s="87">
        <v>773.0</v>
      </c>
      <c r="DM269" s="87">
        <v>15.0</v>
      </c>
      <c r="DN269" s="87">
        <v>9.0</v>
      </c>
      <c r="DO269" s="87">
        <v>1787.0</v>
      </c>
      <c r="DP269" s="87"/>
      <c r="DQ269" s="87">
        <v>1701.0</v>
      </c>
      <c r="DR269" s="87">
        <v>1122.0</v>
      </c>
      <c r="DS269" s="87"/>
      <c r="DT269" s="87">
        <v>1.0</v>
      </c>
      <c r="DU269" s="87"/>
      <c r="DV269" s="87">
        <v>19.0</v>
      </c>
      <c r="DW269" s="87">
        <v>8.0</v>
      </c>
      <c r="DX269" s="87">
        <v>132.0</v>
      </c>
      <c r="DY269" s="87">
        <v>467.0</v>
      </c>
      <c r="DZ269" s="87">
        <v>117.0</v>
      </c>
      <c r="EA269" s="87">
        <v>13.0</v>
      </c>
      <c r="EB269" s="87">
        <v>198.0</v>
      </c>
      <c r="EC269" s="87">
        <v>93.0</v>
      </c>
      <c r="ED269" s="87">
        <v>3376.0</v>
      </c>
      <c r="EE269" s="87">
        <v>200.0</v>
      </c>
      <c r="EF269" s="87">
        <v>4.0</v>
      </c>
      <c r="EG269" s="87">
        <v>108.0</v>
      </c>
      <c r="EH269" s="87">
        <v>2.0</v>
      </c>
      <c r="EI269" s="87">
        <v>248.0</v>
      </c>
      <c r="EJ269" s="87">
        <v>8872.0</v>
      </c>
      <c r="EK269" s="88"/>
      <c r="EL269" s="88"/>
      <c r="EM269" s="88"/>
      <c r="EN269" s="88"/>
      <c r="EO269" s="88"/>
      <c r="EP269" s="88"/>
      <c r="EQ269" s="90"/>
    </row>
    <row r="270" ht="12.0" customHeight="1">
      <c r="A270" s="89">
        <v>1.06334589E8</v>
      </c>
      <c r="B270" s="89" t="s">
        <v>1873</v>
      </c>
      <c r="C270" s="89" t="s">
        <v>1768</v>
      </c>
      <c r="D270" s="89" t="s">
        <v>1874</v>
      </c>
      <c r="E270" s="89" t="s">
        <v>1875</v>
      </c>
      <c r="F270" s="89" t="s">
        <v>1854</v>
      </c>
      <c r="G270" s="89" t="s">
        <v>1876</v>
      </c>
      <c r="H270" s="89" t="s">
        <v>447</v>
      </c>
      <c r="I270" s="89" t="s">
        <v>456</v>
      </c>
      <c r="J270" s="89" t="s">
        <v>437</v>
      </c>
      <c r="K270" s="89" t="s">
        <v>1773</v>
      </c>
      <c r="L270" s="89" t="s">
        <v>1841</v>
      </c>
      <c r="M270" s="89" t="s">
        <v>1877</v>
      </c>
      <c r="N270" s="89" t="s">
        <v>441</v>
      </c>
      <c r="O270" s="87">
        <v>13066.0</v>
      </c>
      <c r="P270" s="87"/>
      <c r="Q270" s="87"/>
      <c r="R270" s="87"/>
      <c r="S270" s="87"/>
      <c r="T270" s="87"/>
      <c r="U270" s="87">
        <v>5852.0</v>
      </c>
      <c r="V270" s="87">
        <v>7213.0</v>
      </c>
      <c r="W270" s="87">
        <v>1.0</v>
      </c>
      <c r="X270" s="87">
        <v>1655.0</v>
      </c>
      <c r="Y270" s="87">
        <v>83.0</v>
      </c>
      <c r="Z270" s="87">
        <v>1100.0</v>
      </c>
      <c r="AA270" s="87">
        <v>1389.0</v>
      </c>
      <c r="AB270" s="87">
        <v>884.0</v>
      </c>
      <c r="AC270" s="87">
        <v>1398.0</v>
      </c>
      <c r="AD270" s="87">
        <v>2260.0</v>
      </c>
      <c r="AE270" s="87">
        <v>2249.0</v>
      </c>
      <c r="AF270" s="87">
        <v>2048.0</v>
      </c>
      <c r="AG270" s="87"/>
      <c r="AH270" s="87">
        <v>4076.0</v>
      </c>
      <c r="AI270" s="87">
        <v>8831.0</v>
      </c>
      <c r="AJ270" s="87">
        <v>159.0</v>
      </c>
      <c r="AK270" s="87"/>
      <c r="AL270" s="87">
        <v>604.0</v>
      </c>
      <c r="AM270" s="87">
        <v>126.0</v>
      </c>
      <c r="AN270" s="87">
        <v>1060.0</v>
      </c>
      <c r="AO270" s="87">
        <v>8898.0</v>
      </c>
      <c r="AP270" s="87">
        <v>133.0</v>
      </c>
      <c r="AQ270" s="87">
        <v>1974.0</v>
      </c>
      <c r="AR270" s="87">
        <v>271.0</v>
      </c>
      <c r="AS270" s="87">
        <v>10801.0</v>
      </c>
      <c r="AT270" s="87">
        <v>273.0</v>
      </c>
      <c r="AU270" s="87">
        <v>92.0</v>
      </c>
      <c r="AV270" s="87">
        <v>293.0</v>
      </c>
      <c r="AW270" s="87">
        <v>31.0</v>
      </c>
      <c r="AX270" s="87"/>
      <c r="AY270" s="87">
        <v>5.0</v>
      </c>
      <c r="AZ270" s="87">
        <v>1.0</v>
      </c>
      <c r="BA270" s="87">
        <v>3.0</v>
      </c>
      <c r="BB270" s="87"/>
      <c r="BC270" s="87">
        <v>1567.0</v>
      </c>
      <c r="BD270" s="87"/>
      <c r="BE270" s="87">
        <v>10055.0</v>
      </c>
      <c r="BF270" s="87">
        <v>4.0</v>
      </c>
      <c r="BG270" s="87">
        <v>3007.0</v>
      </c>
      <c r="BH270" s="87"/>
      <c r="BI270" s="87">
        <v>53683.0</v>
      </c>
      <c r="BJ270" s="87">
        <v>7470.0</v>
      </c>
      <c r="BK270" s="87">
        <v>2708.0</v>
      </c>
      <c r="BL270" s="87">
        <v>1320.0</v>
      </c>
      <c r="BM270" s="87">
        <v>1567.0</v>
      </c>
      <c r="BN270" s="87">
        <v>1.0</v>
      </c>
      <c r="BO270" s="87"/>
      <c r="BP270" s="87">
        <v>8220.0</v>
      </c>
      <c r="BQ270" s="87">
        <v>230.0</v>
      </c>
      <c r="BR270" s="87">
        <v>150.0</v>
      </c>
      <c r="BS270" s="87">
        <v>1129.0</v>
      </c>
      <c r="BT270" s="87">
        <v>19.0</v>
      </c>
      <c r="BU270" s="87">
        <v>4.0</v>
      </c>
      <c r="BV270" s="87">
        <v>399.0</v>
      </c>
      <c r="BW270" s="87">
        <v>388.0</v>
      </c>
      <c r="BX270" s="87">
        <v>2218.0</v>
      </c>
      <c r="BY270" s="87"/>
      <c r="BZ270" s="87">
        <v>20.0</v>
      </c>
      <c r="CA270" s="87">
        <v>282.0</v>
      </c>
      <c r="CB270" s="87">
        <v>1.0</v>
      </c>
      <c r="CC270" s="87">
        <v>1.0</v>
      </c>
      <c r="CD270" s="87">
        <v>5.0</v>
      </c>
      <c r="CE270" s="87"/>
      <c r="CF270" s="87"/>
      <c r="CG270" s="87">
        <v>438.0</v>
      </c>
      <c r="CH270" s="87">
        <v>12628.0</v>
      </c>
      <c r="CI270" s="87"/>
      <c r="CJ270" s="87">
        <v>5710.0</v>
      </c>
      <c r="CK270" s="87">
        <v>3773.0</v>
      </c>
      <c r="CL270" s="87">
        <v>2539.0</v>
      </c>
      <c r="CM270" s="87">
        <v>12.0</v>
      </c>
      <c r="CN270" s="87"/>
      <c r="CO270" s="87">
        <v>493.0</v>
      </c>
      <c r="CP270" s="87"/>
      <c r="CQ270" s="87">
        <v>535.0</v>
      </c>
      <c r="CR270" s="87">
        <v>4.0</v>
      </c>
      <c r="CS270" s="87"/>
      <c r="CT270" s="87">
        <v>1171.0</v>
      </c>
      <c r="CU270" s="87">
        <v>331.0</v>
      </c>
      <c r="CV270" s="87">
        <v>123.0</v>
      </c>
      <c r="CW270" s="87">
        <v>586.0</v>
      </c>
      <c r="CX270" s="87">
        <v>85.0</v>
      </c>
      <c r="CY270" s="87">
        <v>255.0</v>
      </c>
      <c r="CZ270" s="87">
        <v>9.0</v>
      </c>
      <c r="DA270" s="87">
        <v>7.0</v>
      </c>
      <c r="DB270" s="87">
        <v>2967.0</v>
      </c>
      <c r="DC270" s="87">
        <v>690.0</v>
      </c>
      <c r="DD270" s="87">
        <v>1354.0</v>
      </c>
      <c r="DE270" s="87">
        <v>235.0</v>
      </c>
      <c r="DF270" s="87">
        <v>293.0</v>
      </c>
      <c r="DG270" s="87">
        <v>560.0</v>
      </c>
      <c r="DH270" s="87">
        <v>1703.0</v>
      </c>
      <c r="DI270" s="87">
        <v>1650.0</v>
      </c>
      <c r="DJ270" s="87">
        <v>12.0</v>
      </c>
      <c r="DK270" s="87">
        <v>258.0</v>
      </c>
      <c r="DL270" s="87">
        <v>766.0</v>
      </c>
      <c r="DM270" s="87">
        <v>11.0</v>
      </c>
      <c r="DN270" s="87"/>
      <c r="DO270" s="87">
        <v>671.0</v>
      </c>
      <c r="DP270" s="87">
        <v>1569.0</v>
      </c>
      <c r="DQ270" s="87">
        <v>2359.0</v>
      </c>
      <c r="DR270" s="87">
        <v>1071.0</v>
      </c>
      <c r="DS270" s="87">
        <v>1.0</v>
      </c>
      <c r="DT270" s="87">
        <v>2.0</v>
      </c>
      <c r="DU270" s="87"/>
      <c r="DV270" s="87">
        <v>74.0</v>
      </c>
      <c r="DW270" s="87">
        <v>32.0</v>
      </c>
      <c r="DX270" s="87">
        <v>215.0</v>
      </c>
      <c r="DY270" s="87">
        <v>535.0</v>
      </c>
      <c r="DZ270" s="87">
        <v>94.0</v>
      </c>
      <c r="EA270" s="87">
        <v>40.0</v>
      </c>
      <c r="EB270" s="87">
        <v>321.0</v>
      </c>
      <c r="EC270" s="87">
        <v>104.0</v>
      </c>
      <c r="ED270" s="87">
        <v>5621.0</v>
      </c>
      <c r="EE270" s="87">
        <v>357.0</v>
      </c>
      <c r="EF270" s="87">
        <v>1.0</v>
      </c>
      <c r="EG270" s="87">
        <v>98.0</v>
      </c>
      <c r="EH270" s="87"/>
      <c r="EI270" s="87">
        <v>78.0</v>
      </c>
      <c r="EJ270" s="87">
        <v>12889.0</v>
      </c>
      <c r="EK270" s="88"/>
      <c r="EL270" s="88"/>
      <c r="EM270" s="88"/>
      <c r="EN270" s="88"/>
      <c r="EO270" s="88"/>
      <c r="EP270" s="88"/>
      <c r="EQ270" s="90"/>
    </row>
    <row r="271" ht="12.0" customHeight="1">
      <c r="A271" s="89">
        <v>1.06334678E8</v>
      </c>
      <c r="B271" s="89" t="s">
        <v>1878</v>
      </c>
      <c r="C271" s="89" t="s">
        <v>1768</v>
      </c>
      <c r="D271" s="89" t="s">
        <v>1879</v>
      </c>
      <c r="E271" s="89" t="s">
        <v>1880</v>
      </c>
      <c r="F271" s="89" t="s">
        <v>1854</v>
      </c>
      <c r="G271" s="89" t="s">
        <v>1876</v>
      </c>
      <c r="H271" s="89" t="s">
        <v>475</v>
      </c>
      <c r="I271" s="89" t="s">
        <v>456</v>
      </c>
      <c r="J271" s="89" t="s">
        <v>463</v>
      </c>
      <c r="K271" s="89" t="s">
        <v>1773</v>
      </c>
      <c r="L271" s="89" t="s">
        <v>1841</v>
      </c>
      <c r="M271" s="89" t="s">
        <v>1877</v>
      </c>
      <c r="N271" s="89" t="s">
        <v>441</v>
      </c>
      <c r="O271" s="87"/>
      <c r="P271" s="87"/>
      <c r="Q271" s="87"/>
      <c r="R271" s="87"/>
      <c r="S271" s="87">
        <v>958.0</v>
      </c>
      <c r="T271" s="87"/>
      <c r="U271" s="87">
        <v>525.0</v>
      </c>
      <c r="V271" s="87">
        <v>433.0</v>
      </c>
      <c r="W271" s="87"/>
      <c r="X271" s="87"/>
      <c r="Y271" s="87">
        <v>11.0</v>
      </c>
      <c r="Z271" s="87">
        <v>52.0</v>
      </c>
      <c r="AA271" s="87">
        <v>71.0</v>
      </c>
      <c r="AB271" s="87">
        <v>95.0</v>
      </c>
      <c r="AC271" s="87">
        <v>169.0</v>
      </c>
      <c r="AD271" s="87">
        <v>197.0</v>
      </c>
      <c r="AE271" s="87">
        <v>215.0</v>
      </c>
      <c r="AF271" s="87">
        <v>148.0</v>
      </c>
      <c r="AG271" s="87"/>
      <c r="AH271" s="87">
        <v>156.0</v>
      </c>
      <c r="AI271" s="87">
        <v>734.0</v>
      </c>
      <c r="AJ271" s="87">
        <v>68.0</v>
      </c>
      <c r="AK271" s="87"/>
      <c r="AL271" s="87">
        <v>27.0</v>
      </c>
      <c r="AM271" s="87"/>
      <c r="AN271" s="87">
        <v>79.0</v>
      </c>
      <c r="AO271" s="87">
        <v>672.0</v>
      </c>
      <c r="AP271" s="87">
        <v>126.0</v>
      </c>
      <c r="AQ271" s="87">
        <v>43.0</v>
      </c>
      <c r="AR271" s="87">
        <v>11.0</v>
      </c>
      <c r="AS271" s="87">
        <v>4.0</v>
      </c>
      <c r="AT271" s="87">
        <v>31.0</v>
      </c>
      <c r="AU271" s="87">
        <v>893.0</v>
      </c>
      <c r="AV271" s="87">
        <v>29.0</v>
      </c>
      <c r="AW271" s="87"/>
      <c r="AX271" s="87"/>
      <c r="AY271" s="87"/>
      <c r="AZ271" s="87"/>
      <c r="BA271" s="87"/>
      <c r="BB271" s="87">
        <v>1.0</v>
      </c>
      <c r="BC271" s="87"/>
      <c r="BD271" s="87"/>
      <c r="BE271" s="87"/>
      <c r="BF271" s="87"/>
      <c r="BG271" s="87">
        <v>958.0</v>
      </c>
      <c r="BH271" s="87"/>
      <c r="BI271" s="87">
        <v>13004.0</v>
      </c>
      <c r="BJ271" s="87"/>
      <c r="BK271" s="87"/>
      <c r="BL271" s="87">
        <v>958.0</v>
      </c>
      <c r="BM271" s="87"/>
      <c r="BN271" s="87"/>
      <c r="BO271" s="87"/>
      <c r="BP271" s="87">
        <v>184.0</v>
      </c>
      <c r="BQ271" s="87">
        <v>115.0</v>
      </c>
      <c r="BR271" s="87"/>
      <c r="BS271" s="87">
        <v>87.0</v>
      </c>
      <c r="BT271" s="87"/>
      <c r="BU271" s="87"/>
      <c r="BV271" s="87">
        <v>16.0</v>
      </c>
      <c r="BW271" s="87">
        <v>1.0</v>
      </c>
      <c r="BX271" s="87">
        <v>551.0</v>
      </c>
      <c r="BY271" s="87"/>
      <c r="BZ271" s="87"/>
      <c r="CA271" s="87">
        <v>4.0</v>
      </c>
      <c r="CB271" s="87"/>
      <c r="CC271" s="87"/>
      <c r="CD271" s="87"/>
      <c r="CE271" s="87"/>
      <c r="CF271" s="87"/>
      <c r="CG271" s="87"/>
      <c r="CH271" s="87">
        <v>958.0</v>
      </c>
      <c r="CI271" s="87"/>
      <c r="CJ271" s="87">
        <v>519.0</v>
      </c>
      <c r="CK271" s="87">
        <v>193.0</v>
      </c>
      <c r="CL271" s="87">
        <v>129.0</v>
      </c>
      <c r="CM271" s="87">
        <v>23.0</v>
      </c>
      <c r="CN271" s="87"/>
      <c r="CO271" s="87"/>
      <c r="CP271" s="87"/>
      <c r="CQ271" s="87">
        <v>33.0</v>
      </c>
      <c r="CR271" s="87">
        <v>61.0</v>
      </c>
      <c r="CS271" s="87"/>
      <c r="CT271" s="87">
        <v>4.0</v>
      </c>
      <c r="CU271" s="87"/>
      <c r="CV271" s="87"/>
      <c r="CW271" s="87">
        <v>2.0</v>
      </c>
      <c r="CX271" s="87">
        <v>3.0</v>
      </c>
      <c r="CY271" s="87">
        <v>199.0</v>
      </c>
      <c r="CZ271" s="87"/>
      <c r="DA271" s="87"/>
      <c r="DB271" s="87">
        <v>239.0</v>
      </c>
      <c r="DC271" s="87">
        <v>2.0</v>
      </c>
      <c r="DD271" s="87"/>
      <c r="DE271" s="87">
        <v>1.0</v>
      </c>
      <c r="DF271" s="87">
        <v>17.0</v>
      </c>
      <c r="DG271" s="87">
        <v>1.0</v>
      </c>
      <c r="DH271" s="87"/>
      <c r="DI271" s="87"/>
      <c r="DJ271" s="87">
        <v>1.0</v>
      </c>
      <c r="DK271" s="87">
        <v>37.0</v>
      </c>
      <c r="DL271" s="87">
        <v>276.0</v>
      </c>
      <c r="DM271" s="87">
        <v>176.0</v>
      </c>
      <c r="DN271" s="87"/>
      <c r="DO271" s="87">
        <v>1.0</v>
      </c>
      <c r="DP271" s="87"/>
      <c r="DQ271" s="87">
        <v>25.0</v>
      </c>
      <c r="DR271" s="87"/>
      <c r="DS271" s="87"/>
      <c r="DT271" s="87"/>
      <c r="DU271" s="87"/>
      <c r="DV271" s="87"/>
      <c r="DW271" s="87"/>
      <c r="DX271" s="87"/>
      <c r="DY271" s="87"/>
      <c r="DZ271" s="87"/>
      <c r="EA271" s="87"/>
      <c r="EB271" s="87"/>
      <c r="EC271" s="87"/>
      <c r="ED271" s="87">
        <v>931.0</v>
      </c>
      <c r="EE271" s="87">
        <v>1.0</v>
      </c>
      <c r="EF271" s="87"/>
      <c r="EG271" s="87">
        <v>1.0</v>
      </c>
      <c r="EH271" s="87"/>
      <c r="EI271" s="87">
        <v>14.0</v>
      </c>
      <c r="EJ271" s="87">
        <v>943.0</v>
      </c>
      <c r="EK271" s="88"/>
      <c r="EL271" s="88"/>
      <c r="EM271" s="88"/>
      <c r="EN271" s="88"/>
      <c r="EO271" s="88"/>
      <c r="EP271" s="88"/>
      <c r="EQ271" s="90"/>
    </row>
    <row r="272" ht="12.0" customHeight="1">
      <c r="A272" s="89">
        <v>1.06340041E8</v>
      </c>
      <c r="B272" s="89" t="s">
        <v>1881</v>
      </c>
      <c r="C272" s="89" t="s">
        <v>1882</v>
      </c>
      <c r="D272" s="89" t="s">
        <v>1883</v>
      </c>
      <c r="E272" s="89" t="s">
        <v>1884</v>
      </c>
      <c r="F272" s="89" t="s">
        <v>1882</v>
      </c>
      <c r="G272" s="89" t="s">
        <v>1885</v>
      </c>
      <c r="H272" s="89" t="s">
        <v>503</v>
      </c>
      <c r="I272" s="89" t="s">
        <v>456</v>
      </c>
      <c r="J272" s="89" t="s">
        <v>499</v>
      </c>
      <c r="K272" s="89" t="s">
        <v>1738</v>
      </c>
      <c r="L272" s="89" t="s">
        <v>544</v>
      </c>
      <c r="M272" s="89" t="s">
        <v>1886</v>
      </c>
      <c r="N272" s="89" t="s">
        <v>441</v>
      </c>
      <c r="O272" s="87"/>
      <c r="P272" s="87"/>
      <c r="Q272" s="87">
        <v>82.0</v>
      </c>
      <c r="R272" s="87"/>
      <c r="S272" s="87"/>
      <c r="T272" s="87"/>
      <c r="U272" s="87">
        <v>48.0</v>
      </c>
      <c r="V272" s="87">
        <v>34.0</v>
      </c>
      <c r="W272" s="87"/>
      <c r="X272" s="87"/>
      <c r="Y272" s="87"/>
      <c r="Z272" s="87">
        <v>24.0</v>
      </c>
      <c r="AA272" s="87">
        <v>22.0</v>
      </c>
      <c r="AB272" s="87">
        <v>16.0</v>
      </c>
      <c r="AC272" s="87">
        <v>14.0</v>
      </c>
      <c r="AD272" s="87"/>
      <c r="AE272" s="87"/>
      <c r="AF272" s="87"/>
      <c r="AG272" s="87">
        <v>6.0</v>
      </c>
      <c r="AH272" s="87">
        <v>11.0</v>
      </c>
      <c r="AI272" s="87">
        <v>71.0</v>
      </c>
      <c r="AJ272" s="87"/>
      <c r="AK272" s="87"/>
      <c r="AL272" s="87"/>
      <c r="AM272" s="87"/>
      <c r="AN272" s="87">
        <v>20.0</v>
      </c>
      <c r="AO272" s="87">
        <v>43.0</v>
      </c>
      <c r="AP272" s="87">
        <v>8.0</v>
      </c>
      <c r="AQ272" s="87">
        <v>11.0</v>
      </c>
      <c r="AR272" s="87"/>
      <c r="AS272" s="87"/>
      <c r="AT272" s="87"/>
      <c r="AU272" s="87">
        <v>73.0</v>
      </c>
      <c r="AV272" s="87"/>
      <c r="AW272" s="87">
        <v>9.0</v>
      </c>
      <c r="AX272" s="87"/>
      <c r="AY272" s="87"/>
      <c r="AZ272" s="87"/>
      <c r="BA272" s="87"/>
      <c r="BB272" s="87"/>
      <c r="BC272" s="87"/>
      <c r="BD272" s="87"/>
      <c r="BE272" s="87"/>
      <c r="BF272" s="87">
        <v>73.0</v>
      </c>
      <c r="BG272" s="87">
        <v>9.0</v>
      </c>
      <c r="BH272" s="87"/>
      <c r="BI272" s="87">
        <v>1722.0</v>
      </c>
      <c r="BJ272" s="87"/>
      <c r="BK272" s="87">
        <v>82.0</v>
      </c>
      <c r="BL272" s="87"/>
      <c r="BM272" s="87"/>
      <c r="BN272" s="87"/>
      <c r="BO272" s="87"/>
      <c r="BP272" s="87">
        <v>74.0</v>
      </c>
      <c r="BQ272" s="87">
        <v>1.0</v>
      </c>
      <c r="BR272" s="87"/>
      <c r="BS272" s="87"/>
      <c r="BT272" s="87">
        <v>2.0</v>
      </c>
      <c r="BU272" s="87">
        <v>1.0</v>
      </c>
      <c r="BV272" s="87">
        <v>4.0</v>
      </c>
      <c r="BW272" s="87"/>
      <c r="BX272" s="87"/>
      <c r="BY272" s="87"/>
      <c r="BZ272" s="87"/>
      <c r="CA272" s="87"/>
      <c r="CB272" s="87"/>
      <c r="CC272" s="87"/>
      <c r="CD272" s="87"/>
      <c r="CE272" s="87"/>
      <c r="CF272" s="87"/>
      <c r="CG272" s="87"/>
      <c r="CH272" s="87">
        <v>82.0</v>
      </c>
      <c r="CI272" s="87"/>
      <c r="CJ272" s="87"/>
      <c r="CK272" s="87">
        <v>82.0</v>
      </c>
      <c r="CL272" s="87"/>
      <c r="CM272" s="87"/>
      <c r="CN272" s="87"/>
      <c r="CO272" s="87"/>
      <c r="CP272" s="87"/>
      <c r="CQ272" s="87"/>
      <c r="CR272" s="87"/>
      <c r="CS272" s="87"/>
      <c r="CT272" s="87"/>
      <c r="CU272" s="87"/>
      <c r="CV272" s="87"/>
      <c r="CW272" s="87"/>
      <c r="CX272" s="87">
        <v>82.0</v>
      </c>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v>82.0</v>
      </c>
      <c r="EE272" s="87"/>
      <c r="EF272" s="87"/>
      <c r="EG272" s="87">
        <v>27.0</v>
      </c>
      <c r="EH272" s="87"/>
      <c r="EI272" s="87"/>
      <c r="EJ272" s="87">
        <v>55.0</v>
      </c>
      <c r="EK272" s="88"/>
      <c r="EL272" s="88"/>
      <c r="EM272" s="88"/>
      <c r="EN272" s="88"/>
      <c r="EO272" s="88"/>
      <c r="EP272" s="88"/>
      <c r="EQ272" s="90"/>
    </row>
    <row r="273" ht="12.0" customHeight="1">
      <c r="A273" s="89">
        <v>1.06340913E8</v>
      </c>
      <c r="B273" s="89" t="s">
        <v>1887</v>
      </c>
      <c r="C273" s="89" t="s">
        <v>1882</v>
      </c>
      <c r="D273" s="89" t="s">
        <v>1888</v>
      </c>
      <c r="E273" s="89" t="s">
        <v>1889</v>
      </c>
      <c r="F273" s="89" t="s">
        <v>1882</v>
      </c>
      <c r="G273" s="89" t="s">
        <v>1890</v>
      </c>
      <c r="H273" s="89" t="s">
        <v>447</v>
      </c>
      <c r="I273" s="89" t="s">
        <v>456</v>
      </c>
      <c r="J273" s="89" t="s">
        <v>469</v>
      </c>
      <c r="K273" s="89" t="s">
        <v>1738</v>
      </c>
      <c r="L273" s="89" t="s">
        <v>544</v>
      </c>
      <c r="M273" s="89" t="s">
        <v>1891</v>
      </c>
      <c r="N273" s="89" t="s">
        <v>441</v>
      </c>
      <c r="O273" s="87">
        <v>12280.0</v>
      </c>
      <c r="P273" s="87"/>
      <c r="Q273" s="87"/>
      <c r="R273" s="87"/>
      <c r="S273" s="87"/>
      <c r="T273" s="87"/>
      <c r="U273" s="87">
        <v>6013.0</v>
      </c>
      <c r="V273" s="87">
        <v>6266.0</v>
      </c>
      <c r="W273" s="87">
        <v>1.0</v>
      </c>
      <c r="X273" s="87"/>
      <c r="Y273" s="87">
        <v>65.0</v>
      </c>
      <c r="Z273" s="87">
        <v>419.0</v>
      </c>
      <c r="AA273" s="87">
        <v>789.0</v>
      </c>
      <c r="AB273" s="87">
        <v>1113.0</v>
      </c>
      <c r="AC273" s="87">
        <v>1871.0</v>
      </c>
      <c r="AD273" s="87">
        <v>2971.0</v>
      </c>
      <c r="AE273" s="87">
        <v>2784.0</v>
      </c>
      <c r="AF273" s="87">
        <v>2267.0</v>
      </c>
      <c r="AG273" s="87">
        <v>1.0</v>
      </c>
      <c r="AH273" s="87">
        <v>1670.0</v>
      </c>
      <c r="AI273" s="87">
        <v>10553.0</v>
      </c>
      <c r="AJ273" s="87">
        <v>57.0</v>
      </c>
      <c r="AK273" s="87">
        <v>68.0</v>
      </c>
      <c r="AL273" s="87">
        <v>975.0</v>
      </c>
      <c r="AM273" s="87">
        <v>118.0</v>
      </c>
      <c r="AN273" s="87">
        <v>1751.0</v>
      </c>
      <c r="AO273" s="87">
        <v>7479.0</v>
      </c>
      <c r="AP273" s="87">
        <v>79.0</v>
      </c>
      <c r="AQ273" s="87">
        <v>1636.0</v>
      </c>
      <c r="AR273" s="87">
        <v>174.0</v>
      </c>
      <c r="AS273" s="87">
        <v>10654.0</v>
      </c>
      <c r="AT273" s="87">
        <v>127.0</v>
      </c>
      <c r="AU273" s="87">
        <v>1089.0</v>
      </c>
      <c r="AV273" s="87">
        <v>287.0</v>
      </c>
      <c r="AW273" s="87">
        <v>116.0</v>
      </c>
      <c r="AX273" s="87"/>
      <c r="AY273" s="87"/>
      <c r="AZ273" s="87"/>
      <c r="BA273" s="87"/>
      <c r="BB273" s="87">
        <v>7.0</v>
      </c>
      <c r="BC273" s="87"/>
      <c r="BD273" s="87"/>
      <c r="BE273" s="87">
        <v>9132.0</v>
      </c>
      <c r="BF273" s="87">
        <v>719.0</v>
      </c>
      <c r="BG273" s="87">
        <v>2429.0</v>
      </c>
      <c r="BH273" s="87"/>
      <c r="BI273" s="87">
        <v>62410.0</v>
      </c>
      <c r="BJ273" s="87">
        <v>1339.0</v>
      </c>
      <c r="BK273" s="87">
        <v>8893.0</v>
      </c>
      <c r="BL273" s="87">
        <v>2037.0</v>
      </c>
      <c r="BM273" s="87"/>
      <c r="BN273" s="87"/>
      <c r="BO273" s="87">
        <v>11.0</v>
      </c>
      <c r="BP273" s="87">
        <v>6279.0</v>
      </c>
      <c r="BQ273" s="87">
        <v>307.0</v>
      </c>
      <c r="BR273" s="87">
        <v>110.0</v>
      </c>
      <c r="BS273" s="87">
        <v>1814.0</v>
      </c>
      <c r="BT273" s="87">
        <v>1.0</v>
      </c>
      <c r="BU273" s="87"/>
      <c r="BV273" s="87">
        <v>281.0</v>
      </c>
      <c r="BW273" s="87">
        <v>516.0</v>
      </c>
      <c r="BX273" s="87">
        <v>2519.0</v>
      </c>
      <c r="BY273" s="87"/>
      <c r="BZ273" s="87">
        <v>1.0</v>
      </c>
      <c r="CA273" s="87">
        <v>410.0</v>
      </c>
      <c r="CB273" s="87">
        <v>35.0</v>
      </c>
      <c r="CC273" s="87"/>
      <c r="CD273" s="87">
        <v>6.0</v>
      </c>
      <c r="CE273" s="87">
        <v>1.0</v>
      </c>
      <c r="CF273" s="87"/>
      <c r="CG273" s="87">
        <v>1454.0</v>
      </c>
      <c r="CH273" s="87">
        <v>10826.0</v>
      </c>
      <c r="CI273" s="87"/>
      <c r="CJ273" s="87">
        <v>7037.0</v>
      </c>
      <c r="CK273" s="87">
        <v>1788.0</v>
      </c>
      <c r="CL273" s="87">
        <v>3219.0</v>
      </c>
      <c r="CM273" s="87">
        <v>27.0</v>
      </c>
      <c r="CN273" s="87"/>
      <c r="CO273" s="87">
        <v>20.0</v>
      </c>
      <c r="CP273" s="87"/>
      <c r="CQ273" s="87">
        <v>189.0</v>
      </c>
      <c r="CR273" s="87"/>
      <c r="CS273" s="87"/>
      <c r="CT273" s="87">
        <v>2633.0</v>
      </c>
      <c r="CU273" s="87">
        <v>788.0</v>
      </c>
      <c r="CV273" s="87">
        <v>83.0</v>
      </c>
      <c r="CW273" s="87">
        <v>428.0</v>
      </c>
      <c r="CX273" s="87">
        <v>199.0</v>
      </c>
      <c r="CY273" s="87">
        <v>518.0</v>
      </c>
      <c r="CZ273" s="87">
        <v>13.0</v>
      </c>
      <c r="DA273" s="87">
        <v>7.0</v>
      </c>
      <c r="DB273" s="87">
        <v>2399.0</v>
      </c>
      <c r="DC273" s="87">
        <v>682.0</v>
      </c>
      <c r="DD273" s="87">
        <v>1236.0</v>
      </c>
      <c r="DE273" s="87">
        <v>159.0</v>
      </c>
      <c r="DF273" s="87">
        <v>1306.0</v>
      </c>
      <c r="DG273" s="87">
        <v>463.0</v>
      </c>
      <c r="DH273" s="87">
        <v>36.0</v>
      </c>
      <c r="DI273" s="87"/>
      <c r="DJ273" s="87">
        <v>32.0</v>
      </c>
      <c r="DK273" s="87">
        <v>223.0</v>
      </c>
      <c r="DL273" s="87">
        <v>1017.0</v>
      </c>
      <c r="DM273" s="87">
        <v>57.0</v>
      </c>
      <c r="DN273" s="87">
        <v>1.0</v>
      </c>
      <c r="DO273" s="87">
        <v>2741.0</v>
      </c>
      <c r="DP273" s="87">
        <v>3.0</v>
      </c>
      <c r="DQ273" s="87">
        <v>1102.0</v>
      </c>
      <c r="DR273" s="87">
        <v>1183.0</v>
      </c>
      <c r="DS273" s="87">
        <v>19.0</v>
      </c>
      <c r="DT273" s="87">
        <v>75.0</v>
      </c>
      <c r="DU273" s="87">
        <v>10.0</v>
      </c>
      <c r="DV273" s="87">
        <v>142.0</v>
      </c>
      <c r="DW273" s="87">
        <v>54.0</v>
      </c>
      <c r="DX273" s="87">
        <v>367.0</v>
      </c>
      <c r="DY273" s="87">
        <v>1426.0</v>
      </c>
      <c r="DZ273" s="87">
        <v>814.0</v>
      </c>
      <c r="EA273" s="87">
        <v>27.0</v>
      </c>
      <c r="EB273" s="87">
        <v>207.0</v>
      </c>
      <c r="EC273" s="87">
        <v>381.0</v>
      </c>
      <c r="ED273" s="87">
        <v>3394.0</v>
      </c>
      <c r="EE273" s="87">
        <v>335.0</v>
      </c>
      <c r="EF273" s="87">
        <v>4.0</v>
      </c>
      <c r="EG273" s="87">
        <v>400.0</v>
      </c>
      <c r="EH273" s="87"/>
      <c r="EI273" s="87">
        <v>35.0</v>
      </c>
      <c r="EJ273" s="87">
        <v>11841.0</v>
      </c>
      <c r="EK273" s="88"/>
      <c r="EL273" s="88"/>
      <c r="EM273" s="88"/>
      <c r="EN273" s="88"/>
      <c r="EO273" s="88"/>
      <c r="EP273" s="88"/>
      <c r="EQ273" s="90"/>
    </row>
    <row r="274" ht="12.0" customHeight="1">
      <c r="A274" s="89">
        <v>1.06340947E8</v>
      </c>
      <c r="B274" s="89" t="s">
        <v>1892</v>
      </c>
      <c r="C274" s="89" t="s">
        <v>1882</v>
      </c>
      <c r="D274" s="89" t="s">
        <v>1893</v>
      </c>
      <c r="E274" s="89" t="s">
        <v>1894</v>
      </c>
      <c r="F274" s="89" t="s">
        <v>1882</v>
      </c>
      <c r="G274" s="89" t="s">
        <v>1895</v>
      </c>
      <c r="H274" s="89" t="s">
        <v>447</v>
      </c>
      <c r="I274" s="89" t="s">
        <v>456</v>
      </c>
      <c r="J274" s="89" t="s">
        <v>448</v>
      </c>
      <c r="K274" s="89" t="s">
        <v>1738</v>
      </c>
      <c r="L274" s="89" t="s">
        <v>511</v>
      </c>
      <c r="M274" s="89" t="s">
        <v>1896</v>
      </c>
      <c r="N274" s="89" t="s">
        <v>441</v>
      </c>
      <c r="O274" s="87">
        <v>13680.0</v>
      </c>
      <c r="P274" s="87"/>
      <c r="Q274" s="87"/>
      <c r="R274" s="87"/>
      <c r="S274" s="87">
        <v>508.0</v>
      </c>
      <c r="T274" s="87"/>
      <c r="U274" s="87">
        <v>7028.0</v>
      </c>
      <c r="V274" s="87">
        <v>7159.0</v>
      </c>
      <c r="W274" s="87">
        <v>1.0</v>
      </c>
      <c r="X274" s="87">
        <v>883.0</v>
      </c>
      <c r="Y274" s="87">
        <v>80.0</v>
      </c>
      <c r="Z274" s="87">
        <v>789.0</v>
      </c>
      <c r="AA274" s="87">
        <v>1140.0</v>
      </c>
      <c r="AB274" s="87">
        <v>1069.0</v>
      </c>
      <c r="AC274" s="87">
        <v>1901.0</v>
      </c>
      <c r="AD274" s="87">
        <v>3167.0</v>
      </c>
      <c r="AE274" s="87">
        <v>2982.0</v>
      </c>
      <c r="AF274" s="87">
        <v>2177.0</v>
      </c>
      <c r="AG274" s="87"/>
      <c r="AH274" s="87">
        <v>2258.0</v>
      </c>
      <c r="AI274" s="87">
        <v>11856.0</v>
      </c>
      <c r="AJ274" s="87">
        <v>74.0</v>
      </c>
      <c r="AK274" s="87">
        <v>48.0</v>
      </c>
      <c r="AL274" s="87">
        <v>1648.0</v>
      </c>
      <c r="AM274" s="87">
        <v>125.0</v>
      </c>
      <c r="AN274" s="87">
        <v>1746.0</v>
      </c>
      <c r="AO274" s="87">
        <v>7415.0</v>
      </c>
      <c r="AP274" s="87">
        <v>461.0</v>
      </c>
      <c r="AQ274" s="87">
        <v>2675.0</v>
      </c>
      <c r="AR274" s="87">
        <v>70.0</v>
      </c>
      <c r="AS274" s="87">
        <v>10473.0</v>
      </c>
      <c r="AT274" s="87">
        <v>81.0</v>
      </c>
      <c r="AU274" s="87">
        <v>2668.0</v>
      </c>
      <c r="AV274" s="87">
        <v>60.0</v>
      </c>
      <c r="AW274" s="87">
        <v>12.0</v>
      </c>
      <c r="AX274" s="87"/>
      <c r="AY274" s="87">
        <v>8.0</v>
      </c>
      <c r="AZ274" s="87"/>
      <c r="BA274" s="87">
        <v>3.0</v>
      </c>
      <c r="BB274" s="87">
        <v>1.0</v>
      </c>
      <c r="BC274" s="87">
        <v>882.0</v>
      </c>
      <c r="BD274" s="87"/>
      <c r="BE274" s="87">
        <v>7550.0</v>
      </c>
      <c r="BF274" s="87">
        <v>988.0</v>
      </c>
      <c r="BG274" s="87">
        <v>5629.0</v>
      </c>
      <c r="BH274" s="87">
        <v>21.0</v>
      </c>
      <c r="BI274" s="87">
        <v>66350.0</v>
      </c>
      <c r="BJ274" s="87">
        <v>4130.0</v>
      </c>
      <c r="BK274" s="87">
        <v>5231.0</v>
      </c>
      <c r="BL274" s="87">
        <v>3919.0</v>
      </c>
      <c r="BM274" s="87">
        <v>882.0</v>
      </c>
      <c r="BN274" s="87">
        <v>25.0</v>
      </c>
      <c r="BO274" s="87">
        <v>1.0</v>
      </c>
      <c r="BP274" s="87">
        <v>9438.0</v>
      </c>
      <c r="BQ274" s="87">
        <v>239.0</v>
      </c>
      <c r="BR274" s="87">
        <v>54.0</v>
      </c>
      <c r="BS274" s="87">
        <v>1196.0</v>
      </c>
      <c r="BT274" s="87">
        <v>42.0</v>
      </c>
      <c r="BU274" s="87">
        <v>13.0</v>
      </c>
      <c r="BV274" s="87">
        <v>269.0</v>
      </c>
      <c r="BW274" s="87">
        <v>404.0</v>
      </c>
      <c r="BX274" s="87">
        <v>2356.0</v>
      </c>
      <c r="BY274" s="87">
        <v>1.0</v>
      </c>
      <c r="BZ274" s="87">
        <v>5.0</v>
      </c>
      <c r="CA274" s="87">
        <v>140.0</v>
      </c>
      <c r="CB274" s="87">
        <v>20.0</v>
      </c>
      <c r="CC274" s="87">
        <v>7.0</v>
      </c>
      <c r="CD274" s="87">
        <v>4.0</v>
      </c>
      <c r="CE274" s="87"/>
      <c r="CF274" s="87"/>
      <c r="CG274" s="87">
        <v>1115.0</v>
      </c>
      <c r="CH274" s="87">
        <v>13052.0</v>
      </c>
      <c r="CI274" s="87">
        <v>21.0</v>
      </c>
      <c r="CJ274" s="87">
        <v>6990.0</v>
      </c>
      <c r="CK274" s="87">
        <v>4009.0</v>
      </c>
      <c r="CL274" s="87">
        <v>2728.0</v>
      </c>
      <c r="CM274" s="87">
        <v>86.0</v>
      </c>
      <c r="CN274" s="87"/>
      <c r="CO274" s="87">
        <v>252.0</v>
      </c>
      <c r="CP274" s="87"/>
      <c r="CQ274" s="87">
        <v>119.0</v>
      </c>
      <c r="CR274" s="87"/>
      <c r="CS274" s="87">
        <v>4.0</v>
      </c>
      <c r="CT274" s="87">
        <v>1290.0</v>
      </c>
      <c r="CU274" s="87">
        <v>533.0</v>
      </c>
      <c r="CV274" s="87">
        <v>76.0</v>
      </c>
      <c r="CW274" s="87">
        <v>522.0</v>
      </c>
      <c r="CX274" s="87">
        <v>177.0</v>
      </c>
      <c r="CY274" s="87">
        <v>410.0</v>
      </c>
      <c r="CZ274" s="87">
        <v>8.0</v>
      </c>
      <c r="DA274" s="87">
        <v>7.0</v>
      </c>
      <c r="DB274" s="87">
        <v>4867.0</v>
      </c>
      <c r="DC274" s="87">
        <v>520.0</v>
      </c>
      <c r="DD274" s="87">
        <v>1046.0</v>
      </c>
      <c r="DE274" s="87">
        <v>170.0</v>
      </c>
      <c r="DF274" s="87">
        <v>838.0</v>
      </c>
      <c r="DG274" s="87">
        <v>625.0</v>
      </c>
      <c r="DH274" s="87">
        <v>983.0</v>
      </c>
      <c r="DI274" s="87">
        <v>883.0</v>
      </c>
      <c r="DJ274" s="87">
        <v>76.0</v>
      </c>
      <c r="DK274" s="87">
        <v>166.0</v>
      </c>
      <c r="DL274" s="87">
        <v>923.0</v>
      </c>
      <c r="DM274" s="87">
        <v>68.0</v>
      </c>
      <c r="DN274" s="87"/>
      <c r="DO274" s="87">
        <v>2953.0</v>
      </c>
      <c r="DP274" s="87">
        <v>879.0</v>
      </c>
      <c r="DQ274" s="87">
        <v>3608.0</v>
      </c>
      <c r="DR274" s="87">
        <v>1077.0</v>
      </c>
      <c r="DS274" s="87">
        <v>2.0</v>
      </c>
      <c r="DT274" s="87">
        <v>21.0</v>
      </c>
      <c r="DU274" s="87">
        <v>2.0</v>
      </c>
      <c r="DV274" s="87">
        <v>140.0</v>
      </c>
      <c r="DW274" s="87">
        <v>38.0</v>
      </c>
      <c r="DX274" s="87">
        <v>205.0</v>
      </c>
      <c r="DY274" s="87">
        <v>1013.0</v>
      </c>
      <c r="DZ274" s="87">
        <v>264.0</v>
      </c>
      <c r="EA274" s="87">
        <v>8.0</v>
      </c>
      <c r="EB274" s="87">
        <v>152.0</v>
      </c>
      <c r="EC274" s="87">
        <v>94.0</v>
      </c>
      <c r="ED274" s="87">
        <v>3600.0</v>
      </c>
      <c r="EE274" s="87">
        <v>132.0</v>
      </c>
      <c r="EF274" s="87">
        <v>86.0</v>
      </c>
      <c r="EG274" s="87">
        <v>481.0</v>
      </c>
      <c r="EH274" s="87">
        <v>1.0</v>
      </c>
      <c r="EI274" s="87">
        <v>94.0</v>
      </c>
      <c r="EJ274" s="87">
        <v>13526.0</v>
      </c>
      <c r="EK274" s="88"/>
      <c r="EL274" s="88"/>
      <c r="EM274" s="88"/>
      <c r="EN274" s="88"/>
      <c r="EO274" s="88"/>
      <c r="EP274" s="88"/>
      <c r="EQ274" s="90"/>
    </row>
    <row r="275" ht="12.0" customHeight="1">
      <c r="A275" s="89">
        <v>1.0634095E8</v>
      </c>
      <c r="B275" s="89" t="s">
        <v>1897</v>
      </c>
      <c r="C275" s="89" t="s">
        <v>1882</v>
      </c>
      <c r="D275" s="89" t="s">
        <v>1898</v>
      </c>
      <c r="E275" s="89" t="s">
        <v>1899</v>
      </c>
      <c r="F275" s="89" t="s">
        <v>1900</v>
      </c>
      <c r="G275" s="89" t="s">
        <v>1901</v>
      </c>
      <c r="H275" s="89" t="s">
        <v>447</v>
      </c>
      <c r="I275" s="89" t="s">
        <v>456</v>
      </c>
      <c r="J275" s="89" t="s">
        <v>448</v>
      </c>
      <c r="K275" s="89" t="s">
        <v>554</v>
      </c>
      <c r="L275" s="89" t="s">
        <v>544</v>
      </c>
      <c r="M275" s="89" t="s">
        <v>1886</v>
      </c>
      <c r="N275" s="89" t="s">
        <v>441</v>
      </c>
      <c r="O275" s="87">
        <v>21108.0</v>
      </c>
      <c r="P275" s="87"/>
      <c r="Q275" s="87"/>
      <c r="R275" s="87"/>
      <c r="S275" s="87"/>
      <c r="T275" s="87"/>
      <c r="U275" s="87">
        <v>10063.0</v>
      </c>
      <c r="V275" s="87">
        <v>11043.0</v>
      </c>
      <c r="W275" s="87">
        <v>2.0</v>
      </c>
      <c r="X275" s="87">
        <v>2267.0</v>
      </c>
      <c r="Y275" s="87">
        <v>256.0</v>
      </c>
      <c r="Z275" s="87">
        <v>1422.0</v>
      </c>
      <c r="AA275" s="87">
        <v>2065.0</v>
      </c>
      <c r="AB275" s="87">
        <v>1580.0</v>
      </c>
      <c r="AC275" s="87">
        <v>2558.0</v>
      </c>
      <c r="AD275" s="87">
        <v>4087.0</v>
      </c>
      <c r="AE275" s="87">
        <v>3455.0</v>
      </c>
      <c r="AF275" s="87">
        <v>3418.0</v>
      </c>
      <c r="AG275" s="87"/>
      <c r="AH275" s="87">
        <v>2600.0</v>
      </c>
      <c r="AI275" s="87">
        <v>18331.0</v>
      </c>
      <c r="AJ275" s="87">
        <v>177.0</v>
      </c>
      <c r="AK275" s="87">
        <v>59.0</v>
      </c>
      <c r="AL275" s="87">
        <v>1812.0</v>
      </c>
      <c r="AM275" s="87">
        <v>99.0</v>
      </c>
      <c r="AN275" s="87">
        <v>1959.0</v>
      </c>
      <c r="AO275" s="87">
        <v>13585.0</v>
      </c>
      <c r="AP275" s="87">
        <v>633.0</v>
      </c>
      <c r="AQ275" s="87">
        <v>2903.0</v>
      </c>
      <c r="AR275" s="87">
        <v>58.0</v>
      </c>
      <c r="AS275" s="87">
        <v>15988.0</v>
      </c>
      <c r="AT275" s="87">
        <v>95.0</v>
      </c>
      <c r="AU275" s="87">
        <v>3162.0</v>
      </c>
      <c r="AV275" s="87">
        <v>164.0</v>
      </c>
      <c r="AW275" s="87">
        <v>43.0</v>
      </c>
      <c r="AX275" s="87">
        <v>2.0</v>
      </c>
      <c r="AY275" s="87">
        <v>14.0</v>
      </c>
      <c r="AZ275" s="87"/>
      <c r="BA275" s="87">
        <v>3.0</v>
      </c>
      <c r="BB275" s="87">
        <v>1.0</v>
      </c>
      <c r="BC275" s="87">
        <v>1636.0</v>
      </c>
      <c r="BD275" s="87"/>
      <c r="BE275" s="87">
        <v>13640.0</v>
      </c>
      <c r="BF275" s="87">
        <v>2206.0</v>
      </c>
      <c r="BG275" s="87">
        <v>5259.0</v>
      </c>
      <c r="BH275" s="87">
        <v>3.0</v>
      </c>
      <c r="BI275" s="87">
        <v>100360.0</v>
      </c>
      <c r="BJ275" s="87">
        <v>8438.0</v>
      </c>
      <c r="BK275" s="87">
        <v>7546.0</v>
      </c>
      <c r="BL275" s="87">
        <v>2485.0</v>
      </c>
      <c r="BM275" s="87">
        <v>1636.0</v>
      </c>
      <c r="BN275" s="87">
        <v>998.0</v>
      </c>
      <c r="BO275" s="87">
        <v>5.0</v>
      </c>
      <c r="BP275" s="87">
        <v>13247.0</v>
      </c>
      <c r="BQ275" s="87">
        <v>415.0</v>
      </c>
      <c r="BR275" s="87">
        <v>245.0</v>
      </c>
      <c r="BS275" s="87">
        <v>2597.0</v>
      </c>
      <c r="BT275" s="87">
        <v>96.0</v>
      </c>
      <c r="BU275" s="87">
        <v>26.0</v>
      </c>
      <c r="BV275" s="87">
        <v>627.0</v>
      </c>
      <c r="BW275" s="87">
        <v>853.0</v>
      </c>
      <c r="BX275" s="87">
        <v>2439.0</v>
      </c>
      <c r="BY275" s="87"/>
      <c r="BZ275" s="87">
        <v>1.0</v>
      </c>
      <c r="CA275" s="87">
        <v>425.0</v>
      </c>
      <c r="CB275" s="87">
        <v>116.0</v>
      </c>
      <c r="CC275" s="87">
        <v>1.0</v>
      </c>
      <c r="CD275" s="87">
        <v>20.0</v>
      </c>
      <c r="CE275" s="87"/>
      <c r="CF275" s="87"/>
      <c r="CG275" s="87">
        <v>2558.0</v>
      </c>
      <c r="CH275" s="87">
        <v>18547.0</v>
      </c>
      <c r="CI275" s="87">
        <v>3.0</v>
      </c>
      <c r="CJ275" s="87">
        <v>9437.0</v>
      </c>
      <c r="CK275" s="87">
        <v>7236.0</v>
      </c>
      <c r="CL275" s="87">
        <v>3561.0</v>
      </c>
      <c r="CM275" s="87">
        <v>99.0</v>
      </c>
      <c r="CN275" s="87"/>
      <c r="CO275" s="87">
        <v>513.0</v>
      </c>
      <c r="CP275" s="87"/>
      <c r="CQ275" s="87">
        <v>259.0</v>
      </c>
      <c r="CR275" s="87"/>
      <c r="CS275" s="87">
        <v>3.0</v>
      </c>
      <c r="CT275" s="87">
        <v>2376.0</v>
      </c>
      <c r="CU275" s="87">
        <v>776.0</v>
      </c>
      <c r="CV275" s="87">
        <v>155.0</v>
      </c>
      <c r="CW275" s="87">
        <v>994.0</v>
      </c>
      <c r="CX275" s="87">
        <v>444.0</v>
      </c>
      <c r="CY275" s="87">
        <v>528.0</v>
      </c>
      <c r="CZ275" s="87">
        <v>25.0</v>
      </c>
      <c r="DA275" s="87">
        <v>11.0</v>
      </c>
      <c r="DB275" s="87">
        <v>3821.0</v>
      </c>
      <c r="DC275" s="87">
        <v>1469.0</v>
      </c>
      <c r="DD275" s="87">
        <v>1796.0</v>
      </c>
      <c r="DE275" s="87">
        <v>465.0</v>
      </c>
      <c r="DF275" s="87">
        <v>643.0</v>
      </c>
      <c r="DG275" s="87">
        <v>1105.0</v>
      </c>
      <c r="DH275" s="87">
        <v>1796.0</v>
      </c>
      <c r="DI275" s="87">
        <v>1864.0</v>
      </c>
      <c r="DJ275" s="87">
        <v>11.0</v>
      </c>
      <c r="DK275" s="87">
        <v>332.0</v>
      </c>
      <c r="DL275" s="87">
        <v>2382.0</v>
      </c>
      <c r="DM275" s="87">
        <v>115.0</v>
      </c>
      <c r="DN275" s="87"/>
      <c r="DO275" s="87">
        <v>5005.0</v>
      </c>
      <c r="DP275" s="87">
        <v>1577.0</v>
      </c>
      <c r="DQ275" s="87">
        <v>1882.0</v>
      </c>
      <c r="DR275" s="87">
        <v>1421.0</v>
      </c>
      <c r="DS275" s="87">
        <v>13.0</v>
      </c>
      <c r="DT275" s="87">
        <v>7.0</v>
      </c>
      <c r="DU275" s="87">
        <v>14.0</v>
      </c>
      <c r="DV275" s="87">
        <v>244.0</v>
      </c>
      <c r="DW275" s="87">
        <v>52.0</v>
      </c>
      <c r="DX275" s="87">
        <v>619.0</v>
      </c>
      <c r="DY275" s="87">
        <v>1562.0</v>
      </c>
      <c r="DZ275" s="87">
        <v>266.0</v>
      </c>
      <c r="EA275" s="87">
        <v>55.0</v>
      </c>
      <c r="EB275" s="87">
        <v>436.0</v>
      </c>
      <c r="EC275" s="87">
        <v>285.0</v>
      </c>
      <c r="ED275" s="87">
        <v>7470.0</v>
      </c>
      <c r="EE275" s="87">
        <v>200.0</v>
      </c>
      <c r="EF275" s="87">
        <v>202.0</v>
      </c>
      <c r="EG275" s="87">
        <v>814.0</v>
      </c>
      <c r="EH275" s="87">
        <v>1.0</v>
      </c>
      <c r="EI275" s="87">
        <v>105.0</v>
      </c>
      <c r="EJ275" s="87">
        <v>19986.0</v>
      </c>
      <c r="EK275" s="88"/>
      <c r="EL275" s="88"/>
      <c r="EM275" s="88"/>
      <c r="EN275" s="88"/>
      <c r="EO275" s="88"/>
      <c r="EP275" s="88"/>
      <c r="EQ275" s="90"/>
    </row>
    <row r="276" ht="12.0" customHeight="1">
      <c r="A276" s="89">
        <v>1.06340951E8</v>
      </c>
      <c r="B276" s="89" t="s">
        <v>1902</v>
      </c>
      <c r="C276" s="89" t="s">
        <v>1882</v>
      </c>
      <c r="D276" s="89" t="s">
        <v>1903</v>
      </c>
      <c r="E276" s="89" t="s">
        <v>1904</v>
      </c>
      <c r="F276" s="89" t="s">
        <v>1882</v>
      </c>
      <c r="G276" s="89" t="s">
        <v>1905</v>
      </c>
      <c r="H276" s="89" t="s">
        <v>447</v>
      </c>
      <c r="I276" s="89" t="s">
        <v>456</v>
      </c>
      <c r="J276" s="89" t="s">
        <v>448</v>
      </c>
      <c r="K276" s="89" t="s">
        <v>1738</v>
      </c>
      <c r="L276" s="89" t="s">
        <v>438</v>
      </c>
      <c r="M276" s="89" t="s">
        <v>1906</v>
      </c>
      <c r="N276" s="89" t="s">
        <v>441</v>
      </c>
      <c r="O276" s="87">
        <v>9549.0</v>
      </c>
      <c r="P276" s="87">
        <v>810.0</v>
      </c>
      <c r="Q276" s="87"/>
      <c r="R276" s="87"/>
      <c r="S276" s="87"/>
      <c r="T276" s="87"/>
      <c r="U276" s="87">
        <v>4415.0</v>
      </c>
      <c r="V276" s="87">
        <v>5944.0</v>
      </c>
      <c r="W276" s="87"/>
      <c r="X276" s="87">
        <v>1285.0</v>
      </c>
      <c r="Y276" s="87">
        <v>87.0</v>
      </c>
      <c r="Z276" s="87">
        <v>960.0</v>
      </c>
      <c r="AA276" s="87">
        <v>1124.0</v>
      </c>
      <c r="AB276" s="87">
        <v>831.0</v>
      </c>
      <c r="AC276" s="87">
        <v>1287.0</v>
      </c>
      <c r="AD276" s="87">
        <v>1759.0</v>
      </c>
      <c r="AE276" s="87">
        <v>1475.0</v>
      </c>
      <c r="AF276" s="87">
        <v>1551.0</v>
      </c>
      <c r="AG276" s="87"/>
      <c r="AH276" s="87">
        <v>2232.0</v>
      </c>
      <c r="AI276" s="87">
        <v>8091.0</v>
      </c>
      <c r="AJ276" s="87">
        <v>36.0</v>
      </c>
      <c r="AK276" s="87">
        <v>28.0</v>
      </c>
      <c r="AL276" s="87">
        <v>1828.0</v>
      </c>
      <c r="AM276" s="87">
        <v>114.0</v>
      </c>
      <c r="AN276" s="87">
        <v>1801.0</v>
      </c>
      <c r="AO276" s="87">
        <v>3209.0</v>
      </c>
      <c r="AP276" s="87">
        <v>190.0</v>
      </c>
      <c r="AQ276" s="87">
        <v>3027.0</v>
      </c>
      <c r="AR276" s="87">
        <v>162.0</v>
      </c>
      <c r="AS276" s="87">
        <v>7654.0</v>
      </c>
      <c r="AT276" s="87">
        <v>25.0</v>
      </c>
      <c r="AU276" s="87">
        <v>1348.0</v>
      </c>
      <c r="AV276" s="87">
        <v>54.0</v>
      </c>
      <c r="AW276" s="87">
        <v>12.0</v>
      </c>
      <c r="AX276" s="87"/>
      <c r="AY276" s="87">
        <v>1.0</v>
      </c>
      <c r="AZ276" s="87"/>
      <c r="BA276" s="87">
        <v>4.0</v>
      </c>
      <c r="BB276" s="87">
        <v>1.0</v>
      </c>
      <c r="BC276" s="87">
        <v>1260.0</v>
      </c>
      <c r="BD276" s="87"/>
      <c r="BE276" s="87">
        <v>6262.0</v>
      </c>
      <c r="BF276" s="87">
        <v>410.0</v>
      </c>
      <c r="BG276" s="87">
        <v>3687.0</v>
      </c>
      <c r="BH276" s="87"/>
      <c r="BI276" s="87">
        <v>81594.0</v>
      </c>
      <c r="BJ276" s="87">
        <v>326.0</v>
      </c>
      <c r="BK276" s="87">
        <v>6660.0</v>
      </c>
      <c r="BL276" s="87">
        <v>2084.0</v>
      </c>
      <c r="BM276" s="87">
        <v>1260.0</v>
      </c>
      <c r="BN276" s="87">
        <v>29.0</v>
      </c>
      <c r="BO276" s="87"/>
      <c r="BP276" s="87">
        <v>6861.0</v>
      </c>
      <c r="BQ276" s="87">
        <v>425.0</v>
      </c>
      <c r="BR276" s="87">
        <v>26.0</v>
      </c>
      <c r="BS276" s="87">
        <v>943.0</v>
      </c>
      <c r="BT276" s="87">
        <v>43.0</v>
      </c>
      <c r="BU276" s="87">
        <v>13.0</v>
      </c>
      <c r="BV276" s="87">
        <v>232.0</v>
      </c>
      <c r="BW276" s="87">
        <v>297.0</v>
      </c>
      <c r="BX276" s="87">
        <v>1361.0</v>
      </c>
      <c r="BY276" s="87"/>
      <c r="BZ276" s="87"/>
      <c r="CA276" s="87">
        <v>109.0</v>
      </c>
      <c r="CB276" s="87">
        <v>29.0</v>
      </c>
      <c r="CC276" s="87"/>
      <c r="CD276" s="87">
        <v>7.0</v>
      </c>
      <c r="CE276" s="87">
        <v>13.0</v>
      </c>
      <c r="CF276" s="87"/>
      <c r="CG276" s="87">
        <v>916.0</v>
      </c>
      <c r="CH276" s="87">
        <v>9443.0</v>
      </c>
      <c r="CI276" s="87"/>
      <c r="CJ276" s="87">
        <v>4035.0</v>
      </c>
      <c r="CK276" s="87">
        <v>4345.0</v>
      </c>
      <c r="CL276" s="87">
        <v>1656.0</v>
      </c>
      <c r="CM276" s="87">
        <v>44.0</v>
      </c>
      <c r="CN276" s="87"/>
      <c r="CO276" s="87">
        <v>182.0</v>
      </c>
      <c r="CP276" s="87"/>
      <c r="CQ276" s="87">
        <v>91.0</v>
      </c>
      <c r="CR276" s="87"/>
      <c r="CS276" s="87">
        <v>6.0</v>
      </c>
      <c r="CT276" s="87">
        <v>1576.0</v>
      </c>
      <c r="CU276" s="87">
        <v>170.0</v>
      </c>
      <c r="CV276" s="87">
        <v>81.0</v>
      </c>
      <c r="CW276" s="87">
        <v>648.0</v>
      </c>
      <c r="CX276" s="87">
        <v>140.0</v>
      </c>
      <c r="CY276" s="87">
        <v>259.0</v>
      </c>
      <c r="CZ276" s="87">
        <v>2.0</v>
      </c>
      <c r="DA276" s="87">
        <v>9.0</v>
      </c>
      <c r="DB276" s="87">
        <v>1336.0</v>
      </c>
      <c r="DC276" s="87">
        <v>657.0</v>
      </c>
      <c r="DD276" s="87">
        <v>911.0</v>
      </c>
      <c r="DE276" s="87">
        <v>187.0</v>
      </c>
      <c r="DF276" s="87">
        <v>285.0</v>
      </c>
      <c r="DG276" s="87">
        <v>616.0</v>
      </c>
      <c r="DH276" s="87">
        <v>1373.0</v>
      </c>
      <c r="DI276" s="87">
        <v>1284.0</v>
      </c>
      <c r="DJ276" s="87"/>
      <c r="DK276" s="87">
        <v>151.0</v>
      </c>
      <c r="DL276" s="87">
        <v>632.0</v>
      </c>
      <c r="DM276" s="87">
        <v>37.0</v>
      </c>
      <c r="DN276" s="87">
        <v>5.0</v>
      </c>
      <c r="DO276" s="87">
        <v>2124.0</v>
      </c>
      <c r="DP276" s="87">
        <v>1229.0</v>
      </c>
      <c r="DQ276" s="87">
        <v>404.0</v>
      </c>
      <c r="DR276" s="87">
        <v>862.0</v>
      </c>
      <c r="DS276" s="87">
        <v>1.0</v>
      </c>
      <c r="DT276" s="87"/>
      <c r="DU276" s="87">
        <v>1.0</v>
      </c>
      <c r="DV276" s="87">
        <v>108.0</v>
      </c>
      <c r="DW276" s="87">
        <v>21.0</v>
      </c>
      <c r="DX276" s="87">
        <v>115.0</v>
      </c>
      <c r="DY276" s="87">
        <v>473.0</v>
      </c>
      <c r="DZ276" s="87">
        <v>35.0</v>
      </c>
      <c r="EA276" s="87">
        <v>6.0</v>
      </c>
      <c r="EB276" s="87">
        <v>134.0</v>
      </c>
      <c r="EC276" s="87">
        <v>113.0</v>
      </c>
      <c r="ED276" s="87">
        <v>4538.0</v>
      </c>
      <c r="EE276" s="87">
        <v>195.0</v>
      </c>
      <c r="EF276" s="87">
        <v>16.0</v>
      </c>
      <c r="EG276" s="87">
        <v>286.0</v>
      </c>
      <c r="EH276" s="87"/>
      <c r="EI276" s="87">
        <v>39.0</v>
      </c>
      <c r="EJ276" s="87">
        <v>10018.0</v>
      </c>
      <c r="EK276" s="88"/>
      <c r="EL276" s="88"/>
      <c r="EM276" s="88"/>
      <c r="EN276" s="88"/>
      <c r="EO276" s="88"/>
      <c r="EP276" s="88"/>
      <c r="EQ276" s="90"/>
    </row>
    <row r="277" ht="12.0" customHeight="1">
      <c r="A277" s="89">
        <v>1.06341006E8</v>
      </c>
      <c r="B277" s="89" t="s">
        <v>1907</v>
      </c>
      <c r="C277" s="89" t="s">
        <v>1882</v>
      </c>
      <c r="D277" s="89" t="s">
        <v>1908</v>
      </c>
      <c r="E277" s="89" t="s">
        <v>1909</v>
      </c>
      <c r="F277" s="89" t="s">
        <v>1882</v>
      </c>
      <c r="G277" s="89" t="s">
        <v>1910</v>
      </c>
      <c r="H277" s="89" t="s">
        <v>1256</v>
      </c>
      <c r="I277" s="89" t="s">
        <v>456</v>
      </c>
      <c r="J277" s="89" t="s">
        <v>605</v>
      </c>
      <c r="K277" s="89" t="s">
        <v>1738</v>
      </c>
      <c r="L277" s="89" t="s">
        <v>511</v>
      </c>
      <c r="M277" s="89" t="s">
        <v>1911</v>
      </c>
      <c r="N277" s="89" t="s">
        <v>441</v>
      </c>
      <c r="O277" s="87">
        <v>29681.0</v>
      </c>
      <c r="P277" s="87"/>
      <c r="Q277" s="87"/>
      <c r="R277" s="87"/>
      <c r="S277" s="87">
        <v>188.0</v>
      </c>
      <c r="T277" s="87"/>
      <c r="U277" s="87">
        <v>15160.0</v>
      </c>
      <c r="V277" s="87">
        <v>14709.0</v>
      </c>
      <c r="W277" s="87"/>
      <c r="X277" s="87">
        <v>5361.0</v>
      </c>
      <c r="Y277" s="87">
        <v>1973.0</v>
      </c>
      <c r="Z277" s="87">
        <v>2153.0</v>
      </c>
      <c r="AA277" s="87">
        <v>3280.0</v>
      </c>
      <c r="AB277" s="87">
        <v>2557.0</v>
      </c>
      <c r="AC277" s="87">
        <v>3361.0</v>
      </c>
      <c r="AD277" s="87">
        <v>4636.0</v>
      </c>
      <c r="AE277" s="87">
        <v>3973.0</v>
      </c>
      <c r="AF277" s="87">
        <v>2575.0</v>
      </c>
      <c r="AG277" s="87"/>
      <c r="AH277" s="87">
        <v>37.0</v>
      </c>
      <c r="AI277" s="87">
        <v>28788.0</v>
      </c>
      <c r="AJ277" s="87">
        <v>1044.0</v>
      </c>
      <c r="AK277" s="87">
        <v>184.0</v>
      </c>
      <c r="AL277" s="87">
        <v>2213.0</v>
      </c>
      <c r="AM277" s="87">
        <v>245.0</v>
      </c>
      <c r="AN277" s="87">
        <v>3349.0</v>
      </c>
      <c r="AO277" s="87">
        <v>13849.0</v>
      </c>
      <c r="AP277" s="87">
        <v>1102.0</v>
      </c>
      <c r="AQ277" s="87">
        <v>7416.0</v>
      </c>
      <c r="AR277" s="87">
        <v>1511.0</v>
      </c>
      <c r="AS277" s="87">
        <v>19904.0</v>
      </c>
      <c r="AT277" s="87">
        <v>2383.0</v>
      </c>
      <c r="AU277" s="87">
        <v>4546.0</v>
      </c>
      <c r="AV277" s="87">
        <v>503.0</v>
      </c>
      <c r="AW277" s="87">
        <v>77.0</v>
      </c>
      <c r="AX277" s="87">
        <v>347.0</v>
      </c>
      <c r="AY277" s="87">
        <v>96.0</v>
      </c>
      <c r="AZ277" s="87">
        <v>12.0</v>
      </c>
      <c r="BA277" s="87">
        <v>76.0</v>
      </c>
      <c r="BB277" s="87">
        <v>34.0</v>
      </c>
      <c r="BC277" s="87">
        <v>1891.0</v>
      </c>
      <c r="BD277" s="87"/>
      <c r="BE277" s="87">
        <v>18866.0</v>
      </c>
      <c r="BF277" s="87">
        <v>608.0</v>
      </c>
      <c r="BG277" s="87">
        <v>10395.0</v>
      </c>
      <c r="BH277" s="87"/>
      <c r="BI277" s="87">
        <v>214082.0</v>
      </c>
      <c r="BJ277" s="87">
        <v>15335.0</v>
      </c>
      <c r="BK277" s="87">
        <v>4430.0</v>
      </c>
      <c r="BL277" s="87">
        <v>5221.0</v>
      </c>
      <c r="BM277" s="87">
        <v>1891.0</v>
      </c>
      <c r="BN277" s="87">
        <v>2989.0</v>
      </c>
      <c r="BO277" s="87">
        <v>3.0</v>
      </c>
      <c r="BP277" s="87">
        <v>20424.0</v>
      </c>
      <c r="BQ277" s="87">
        <v>387.0</v>
      </c>
      <c r="BR277" s="87">
        <v>363.0</v>
      </c>
      <c r="BS277" s="87">
        <v>2419.0</v>
      </c>
      <c r="BT277" s="87">
        <v>134.0</v>
      </c>
      <c r="BU277" s="87">
        <v>109.0</v>
      </c>
      <c r="BV277" s="87">
        <v>645.0</v>
      </c>
      <c r="BW277" s="87">
        <v>488.0</v>
      </c>
      <c r="BX277" s="87">
        <v>4136.0</v>
      </c>
      <c r="BY277" s="87"/>
      <c r="BZ277" s="87">
        <v>3.0</v>
      </c>
      <c r="CA277" s="87">
        <v>647.0</v>
      </c>
      <c r="CB277" s="87">
        <v>97.0</v>
      </c>
      <c r="CC277" s="87"/>
      <c r="CD277" s="87">
        <v>17.0</v>
      </c>
      <c r="CE277" s="87"/>
      <c r="CF277" s="87"/>
      <c r="CG277" s="87">
        <v>504.0</v>
      </c>
      <c r="CH277" s="87">
        <v>29365.0</v>
      </c>
      <c r="CI277" s="87"/>
      <c r="CJ277" s="87">
        <v>10015.0</v>
      </c>
      <c r="CK277" s="87">
        <v>11288.0</v>
      </c>
      <c r="CL277" s="87">
        <v>7503.0</v>
      </c>
      <c r="CM277" s="87">
        <v>164.0</v>
      </c>
      <c r="CN277" s="87">
        <v>5.0</v>
      </c>
      <c r="CO277" s="87">
        <v>772.0</v>
      </c>
      <c r="CP277" s="87"/>
      <c r="CQ277" s="87">
        <v>122.0</v>
      </c>
      <c r="CR277" s="87"/>
      <c r="CS277" s="87"/>
      <c r="CT277" s="87">
        <v>2633.0</v>
      </c>
      <c r="CU277" s="87">
        <v>2107.0</v>
      </c>
      <c r="CV277" s="87">
        <v>462.0</v>
      </c>
      <c r="CW277" s="87">
        <v>1115.0</v>
      </c>
      <c r="CX277" s="87">
        <v>386.0</v>
      </c>
      <c r="CY277" s="87">
        <v>1030.0</v>
      </c>
      <c r="CZ277" s="87">
        <v>79.0</v>
      </c>
      <c r="DA277" s="87">
        <v>32.0</v>
      </c>
      <c r="DB277" s="87">
        <v>3480.0</v>
      </c>
      <c r="DC277" s="87">
        <v>1785.0</v>
      </c>
      <c r="DD277" s="87">
        <v>2393.0</v>
      </c>
      <c r="DE277" s="87">
        <v>389.0</v>
      </c>
      <c r="DF277" s="87">
        <v>1141.0</v>
      </c>
      <c r="DG277" s="87">
        <v>1094.0</v>
      </c>
      <c r="DH277" s="87">
        <v>2267.0</v>
      </c>
      <c r="DI277" s="87">
        <v>2186.0</v>
      </c>
      <c r="DJ277" s="87">
        <v>327.0</v>
      </c>
      <c r="DK277" s="87">
        <v>454.0</v>
      </c>
      <c r="DL277" s="87">
        <v>5474.0</v>
      </c>
      <c r="DM277" s="87">
        <v>1022.0</v>
      </c>
      <c r="DN277" s="87">
        <v>13.0</v>
      </c>
      <c r="DO277" s="87">
        <v>6671.0</v>
      </c>
      <c r="DP277" s="87">
        <v>1953.0</v>
      </c>
      <c r="DQ277" s="87">
        <v>2829.0</v>
      </c>
      <c r="DR277" s="87">
        <v>2523.0</v>
      </c>
      <c r="DS277" s="87">
        <v>63.0</v>
      </c>
      <c r="DT277" s="87">
        <v>98.0</v>
      </c>
      <c r="DU277" s="87">
        <v>72.0</v>
      </c>
      <c r="DV277" s="87">
        <v>301.0</v>
      </c>
      <c r="DW277" s="87">
        <v>364.0</v>
      </c>
      <c r="DX277" s="87">
        <v>1088.0</v>
      </c>
      <c r="DY277" s="87">
        <v>2876.0</v>
      </c>
      <c r="DZ277" s="87">
        <v>1153.0</v>
      </c>
      <c r="EA277" s="87">
        <v>245.0</v>
      </c>
      <c r="EB277" s="87">
        <v>788.0</v>
      </c>
      <c r="EC277" s="87">
        <v>680.0</v>
      </c>
      <c r="ED277" s="87">
        <v>7231.0</v>
      </c>
      <c r="EE277" s="87">
        <v>934.0</v>
      </c>
      <c r="EF277" s="87">
        <v>3.0</v>
      </c>
      <c r="EG277" s="87">
        <v>1246.0</v>
      </c>
      <c r="EH277" s="87">
        <v>2.0</v>
      </c>
      <c r="EI277" s="87">
        <v>459.0</v>
      </c>
      <c r="EJ277" s="87">
        <v>28159.0</v>
      </c>
      <c r="EK277" s="88"/>
      <c r="EL277" s="88"/>
      <c r="EM277" s="88"/>
      <c r="EN277" s="88"/>
      <c r="EO277" s="88"/>
      <c r="EP277" s="88"/>
      <c r="EQ277" s="90"/>
    </row>
    <row r="278" ht="12.0" customHeight="1">
      <c r="A278" s="89">
        <v>1.06341051E8</v>
      </c>
      <c r="B278" s="89" t="s">
        <v>1912</v>
      </c>
      <c r="C278" s="89" t="s">
        <v>1882</v>
      </c>
      <c r="D278" s="89" t="s">
        <v>1913</v>
      </c>
      <c r="E278" s="89" t="s">
        <v>1914</v>
      </c>
      <c r="F278" s="89" t="s">
        <v>1882</v>
      </c>
      <c r="G278" s="89" t="s">
        <v>1915</v>
      </c>
      <c r="H278" s="89" t="s">
        <v>447</v>
      </c>
      <c r="I278" s="89" t="s">
        <v>456</v>
      </c>
      <c r="J278" s="89" t="s">
        <v>605</v>
      </c>
      <c r="K278" s="89" t="s">
        <v>1738</v>
      </c>
      <c r="L278" s="89" t="s">
        <v>511</v>
      </c>
      <c r="M278" s="89" t="s">
        <v>1896</v>
      </c>
      <c r="N278" s="89" t="s">
        <v>441</v>
      </c>
      <c r="O278" s="87">
        <v>33355.0</v>
      </c>
      <c r="P278" s="87"/>
      <c r="Q278" s="87"/>
      <c r="R278" s="87"/>
      <c r="S278" s="87"/>
      <c r="T278" s="87"/>
      <c r="U278" s="87">
        <v>14151.0</v>
      </c>
      <c r="V278" s="87">
        <v>19204.0</v>
      </c>
      <c r="W278" s="87"/>
      <c r="X278" s="87">
        <v>8832.0</v>
      </c>
      <c r="Y278" s="87">
        <v>1355.0</v>
      </c>
      <c r="Z278" s="87">
        <v>3351.0</v>
      </c>
      <c r="AA278" s="87">
        <v>4264.0</v>
      </c>
      <c r="AB278" s="87">
        <v>1896.0</v>
      </c>
      <c r="AC278" s="87">
        <v>2646.0</v>
      </c>
      <c r="AD278" s="87">
        <v>4025.0</v>
      </c>
      <c r="AE278" s="87">
        <v>4022.0</v>
      </c>
      <c r="AF278" s="87">
        <v>2964.0</v>
      </c>
      <c r="AG278" s="87"/>
      <c r="AH278" s="87">
        <v>7832.0</v>
      </c>
      <c r="AI278" s="87">
        <v>24535.0</v>
      </c>
      <c r="AJ278" s="87">
        <v>988.0</v>
      </c>
      <c r="AK278" s="87">
        <v>197.0</v>
      </c>
      <c r="AL278" s="87">
        <v>3504.0</v>
      </c>
      <c r="AM278" s="87">
        <v>794.0</v>
      </c>
      <c r="AN278" s="87">
        <v>3739.0</v>
      </c>
      <c r="AO278" s="87">
        <v>16108.0</v>
      </c>
      <c r="AP278" s="87">
        <v>870.0</v>
      </c>
      <c r="AQ278" s="87">
        <v>7432.0</v>
      </c>
      <c r="AR278" s="87">
        <v>711.0</v>
      </c>
      <c r="AS278" s="87">
        <v>22612.0</v>
      </c>
      <c r="AT278" s="87">
        <v>408.0</v>
      </c>
      <c r="AU278" s="87">
        <v>3728.0</v>
      </c>
      <c r="AV278" s="87">
        <v>537.0</v>
      </c>
      <c r="AW278" s="87">
        <v>83.0</v>
      </c>
      <c r="AX278" s="87">
        <v>17.0</v>
      </c>
      <c r="AY278" s="87">
        <v>11.0</v>
      </c>
      <c r="AZ278" s="87">
        <v>4.0</v>
      </c>
      <c r="BA278" s="87">
        <v>109.0</v>
      </c>
      <c r="BB278" s="87">
        <v>2.0</v>
      </c>
      <c r="BC278" s="87">
        <v>5844.0</v>
      </c>
      <c r="BD278" s="87"/>
      <c r="BE278" s="87">
        <v>12692.0</v>
      </c>
      <c r="BF278" s="87">
        <v>2310.0</v>
      </c>
      <c r="BG278" s="87">
        <v>18353.0</v>
      </c>
      <c r="BH278" s="87"/>
      <c r="BI278" s="87">
        <v>155075.0</v>
      </c>
      <c r="BJ278" s="87">
        <v>9419.0</v>
      </c>
      <c r="BK278" s="87">
        <v>12227.0</v>
      </c>
      <c r="BL278" s="87">
        <v>5864.0</v>
      </c>
      <c r="BM278" s="87">
        <v>5844.0</v>
      </c>
      <c r="BN278" s="87">
        <v>1.0</v>
      </c>
      <c r="BO278" s="87"/>
      <c r="BP278" s="87">
        <v>24892.0</v>
      </c>
      <c r="BQ278" s="87">
        <v>372.0</v>
      </c>
      <c r="BR278" s="87">
        <v>381.0</v>
      </c>
      <c r="BS278" s="87">
        <v>1772.0</v>
      </c>
      <c r="BT278" s="87">
        <v>125.0</v>
      </c>
      <c r="BU278" s="87">
        <v>136.0</v>
      </c>
      <c r="BV278" s="87">
        <v>437.0</v>
      </c>
      <c r="BW278" s="87">
        <v>651.0</v>
      </c>
      <c r="BX278" s="87">
        <v>3999.0</v>
      </c>
      <c r="BY278" s="87"/>
      <c r="BZ278" s="87">
        <v>2.0</v>
      </c>
      <c r="CA278" s="87">
        <v>471.0</v>
      </c>
      <c r="CB278" s="87">
        <v>106.0</v>
      </c>
      <c r="CC278" s="87">
        <v>1.0</v>
      </c>
      <c r="CD278" s="87">
        <v>10.0</v>
      </c>
      <c r="CE278" s="87"/>
      <c r="CF278" s="87"/>
      <c r="CG278" s="87">
        <v>1322.0</v>
      </c>
      <c r="CH278" s="87">
        <v>32033.0</v>
      </c>
      <c r="CI278" s="87"/>
      <c r="CJ278" s="87">
        <v>9554.0</v>
      </c>
      <c r="CK278" s="87">
        <v>12410.0</v>
      </c>
      <c r="CL278" s="87">
        <v>9138.0</v>
      </c>
      <c r="CM278" s="87">
        <v>95.0</v>
      </c>
      <c r="CN278" s="87"/>
      <c r="CO278" s="87">
        <v>1561.0</v>
      </c>
      <c r="CP278" s="87"/>
      <c r="CQ278" s="87">
        <v>511.0</v>
      </c>
      <c r="CR278" s="87">
        <v>86.0</v>
      </c>
      <c r="CS278" s="87"/>
      <c r="CT278" s="87">
        <v>2911.0</v>
      </c>
      <c r="CU278" s="87">
        <v>1103.0</v>
      </c>
      <c r="CV278" s="87">
        <v>257.0</v>
      </c>
      <c r="CW278" s="87">
        <v>1005.0</v>
      </c>
      <c r="CX278" s="87">
        <v>307.0</v>
      </c>
      <c r="CY278" s="87">
        <v>953.0</v>
      </c>
      <c r="CZ278" s="87">
        <v>18.0</v>
      </c>
      <c r="DA278" s="87">
        <v>31.0</v>
      </c>
      <c r="DB278" s="87">
        <v>4528.0</v>
      </c>
      <c r="DC278" s="87">
        <v>1877.0</v>
      </c>
      <c r="DD278" s="87">
        <v>2348.0</v>
      </c>
      <c r="DE278" s="87">
        <v>360.0</v>
      </c>
      <c r="DF278" s="87">
        <v>1455.0</v>
      </c>
      <c r="DG278" s="87">
        <v>816.0</v>
      </c>
      <c r="DH278" s="87">
        <v>6305.0</v>
      </c>
      <c r="DI278" s="87">
        <v>6221.0</v>
      </c>
      <c r="DJ278" s="87">
        <v>267.0</v>
      </c>
      <c r="DK278" s="87">
        <v>454.0</v>
      </c>
      <c r="DL278" s="87">
        <v>1629.0</v>
      </c>
      <c r="DM278" s="87">
        <v>510.0</v>
      </c>
      <c r="DN278" s="87"/>
      <c r="DO278" s="87">
        <v>3984.0</v>
      </c>
      <c r="DP278" s="87">
        <v>5795.0</v>
      </c>
      <c r="DQ278" s="87">
        <v>3527.0</v>
      </c>
      <c r="DR278" s="87">
        <v>2393.0</v>
      </c>
      <c r="DS278" s="87">
        <v>31.0</v>
      </c>
      <c r="DT278" s="87">
        <v>33.0</v>
      </c>
      <c r="DU278" s="87">
        <v>4.0</v>
      </c>
      <c r="DV278" s="87">
        <v>289.0</v>
      </c>
      <c r="DW278" s="87">
        <v>189.0</v>
      </c>
      <c r="DX278" s="87">
        <v>443.0</v>
      </c>
      <c r="DY278" s="87">
        <v>1992.0</v>
      </c>
      <c r="DZ278" s="87">
        <v>800.0</v>
      </c>
      <c r="EA278" s="87">
        <v>116.0</v>
      </c>
      <c r="EB278" s="87">
        <v>462.0</v>
      </c>
      <c r="EC278" s="87">
        <v>387.0</v>
      </c>
      <c r="ED278" s="87">
        <v>12235.0</v>
      </c>
      <c r="EE278" s="87">
        <v>675.0</v>
      </c>
      <c r="EF278" s="87">
        <v>21.0</v>
      </c>
      <c r="EG278" s="87">
        <v>1106.0</v>
      </c>
      <c r="EH278" s="87">
        <v>3.0</v>
      </c>
      <c r="EI278" s="87">
        <v>171.0</v>
      </c>
      <c r="EJ278" s="87">
        <v>32054.0</v>
      </c>
      <c r="EK278" s="88"/>
      <c r="EL278" s="88"/>
      <c r="EM278" s="88"/>
      <c r="EN278" s="88"/>
      <c r="EO278" s="88"/>
      <c r="EP278" s="88"/>
      <c r="EQ278" s="90"/>
    </row>
    <row r="279" ht="12.0" customHeight="1">
      <c r="A279" s="89">
        <v>1.06342344E8</v>
      </c>
      <c r="B279" s="89" t="s">
        <v>1916</v>
      </c>
      <c r="C279" s="89" t="s">
        <v>1882</v>
      </c>
      <c r="D279" s="89" t="s">
        <v>1917</v>
      </c>
      <c r="E279" s="89" t="s">
        <v>1918</v>
      </c>
      <c r="F279" s="89" t="s">
        <v>1882</v>
      </c>
      <c r="G279" s="89" t="s">
        <v>1905</v>
      </c>
      <c r="H279" s="89" t="s">
        <v>447</v>
      </c>
      <c r="I279" s="89" t="s">
        <v>456</v>
      </c>
      <c r="J279" s="89" t="s">
        <v>469</v>
      </c>
      <c r="K279" s="89" t="s">
        <v>1738</v>
      </c>
      <c r="L279" s="89" t="s">
        <v>438</v>
      </c>
      <c r="M279" s="89" t="s">
        <v>1906</v>
      </c>
      <c r="N279" s="89" t="s">
        <v>441</v>
      </c>
      <c r="O279" s="87">
        <v>18504.0</v>
      </c>
      <c r="P279" s="87"/>
      <c r="Q279" s="87"/>
      <c r="R279" s="87"/>
      <c r="S279" s="87"/>
      <c r="T279" s="87"/>
      <c r="U279" s="87">
        <v>7991.0</v>
      </c>
      <c r="V279" s="87">
        <v>10513.0</v>
      </c>
      <c r="W279" s="87"/>
      <c r="X279" s="87">
        <v>2871.0</v>
      </c>
      <c r="Y279" s="87">
        <v>178.0</v>
      </c>
      <c r="Z279" s="87">
        <v>1593.0</v>
      </c>
      <c r="AA279" s="87">
        <v>2562.0</v>
      </c>
      <c r="AB279" s="87">
        <v>1389.0</v>
      </c>
      <c r="AC279" s="87">
        <v>1702.0</v>
      </c>
      <c r="AD279" s="87">
        <v>2689.0</v>
      </c>
      <c r="AE279" s="87">
        <v>2824.0</v>
      </c>
      <c r="AF279" s="87">
        <v>2693.0</v>
      </c>
      <c r="AG279" s="87">
        <v>3.0</v>
      </c>
      <c r="AH279" s="87">
        <v>3954.0</v>
      </c>
      <c r="AI279" s="87">
        <v>14395.0</v>
      </c>
      <c r="AJ279" s="87">
        <v>155.0</v>
      </c>
      <c r="AK279" s="87">
        <v>120.0</v>
      </c>
      <c r="AL279" s="87">
        <v>3795.0</v>
      </c>
      <c r="AM279" s="87">
        <v>394.0</v>
      </c>
      <c r="AN279" s="87">
        <v>3059.0</v>
      </c>
      <c r="AO279" s="87">
        <v>6928.0</v>
      </c>
      <c r="AP279" s="87">
        <v>152.0</v>
      </c>
      <c r="AQ279" s="87">
        <v>3580.0</v>
      </c>
      <c r="AR279" s="87">
        <v>476.0</v>
      </c>
      <c r="AS279" s="87">
        <v>13886.0</v>
      </c>
      <c r="AT279" s="87">
        <v>753.0</v>
      </c>
      <c r="AU279" s="87">
        <v>285.0</v>
      </c>
      <c r="AV279" s="87">
        <v>334.0</v>
      </c>
      <c r="AW279" s="87">
        <v>468.0</v>
      </c>
      <c r="AX279" s="87"/>
      <c r="AY279" s="87"/>
      <c r="AZ279" s="87">
        <v>10.0</v>
      </c>
      <c r="BA279" s="87">
        <v>32.0</v>
      </c>
      <c r="BB279" s="87"/>
      <c r="BC279" s="87">
        <v>2736.0</v>
      </c>
      <c r="BD279" s="87"/>
      <c r="BE279" s="87">
        <v>10983.0</v>
      </c>
      <c r="BF279" s="87">
        <v>75.0</v>
      </c>
      <c r="BG279" s="87">
        <v>7446.0</v>
      </c>
      <c r="BH279" s="87"/>
      <c r="BI279" s="87">
        <v>76930.0</v>
      </c>
      <c r="BJ279" s="87">
        <v>1716.0</v>
      </c>
      <c r="BK279" s="87">
        <v>11571.0</v>
      </c>
      <c r="BL279" s="87">
        <v>1926.0</v>
      </c>
      <c r="BM279" s="87">
        <v>2736.0</v>
      </c>
      <c r="BN279" s="87">
        <v>555.0</v>
      </c>
      <c r="BO279" s="87"/>
      <c r="BP279" s="87">
        <v>12263.0</v>
      </c>
      <c r="BQ279" s="87">
        <v>472.0</v>
      </c>
      <c r="BR279" s="87">
        <v>42.0</v>
      </c>
      <c r="BS279" s="87">
        <v>1528.0</v>
      </c>
      <c r="BT279" s="87"/>
      <c r="BU279" s="87">
        <v>30.0</v>
      </c>
      <c r="BV279" s="87">
        <v>274.0</v>
      </c>
      <c r="BW279" s="87">
        <v>653.0</v>
      </c>
      <c r="BX279" s="87">
        <v>2824.0</v>
      </c>
      <c r="BY279" s="87"/>
      <c r="BZ279" s="87"/>
      <c r="CA279" s="87">
        <v>379.0</v>
      </c>
      <c r="CB279" s="87">
        <v>38.0</v>
      </c>
      <c r="CC279" s="87"/>
      <c r="CD279" s="87">
        <v>1.0</v>
      </c>
      <c r="CE279" s="87"/>
      <c r="CF279" s="87"/>
      <c r="CG279" s="87">
        <v>1763.0</v>
      </c>
      <c r="CH279" s="87">
        <v>16741.0</v>
      </c>
      <c r="CI279" s="87"/>
      <c r="CJ279" s="87">
        <v>7321.0</v>
      </c>
      <c r="CK279" s="87">
        <v>3159.0</v>
      </c>
      <c r="CL279" s="87">
        <v>7646.0</v>
      </c>
      <c r="CM279" s="87">
        <v>19.0</v>
      </c>
      <c r="CN279" s="87"/>
      <c r="CO279" s="87">
        <v>29.0</v>
      </c>
      <c r="CP279" s="87"/>
      <c r="CQ279" s="87">
        <v>330.0</v>
      </c>
      <c r="CR279" s="87"/>
      <c r="CS279" s="87"/>
      <c r="CT279" s="87">
        <v>2925.0</v>
      </c>
      <c r="CU279" s="87">
        <v>753.0</v>
      </c>
      <c r="CV279" s="87">
        <v>104.0</v>
      </c>
      <c r="CW279" s="87">
        <v>851.0</v>
      </c>
      <c r="CX279" s="87">
        <v>166.0</v>
      </c>
      <c r="CY279" s="87">
        <v>304.0</v>
      </c>
      <c r="CZ279" s="87">
        <v>11.0</v>
      </c>
      <c r="DA279" s="87">
        <v>5.0</v>
      </c>
      <c r="DB279" s="87">
        <v>2283.0</v>
      </c>
      <c r="DC279" s="87">
        <v>948.0</v>
      </c>
      <c r="DD279" s="87">
        <v>1657.0</v>
      </c>
      <c r="DE279" s="87">
        <v>194.0</v>
      </c>
      <c r="DF279" s="87">
        <v>288.0</v>
      </c>
      <c r="DG279" s="87">
        <v>563.0</v>
      </c>
      <c r="DH279" s="87">
        <v>2991.0</v>
      </c>
      <c r="DI279" s="87">
        <v>2780.0</v>
      </c>
      <c r="DJ279" s="87">
        <v>15.0</v>
      </c>
      <c r="DK279" s="87">
        <v>183.0</v>
      </c>
      <c r="DL279" s="87">
        <v>1401.0</v>
      </c>
      <c r="DM279" s="87">
        <v>82.0</v>
      </c>
      <c r="DN279" s="87"/>
      <c r="DO279" s="87">
        <v>5132.0</v>
      </c>
      <c r="DP279" s="87">
        <v>2723.0</v>
      </c>
      <c r="DQ279" s="87">
        <v>1327.0</v>
      </c>
      <c r="DR279" s="87">
        <v>1946.0</v>
      </c>
      <c r="DS279" s="87">
        <v>9.0</v>
      </c>
      <c r="DT279" s="87">
        <v>3.0</v>
      </c>
      <c r="DU279" s="87">
        <v>6.0</v>
      </c>
      <c r="DV279" s="87">
        <v>585.0</v>
      </c>
      <c r="DW279" s="87">
        <v>80.0</v>
      </c>
      <c r="DX279" s="87">
        <v>326.0</v>
      </c>
      <c r="DY279" s="87">
        <v>947.0</v>
      </c>
      <c r="DZ279" s="87">
        <v>190.0</v>
      </c>
      <c r="EA279" s="87">
        <v>119.0</v>
      </c>
      <c r="EB279" s="87">
        <v>498.0</v>
      </c>
      <c r="EC279" s="87">
        <v>515.0</v>
      </c>
      <c r="ED279" s="87">
        <v>3465.0</v>
      </c>
      <c r="EE279" s="87">
        <v>633.0</v>
      </c>
      <c r="EF279" s="87">
        <v>4.0</v>
      </c>
      <c r="EG279" s="87">
        <v>251.0</v>
      </c>
      <c r="EH279" s="87"/>
      <c r="EI279" s="87">
        <v>48.0</v>
      </c>
      <c r="EJ279" s="87">
        <v>18201.0</v>
      </c>
      <c r="EK279" s="88"/>
      <c r="EL279" s="88"/>
      <c r="EM279" s="88"/>
      <c r="EN279" s="88"/>
      <c r="EO279" s="88"/>
      <c r="EP279" s="88"/>
      <c r="EQ279" s="90"/>
    </row>
    <row r="280" ht="12.0" customHeight="1">
      <c r="A280" s="89">
        <v>1.06342392E8</v>
      </c>
      <c r="B280" s="89" t="s">
        <v>1919</v>
      </c>
      <c r="C280" s="89" t="s">
        <v>1882</v>
      </c>
      <c r="D280" s="89" t="s">
        <v>1920</v>
      </c>
      <c r="E280" s="89" t="s">
        <v>1921</v>
      </c>
      <c r="F280" s="89" t="s">
        <v>1882</v>
      </c>
      <c r="G280" s="89" t="s">
        <v>1905</v>
      </c>
      <c r="H280" s="89" t="s">
        <v>503</v>
      </c>
      <c r="I280" s="89" t="s">
        <v>456</v>
      </c>
      <c r="J280" s="89" t="s">
        <v>457</v>
      </c>
      <c r="K280" s="89" t="s">
        <v>1738</v>
      </c>
      <c r="L280" s="89" t="s">
        <v>438</v>
      </c>
      <c r="M280" s="89" t="s">
        <v>1906</v>
      </c>
      <c r="N280" s="89" t="s">
        <v>441</v>
      </c>
      <c r="O280" s="87"/>
      <c r="P280" s="87"/>
      <c r="Q280" s="87">
        <v>5325.0</v>
      </c>
      <c r="R280" s="87"/>
      <c r="S280" s="87"/>
      <c r="T280" s="87"/>
      <c r="U280" s="87">
        <v>2668.0</v>
      </c>
      <c r="V280" s="87">
        <v>2656.0</v>
      </c>
      <c r="W280" s="87">
        <v>1.0</v>
      </c>
      <c r="X280" s="87"/>
      <c r="Y280" s="87">
        <v>1131.0</v>
      </c>
      <c r="Z280" s="87">
        <v>1468.0</v>
      </c>
      <c r="AA280" s="87">
        <v>1214.0</v>
      </c>
      <c r="AB280" s="87">
        <v>734.0</v>
      </c>
      <c r="AC280" s="87">
        <v>530.0</v>
      </c>
      <c r="AD280" s="87">
        <v>226.0</v>
      </c>
      <c r="AE280" s="87">
        <v>21.0</v>
      </c>
      <c r="AF280" s="87"/>
      <c r="AG280" s="87">
        <v>1.0</v>
      </c>
      <c r="AH280" s="87">
        <v>1020.0</v>
      </c>
      <c r="AI280" s="87">
        <v>4005.0</v>
      </c>
      <c r="AJ280" s="87">
        <v>300.0</v>
      </c>
      <c r="AK280" s="87">
        <v>31.0</v>
      </c>
      <c r="AL280" s="87">
        <v>363.0</v>
      </c>
      <c r="AM280" s="87">
        <v>18.0</v>
      </c>
      <c r="AN280" s="87">
        <v>996.0</v>
      </c>
      <c r="AO280" s="87">
        <v>2561.0</v>
      </c>
      <c r="AP280" s="87">
        <v>1.0</v>
      </c>
      <c r="AQ280" s="87">
        <v>1327.0</v>
      </c>
      <c r="AR280" s="87">
        <v>28.0</v>
      </c>
      <c r="AS280" s="87">
        <v>228.0</v>
      </c>
      <c r="AT280" s="87">
        <v>4.0</v>
      </c>
      <c r="AU280" s="87">
        <v>5048.0</v>
      </c>
      <c r="AV280" s="87">
        <v>2.0</v>
      </c>
      <c r="AW280" s="87">
        <v>43.0</v>
      </c>
      <c r="AX280" s="87"/>
      <c r="AY280" s="87"/>
      <c r="AZ280" s="87"/>
      <c r="BA280" s="87"/>
      <c r="BB280" s="87"/>
      <c r="BC280" s="87"/>
      <c r="BD280" s="87"/>
      <c r="BE280" s="87"/>
      <c r="BF280" s="87">
        <v>5085.0</v>
      </c>
      <c r="BG280" s="87">
        <v>240.0</v>
      </c>
      <c r="BH280" s="87"/>
      <c r="BI280" s="87">
        <v>58079.0</v>
      </c>
      <c r="BJ280" s="87">
        <v>15.0</v>
      </c>
      <c r="BK280" s="87">
        <v>5310.0</v>
      </c>
      <c r="BL280" s="87"/>
      <c r="BM280" s="87"/>
      <c r="BN280" s="87"/>
      <c r="BO280" s="87"/>
      <c r="BP280" s="87">
        <v>4801.0</v>
      </c>
      <c r="BQ280" s="87">
        <v>25.0</v>
      </c>
      <c r="BR280" s="87">
        <v>2.0</v>
      </c>
      <c r="BS280" s="87"/>
      <c r="BT280" s="87">
        <v>283.0</v>
      </c>
      <c r="BU280" s="87"/>
      <c r="BV280" s="87">
        <v>213.0</v>
      </c>
      <c r="BW280" s="87"/>
      <c r="BX280" s="87"/>
      <c r="BY280" s="87"/>
      <c r="BZ280" s="87"/>
      <c r="CA280" s="87"/>
      <c r="CB280" s="87"/>
      <c r="CC280" s="87"/>
      <c r="CD280" s="87"/>
      <c r="CE280" s="87">
        <v>1.0</v>
      </c>
      <c r="CF280" s="87"/>
      <c r="CG280" s="87"/>
      <c r="CH280" s="87">
        <v>5325.0</v>
      </c>
      <c r="CI280" s="87"/>
      <c r="CJ280" s="87">
        <v>517.0</v>
      </c>
      <c r="CK280" s="87">
        <v>2047.0</v>
      </c>
      <c r="CL280" s="87">
        <v>1944.0</v>
      </c>
      <c r="CM280" s="87"/>
      <c r="CN280" s="87">
        <v>733.0</v>
      </c>
      <c r="CO280" s="87">
        <v>23.0</v>
      </c>
      <c r="CP280" s="87">
        <v>53.0</v>
      </c>
      <c r="CQ280" s="87">
        <v>4.0</v>
      </c>
      <c r="CR280" s="87">
        <v>4.0</v>
      </c>
      <c r="CS280" s="87"/>
      <c r="CT280" s="87"/>
      <c r="CU280" s="87"/>
      <c r="CV280" s="87"/>
      <c r="CW280" s="87"/>
      <c r="CX280" s="87">
        <v>5322.0</v>
      </c>
      <c r="CY280" s="87">
        <v>1.0</v>
      </c>
      <c r="CZ280" s="87"/>
      <c r="DA280" s="87"/>
      <c r="DB280" s="87"/>
      <c r="DC280" s="87"/>
      <c r="DD280" s="87"/>
      <c r="DE280" s="87"/>
      <c r="DF280" s="87"/>
      <c r="DG280" s="87"/>
      <c r="DH280" s="87"/>
      <c r="DI280" s="87"/>
      <c r="DJ280" s="87"/>
      <c r="DK280" s="87">
        <v>2.0</v>
      </c>
      <c r="DL280" s="87"/>
      <c r="DM280" s="87"/>
      <c r="DN280" s="87"/>
      <c r="DO280" s="87">
        <v>894.0</v>
      </c>
      <c r="DP280" s="87"/>
      <c r="DQ280" s="87"/>
      <c r="DR280" s="87"/>
      <c r="DS280" s="87"/>
      <c r="DT280" s="87"/>
      <c r="DU280" s="87"/>
      <c r="DV280" s="87"/>
      <c r="DW280" s="87"/>
      <c r="DX280" s="87"/>
      <c r="DY280" s="87"/>
      <c r="DZ280" s="87"/>
      <c r="EA280" s="87"/>
      <c r="EB280" s="87"/>
      <c r="EC280" s="87"/>
      <c r="ED280" s="87">
        <v>4431.0</v>
      </c>
      <c r="EE280" s="87"/>
      <c r="EF280" s="87">
        <v>1.0</v>
      </c>
      <c r="EG280" s="87">
        <v>1183.0</v>
      </c>
      <c r="EH280" s="87"/>
      <c r="EI280" s="87">
        <v>22.0</v>
      </c>
      <c r="EJ280" s="87">
        <v>4119.0</v>
      </c>
      <c r="EK280" s="88"/>
      <c r="EL280" s="88"/>
      <c r="EM280" s="88"/>
      <c r="EN280" s="88"/>
      <c r="EO280" s="88"/>
      <c r="EP280" s="88"/>
      <c r="EQ280" s="90"/>
    </row>
    <row r="281" ht="12.0" customHeight="1">
      <c r="A281" s="89">
        <v>1.06344011E8</v>
      </c>
      <c r="B281" s="89" t="s">
        <v>1922</v>
      </c>
      <c r="C281" s="89" t="s">
        <v>1882</v>
      </c>
      <c r="D281" s="89" t="s">
        <v>1923</v>
      </c>
      <c r="E281" s="89" t="s">
        <v>1924</v>
      </c>
      <c r="F281" s="89" t="s">
        <v>1882</v>
      </c>
      <c r="G281" s="89" t="s">
        <v>1910</v>
      </c>
      <c r="H281" s="89" t="s">
        <v>435</v>
      </c>
      <c r="I281" s="89" t="s">
        <v>456</v>
      </c>
      <c r="J281" s="89" t="s">
        <v>463</v>
      </c>
      <c r="K281" s="89" t="s">
        <v>1738</v>
      </c>
      <c r="L281" s="89" t="s">
        <v>511</v>
      </c>
      <c r="M281" s="89" t="s">
        <v>1911</v>
      </c>
      <c r="N281" s="89" t="s">
        <v>441</v>
      </c>
      <c r="O281" s="87"/>
      <c r="P281" s="87"/>
      <c r="Q281" s="87">
        <v>245.0</v>
      </c>
      <c r="R281" s="87"/>
      <c r="S281" s="87"/>
      <c r="T281" s="87"/>
      <c r="U281" s="87">
        <v>145.0</v>
      </c>
      <c r="V281" s="87">
        <v>100.0</v>
      </c>
      <c r="W281" s="87"/>
      <c r="X281" s="87"/>
      <c r="Y281" s="87"/>
      <c r="Z281" s="87">
        <v>42.0</v>
      </c>
      <c r="AA281" s="87">
        <v>85.0</v>
      </c>
      <c r="AB281" s="87">
        <v>51.0</v>
      </c>
      <c r="AC281" s="87">
        <v>31.0</v>
      </c>
      <c r="AD281" s="87">
        <v>28.0</v>
      </c>
      <c r="AE281" s="87"/>
      <c r="AF281" s="87"/>
      <c r="AG281" s="87">
        <v>8.0</v>
      </c>
      <c r="AH281" s="87">
        <v>49.0</v>
      </c>
      <c r="AI281" s="87">
        <v>186.0</v>
      </c>
      <c r="AJ281" s="87">
        <v>10.0</v>
      </c>
      <c r="AK281" s="87"/>
      <c r="AL281" s="87"/>
      <c r="AM281" s="87"/>
      <c r="AN281" s="87">
        <v>57.0</v>
      </c>
      <c r="AO281" s="87">
        <v>111.0</v>
      </c>
      <c r="AP281" s="87">
        <v>12.0</v>
      </c>
      <c r="AQ281" s="87">
        <v>39.0</v>
      </c>
      <c r="AR281" s="87">
        <v>26.0</v>
      </c>
      <c r="AS281" s="87">
        <v>2.0</v>
      </c>
      <c r="AT281" s="87">
        <v>5.0</v>
      </c>
      <c r="AU281" s="87">
        <v>221.0</v>
      </c>
      <c r="AV281" s="87"/>
      <c r="AW281" s="87">
        <v>2.0</v>
      </c>
      <c r="AX281" s="87"/>
      <c r="AY281" s="87"/>
      <c r="AZ281" s="87"/>
      <c r="BA281" s="87">
        <v>15.0</v>
      </c>
      <c r="BB281" s="87"/>
      <c r="BC281" s="87"/>
      <c r="BD281" s="87"/>
      <c r="BE281" s="87"/>
      <c r="BF281" s="87">
        <v>221.0</v>
      </c>
      <c r="BG281" s="87">
        <v>24.0</v>
      </c>
      <c r="BH281" s="87"/>
      <c r="BI281" s="87">
        <v>14893.0</v>
      </c>
      <c r="BJ281" s="87">
        <v>1.0</v>
      </c>
      <c r="BK281" s="87">
        <v>244.0</v>
      </c>
      <c r="BL281" s="87"/>
      <c r="BM281" s="87"/>
      <c r="BN281" s="87"/>
      <c r="BO281" s="87"/>
      <c r="BP281" s="87">
        <v>145.0</v>
      </c>
      <c r="BQ281" s="87">
        <v>15.0</v>
      </c>
      <c r="BR281" s="87"/>
      <c r="BS281" s="87">
        <v>11.0</v>
      </c>
      <c r="BT281" s="87">
        <v>55.0</v>
      </c>
      <c r="BU281" s="87">
        <v>3.0</v>
      </c>
      <c r="BV281" s="87">
        <v>9.0</v>
      </c>
      <c r="BW281" s="87"/>
      <c r="BX281" s="87"/>
      <c r="BY281" s="87"/>
      <c r="BZ281" s="87"/>
      <c r="CA281" s="87"/>
      <c r="CB281" s="87">
        <v>7.0</v>
      </c>
      <c r="CC281" s="87"/>
      <c r="CD281" s="87"/>
      <c r="CE281" s="87"/>
      <c r="CF281" s="87"/>
      <c r="CG281" s="87"/>
      <c r="CH281" s="87">
        <v>245.0</v>
      </c>
      <c r="CI281" s="87"/>
      <c r="CJ281" s="87"/>
      <c r="CK281" s="87"/>
      <c r="CL281" s="87"/>
      <c r="CM281" s="87"/>
      <c r="CN281" s="87"/>
      <c r="CO281" s="87"/>
      <c r="CP281" s="87"/>
      <c r="CQ281" s="87"/>
      <c r="CR281" s="87">
        <v>245.0</v>
      </c>
      <c r="CS281" s="87"/>
      <c r="CT281" s="87"/>
      <c r="CU281" s="87"/>
      <c r="CV281" s="87"/>
      <c r="CW281" s="87"/>
      <c r="CX281" s="87">
        <v>245.0</v>
      </c>
      <c r="CY281" s="87"/>
      <c r="CZ281" s="87"/>
      <c r="DA281" s="87"/>
      <c r="DB281" s="87"/>
      <c r="DC281" s="87"/>
      <c r="DD281" s="87"/>
      <c r="DE281" s="87"/>
      <c r="DF281" s="87"/>
      <c r="DG281" s="87"/>
      <c r="DH281" s="87"/>
      <c r="DI281" s="87"/>
      <c r="DJ281" s="87"/>
      <c r="DK281" s="87"/>
      <c r="DL281" s="87"/>
      <c r="DM281" s="87"/>
      <c r="DN281" s="87"/>
      <c r="DO281" s="87">
        <v>245.0</v>
      </c>
      <c r="DP281" s="87"/>
      <c r="DQ281" s="87"/>
      <c r="DR281" s="87"/>
      <c r="DS281" s="87"/>
      <c r="DT281" s="87"/>
      <c r="DU281" s="87"/>
      <c r="DV281" s="87"/>
      <c r="DW281" s="87"/>
      <c r="DX281" s="87"/>
      <c r="DY281" s="87"/>
      <c r="DZ281" s="87"/>
      <c r="EA281" s="87"/>
      <c r="EB281" s="87"/>
      <c r="EC281" s="87"/>
      <c r="ED281" s="87"/>
      <c r="EE281" s="87"/>
      <c r="EF281" s="87"/>
      <c r="EG281" s="87">
        <v>97.0</v>
      </c>
      <c r="EH281" s="87"/>
      <c r="EI281" s="87">
        <v>2.0</v>
      </c>
      <c r="EJ281" s="87">
        <v>146.0</v>
      </c>
      <c r="EK281" s="88"/>
      <c r="EL281" s="88"/>
      <c r="EM281" s="88"/>
      <c r="EN281" s="88"/>
      <c r="EO281" s="88"/>
      <c r="EP281" s="88"/>
      <c r="EQ281" s="90"/>
    </row>
    <row r="282" ht="12.0" customHeight="1">
      <c r="A282" s="89">
        <v>1.06344017E8</v>
      </c>
      <c r="B282" s="89" t="s">
        <v>1925</v>
      </c>
      <c r="C282" s="89" t="s">
        <v>1882</v>
      </c>
      <c r="D282" s="89" t="s">
        <v>1926</v>
      </c>
      <c r="E282" s="89" t="s">
        <v>1927</v>
      </c>
      <c r="F282" s="89" t="s">
        <v>1882</v>
      </c>
      <c r="G282" s="89" t="s">
        <v>1928</v>
      </c>
      <c r="H282" s="89" t="s">
        <v>447</v>
      </c>
      <c r="I282" s="89" t="s">
        <v>456</v>
      </c>
      <c r="J282" s="89" t="s">
        <v>463</v>
      </c>
      <c r="K282" s="89" t="s">
        <v>1738</v>
      </c>
      <c r="L282" s="89" t="s">
        <v>511</v>
      </c>
      <c r="M282" s="89" t="s">
        <v>1929</v>
      </c>
      <c r="N282" s="89" t="s">
        <v>441</v>
      </c>
      <c r="O282" s="87"/>
      <c r="P282" s="87"/>
      <c r="Q282" s="87">
        <v>2343.0</v>
      </c>
      <c r="R282" s="87"/>
      <c r="S282" s="87"/>
      <c r="T282" s="87"/>
      <c r="U282" s="87">
        <v>981.0</v>
      </c>
      <c r="V282" s="87">
        <v>1362.0</v>
      </c>
      <c r="W282" s="87"/>
      <c r="X282" s="87">
        <v>27.0</v>
      </c>
      <c r="Y282" s="87">
        <v>959.0</v>
      </c>
      <c r="Z282" s="87">
        <v>414.0</v>
      </c>
      <c r="AA282" s="87">
        <v>344.0</v>
      </c>
      <c r="AB282" s="87">
        <v>222.0</v>
      </c>
      <c r="AC282" s="87">
        <v>206.0</v>
      </c>
      <c r="AD282" s="87">
        <v>124.0</v>
      </c>
      <c r="AE282" s="87">
        <v>39.0</v>
      </c>
      <c r="AF282" s="87"/>
      <c r="AG282" s="87">
        <v>8.0</v>
      </c>
      <c r="AH282" s="87">
        <v>522.0</v>
      </c>
      <c r="AI282" s="87">
        <v>1661.0</v>
      </c>
      <c r="AJ282" s="87">
        <v>160.0</v>
      </c>
      <c r="AK282" s="87">
        <v>19.0</v>
      </c>
      <c r="AL282" s="87">
        <v>112.0</v>
      </c>
      <c r="AM282" s="87">
        <v>27.0</v>
      </c>
      <c r="AN282" s="87">
        <v>246.0</v>
      </c>
      <c r="AO282" s="87">
        <v>1327.0</v>
      </c>
      <c r="AP282" s="87">
        <v>155.0</v>
      </c>
      <c r="AQ282" s="87">
        <v>374.0</v>
      </c>
      <c r="AR282" s="87">
        <v>83.0</v>
      </c>
      <c r="AS282" s="87">
        <v>383.0</v>
      </c>
      <c r="AT282" s="87">
        <v>7.0</v>
      </c>
      <c r="AU282" s="87">
        <v>1928.0</v>
      </c>
      <c r="AV282" s="87">
        <v>1.0</v>
      </c>
      <c r="AW282" s="87">
        <v>21.0</v>
      </c>
      <c r="AX282" s="87">
        <v>2.0</v>
      </c>
      <c r="AY282" s="87">
        <v>1.0</v>
      </c>
      <c r="AZ282" s="87"/>
      <c r="BA282" s="87"/>
      <c r="BB282" s="87"/>
      <c r="BC282" s="87"/>
      <c r="BD282" s="87"/>
      <c r="BE282" s="87"/>
      <c r="BF282" s="87">
        <v>1706.0</v>
      </c>
      <c r="BG282" s="87">
        <v>637.0</v>
      </c>
      <c r="BH282" s="87"/>
      <c r="BI282" s="87">
        <v>18501.0</v>
      </c>
      <c r="BJ282" s="87">
        <v>4.0</v>
      </c>
      <c r="BK282" s="87">
        <v>2168.0</v>
      </c>
      <c r="BL282" s="87">
        <v>171.0</v>
      </c>
      <c r="BM282" s="87"/>
      <c r="BN282" s="87"/>
      <c r="BO282" s="87"/>
      <c r="BP282" s="87">
        <v>2147.0</v>
      </c>
      <c r="BQ282" s="87">
        <v>23.0</v>
      </c>
      <c r="BR282" s="87">
        <v>3.0</v>
      </c>
      <c r="BS282" s="87">
        <v>2.0</v>
      </c>
      <c r="BT282" s="87">
        <v>47.0</v>
      </c>
      <c r="BU282" s="87">
        <v>5.0</v>
      </c>
      <c r="BV282" s="87">
        <v>95.0</v>
      </c>
      <c r="BW282" s="87"/>
      <c r="BX282" s="87"/>
      <c r="BY282" s="87"/>
      <c r="BZ282" s="87"/>
      <c r="CA282" s="87">
        <v>1.0</v>
      </c>
      <c r="CB282" s="87">
        <v>5.0</v>
      </c>
      <c r="CC282" s="87"/>
      <c r="CD282" s="87">
        <v>15.0</v>
      </c>
      <c r="CE282" s="87"/>
      <c r="CF282" s="87"/>
      <c r="CG282" s="87">
        <v>6.0</v>
      </c>
      <c r="CH282" s="87">
        <v>2337.0</v>
      </c>
      <c r="CI282" s="87"/>
      <c r="CJ282" s="87">
        <v>278.0</v>
      </c>
      <c r="CK282" s="87">
        <v>655.0</v>
      </c>
      <c r="CL282" s="87">
        <v>712.0</v>
      </c>
      <c r="CM282" s="87">
        <v>1.0</v>
      </c>
      <c r="CN282" s="87"/>
      <c r="CO282" s="87">
        <v>663.0</v>
      </c>
      <c r="CP282" s="87"/>
      <c r="CQ282" s="87">
        <v>33.0</v>
      </c>
      <c r="CR282" s="87">
        <v>1.0</v>
      </c>
      <c r="CS282" s="87"/>
      <c r="CT282" s="87"/>
      <c r="CU282" s="87"/>
      <c r="CV282" s="87"/>
      <c r="CW282" s="87"/>
      <c r="CX282" s="87">
        <v>2326.0</v>
      </c>
      <c r="CY282" s="87"/>
      <c r="CZ282" s="87"/>
      <c r="DA282" s="87"/>
      <c r="DB282" s="87"/>
      <c r="DC282" s="87"/>
      <c r="DD282" s="87"/>
      <c r="DE282" s="87"/>
      <c r="DF282" s="87"/>
      <c r="DG282" s="87"/>
      <c r="DH282" s="87">
        <v>16.0</v>
      </c>
      <c r="DI282" s="87"/>
      <c r="DJ282" s="87"/>
      <c r="DK282" s="87">
        <v>1.0</v>
      </c>
      <c r="DL282" s="87"/>
      <c r="DM282" s="87"/>
      <c r="DN282" s="87"/>
      <c r="DO282" s="87">
        <v>105.0</v>
      </c>
      <c r="DP282" s="87"/>
      <c r="DQ282" s="87"/>
      <c r="DR282" s="87"/>
      <c r="DS282" s="87">
        <v>1.0</v>
      </c>
      <c r="DT282" s="87"/>
      <c r="DU282" s="87"/>
      <c r="DV282" s="87"/>
      <c r="DW282" s="87"/>
      <c r="DX282" s="87">
        <v>1.0</v>
      </c>
      <c r="DY282" s="87"/>
      <c r="DZ282" s="87"/>
      <c r="EA282" s="87"/>
      <c r="EB282" s="87"/>
      <c r="EC282" s="87"/>
      <c r="ED282" s="87">
        <v>2222.0</v>
      </c>
      <c r="EE282" s="87">
        <v>14.0</v>
      </c>
      <c r="EF282" s="87">
        <v>30.0</v>
      </c>
      <c r="EG282" s="87">
        <v>381.0</v>
      </c>
      <c r="EH282" s="87"/>
      <c r="EI282" s="87">
        <v>20.0</v>
      </c>
      <c r="EJ282" s="87">
        <v>1912.0</v>
      </c>
      <c r="EK282" s="88"/>
      <c r="EL282" s="88"/>
      <c r="EM282" s="88"/>
      <c r="EN282" s="88"/>
      <c r="EO282" s="88"/>
      <c r="EP282" s="88"/>
      <c r="EQ282" s="90"/>
    </row>
    <row r="283" ht="12.0" customHeight="1">
      <c r="A283" s="89">
        <v>1.06344021E8</v>
      </c>
      <c r="B283" s="89" t="s">
        <v>1930</v>
      </c>
      <c r="C283" s="89" t="s">
        <v>1882</v>
      </c>
      <c r="D283" s="89" t="s">
        <v>1931</v>
      </c>
      <c r="E283" s="89" t="s">
        <v>1932</v>
      </c>
      <c r="F283" s="89" t="s">
        <v>1882</v>
      </c>
      <c r="G283" s="89" t="s">
        <v>1885</v>
      </c>
      <c r="H283" s="89" t="s">
        <v>475</v>
      </c>
      <c r="I283" s="89" t="s">
        <v>456</v>
      </c>
      <c r="J283" s="89" t="s">
        <v>437</v>
      </c>
      <c r="K283" s="89" t="s">
        <v>1738</v>
      </c>
      <c r="L283" s="89" t="s">
        <v>511</v>
      </c>
      <c r="M283" s="89" t="s">
        <v>1891</v>
      </c>
      <c r="N283" s="89" t="s">
        <v>441</v>
      </c>
      <c r="O283" s="87"/>
      <c r="P283" s="87"/>
      <c r="Q283" s="87">
        <v>3450.0</v>
      </c>
      <c r="R283" s="87"/>
      <c r="S283" s="87"/>
      <c r="T283" s="87"/>
      <c r="U283" s="87">
        <v>1743.0</v>
      </c>
      <c r="V283" s="87">
        <v>1707.0</v>
      </c>
      <c r="W283" s="87"/>
      <c r="X283" s="87"/>
      <c r="Y283" s="87">
        <v>332.0</v>
      </c>
      <c r="Z283" s="87">
        <v>719.0</v>
      </c>
      <c r="AA283" s="87">
        <v>839.0</v>
      </c>
      <c r="AB283" s="87">
        <v>565.0</v>
      </c>
      <c r="AC283" s="87">
        <v>477.0</v>
      </c>
      <c r="AD283" s="87">
        <v>336.0</v>
      </c>
      <c r="AE283" s="87">
        <v>143.0</v>
      </c>
      <c r="AF283" s="87">
        <v>39.0</v>
      </c>
      <c r="AG283" s="87"/>
      <c r="AH283" s="87">
        <v>490.0</v>
      </c>
      <c r="AI283" s="87">
        <v>2949.0</v>
      </c>
      <c r="AJ283" s="87">
        <v>11.0</v>
      </c>
      <c r="AK283" s="87">
        <v>22.0</v>
      </c>
      <c r="AL283" s="87">
        <v>199.0</v>
      </c>
      <c r="AM283" s="87"/>
      <c r="AN283" s="87">
        <v>657.0</v>
      </c>
      <c r="AO283" s="87">
        <v>2151.0</v>
      </c>
      <c r="AP283" s="87">
        <v>1.0</v>
      </c>
      <c r="AQ283" s="87">
        <v>420.0</v>
      </c>
      <c r="AR283" s="87"/>
      <c r="AS283" s="87">
        <v>637.0</v>
      </c>
      <c r="AT283" s="87"/>
      <c r="AU283" s="87">
        <v>2592.0</v>
      </c>
      <c r="AV283" s="87"/>
      <c r="AW283" s="87">
        <v>218.0</v>
      </c>
      <c r="AX283" s="87"/>
      <c r="AY283" s="87"/>
      <c r="AZ283" s="87"/>
      <c r="BA283" s="87">
        <v>3.0</v>
      </c>
      <c r="BB283" s="87"/>
      <c r="BC283" s="87"/>
      <c r="BD283" s="87"/>
      <c r="BE283" s="87"/>
      <c r="BF283" s="87">
        <v>2595.0</v>
      </c>
      <c r="BG283" s="87">
        <v>855.0</v>
      </c>
      <c r="BH283" s="87"/>
      <c r="BI283" s="87">
        <v>41136.0</v>
      </c>
      <c r="BJ283" s="87">
        <v>3446.0</v>
      </c>
      <c r="BK283" s="87">
        <v>4.0</v>
      </c>
      <c r="BL283" s="87"/>
      <c r="BM283" s="87"/>
      <c r="BN283" s="87"/>
      <c r="BO283" s="87"/>
      <c r="BP283" s="87">
        <v>2918.0</v>
      </c>
      <c r="BQ283" s="87">
        <v>71.0</v>
      </c>
      <c r="BR283" s="87">
        <v>25.0</v>
      </c>
      <c r="BS283" s="87"/>
      <c r="BT283" s="87">
        <v>208.0</v>
      </c>
      <c r="BU283" s="87">
        <v>2.0</v>
      </c>
      <c r="BV283" s="87">
        <v>217.0</v>
      </c>
      <c r="BW283" s="87"/>
      <c r="BX283" s="87"/>
      <c r="BY283" s="87"/>
      <c r="BZ283" s="87"/>
      <c r="CA283" s="87"/>
      <c r="CB283" s="87">
        <v>9.0</v>
      </c>
      <c r="CC283" s="87"/>
      <c r="CD283" s="87"/>
      <c r="CE283" s="87"/>
      <c r="CF283" s="87"/>
      <c r="CG283" s="87"/>
      <c r="CH283" s="87">
        <v>3450.0</v>
      </c>
      <c r="CI283" s="87"/>
      <c r="CJ283" s="87">
        <v>572.0</v>
      </c>
      <c r="CK283" s="87">
        <v>1358.0</v>
      </c>
      <c r="CL283" s="87">
        <v>1060.0</v>
      </c>
      <c r="CM283" s="87"/>
      <c r="CN283" s="87">
        <v>441.0</v>
      </c>
      <c r="CO283" s="87"/>
      <c r="CP283" s="87"/>
      <c r="CQ283" s="87">
        <v>19.0</v>
      </c>
      <c r="CR283" s="87"/>
      <c r="CS283" s="87"/>
      <c r="CT283" s="87"/>
      <c r="CU283" s="87"/>
      <c r="CV283" s="87"/>
      <c r="CW283" s="87"/>
      <c r="CX283" s="87">
        <v>3444.0</v>
      </c>
      <c r="CY283" s="87">
        <v>2.0</v>
      </c>
      <c r="CZ283" s="87"/>
      <c r="DA283" s="87"/>
      <c r="DB283" s="87"/>
      <c r="DC283" s="87"/>
      <c r="DD283" s="87"/>
      <c r="DE283" s="87"/>
      <c r="DF283" s="87"/>
      <c r="DG283" s="87"/>
      <c r="DH283" s="87"/>
      <c r="DI283" s="87"/>
      <c r="DJ283" s="87"/>
      <c r="DK283" s="87"/>
      <c r="DL283" s="87"/>
      <c r="DM283" s="87"/>
      <c r="DN283" s="87">
        <v>4.0</v>
      </c>
      <c r="DO283" s="87">
        <v>228.0</v>
      </c>
      <c r="DP283" s="87"/>
      <c r="DQ283" s="87"/>
      <c r="DR283" s="87"/>
      <c r="DS283" s="87"/>
      <c r="DT283" s="87"/>
      <c r="DU283" s="87"/>
      <c r="DV283" s="87"/>
      <c r="DW283" s="87"/>
      <c r="DX283" s="87"/>
      <c r="DY283" s="87"/>
      <c r="DZ283" s="87"/>
      <c r="EA283" s="87"/>
      <c r="EB283" s="87"/>
      <c r="EC283" s="87"/>
      <c r="ED283" s="87">
        <v>3222.0</v>
      </c>
      <c r="EE283" s="87"/>
      <c r="EF283" s="87"/>
      <c r="EG283" s="87">
        <v>1082.0</v>
      </c>
      <c r="EH283" s="87"/>
      <c r="EI283" s="87">
        <v>10.0</v>
      </c>
      <c r="EJ283" s="87">
        <v>2358.0</v>
      </c>
      <c r="EK283" s="88"/>
      <c r="EL283" s="88"/>
      <c r="EM283" s="88"/>
      <c r="EN283" s="88"/>
      <c r="EO283" s="88"/>
      <c r="EP283" s="88"/>
      <c r="EQ283" s="90"/>
    </row>
    <row r="284" ht="12.0" customHeight="1">
      <c r="A284" s="89">
        <v>1.06344029E8</v>
      </c>
      <c r="B284" s="89" t="s">
        <v>1933</v>
      </c>
      <c r="C284" s="89" t="s">
        <v>1882</v>
      </c>
      <c r="D284" s="89" t="s">
        <v>1934</v>
      </c>
      <c r="E284" s="89" t="s">
        <v>1935</v>
      </c>
      <c r="F284" s="89" t="s">
        <v>1936</v>
      </c>
      <c r="G284" s="89" t="s">
        <v>1937</v>
      </c>
      <c r="H284" s="89" t="s">
        <v>447</v>
      </c>
      <c r="I284" s="89" t="s">
        <v>456</v>
      </c>
      <c r="J284" s="89" t="s">
        <v>437</v>
      </c>
      <c r="K284" s="89" t="s">
        <v>645</v>
      </c>
      <c r="L284" s="89" t="s">
        <v>1738</v>
      </c>
      <c r="M284" s="89" t="s">
        <v>1938</v>
      </c>
      <c r="N284" s="89" t="s">
        <v>441</v>
      </c>
      <c r="O284" s="87">
        <v>7551.0</v>
      </c>
      <c r="P284" s="87"/>
      <c r="Q284" s="87"/>
      <c r="R284" s="87"/>
      <c r="S284" s="87"/>
      <c r="T284" s="87"/>
      <c r="U284" s="87">
        <v>3237.0</v>
      </c>
      <c r="V284" s="87">
        <v>4314.0</v>
      </c>
      <c r="W284" s="87"/>
      <c r="X284" s="87">
        <v>641.0</v>
      </c>
      <c r="Y284" s="87">
        <v>35.0</v>
      </c>
      <c r="Z284" s="87">
        <v>406.0</v>
      </c>
      <c r="AA284" s="87">
        <v>777.0</v>
      </c>
      <c r="AB284" s="87">
        <v>592.0</v>
      </c>
      <c r="AC284" s="87">
        <v>844.0</v>
      </c>
      <c r="AD284" s="87">
        <v>1210.0</v>
      </c>
      <c r="AE284" s="87">
        <v>1339.0</v>
      </c>
      <c r="AF284" s="87">
        <v>1707.0</v>
      </c>
      <c r="AG284" s="87"/>
      <c r="AH284" s="87">
        <v>566.0</v>
      </c>
      <c r="AI284" s="87">
        <v>6943.0</v>
      </c>
      <c r="AJ284" s="87">
        <v>42.0</v>
      </c>
      <c r="AK284" s="87">
        <v>42.0</v>
      </c>
      <c r="AL284" s="87">
        <v>644.0</v>
      </c>
      <c r="AM284" s="87">
        <v>35.0</v>
      </c>
      <c r="AN284" s="87">
        <v>340.0</v>
      </c>
      <c r="AO284" s="87">
        <v>5573.0</v>
      </c>
      <c r="AP284" s="87">
        <v>208.0</v>
      </c>
      <c r="AQ284" s="87">
        <v>658.0</v>
      </c>
      <c r="AR284" s="87">
        <v>51.0</v>
      </c>
      <c r="AS284" s="87">
        <v>6713.0</v>
      </c>
      <c r="AT284" s="87">
        <v>17.0</v>
      </c>
      <c r="AU284" s="87">
        <v>124.0</v>
      </c>
      <c r="AV284" s="87">
        <v>32.0</v>
      </c>
      <c r="AW284" s="87">
        <v>12.0</v>
      </c>
      <c r="AX284" s="87">
        <v>1.0</v>
      </c>
      <c r="AY284" s="87">
        <v>5.0</v>
      </c>
      <c r="AZ284" s="87"/>
      <c r="BA284" s="87">
        <v>6.0</v>
      </c>
      <c r="BB284" s="87"/>
      <c r="BC284" s="87">
        <v>641.0</v>
      </c>
      <c r="BD284" s="87"/>
      <c r="BE284" s="87">
        <v>5914.0</v>
      </c>
      <c r="BF284" s="87">
        <v>81.0</v>
      </c>
      <c r="BG284" s="87">
        <v>1556.0</v>
      </c>
      <c r="BH284" s="87"/>
      <c r="BI284" s="87">
        <v>27337.0</v>
      </c>
      <c r="BJ284" s="87">
        <v>2799.0</v>
      </c>
      <c r="BK284" s="87">
        <v>3195.0</v>
      </c>
      <c r="BL284" s="87">
        <v>882.0</v>
      </c>
      <c r="BM284" s="87">
        <v>641.0</v>
      </c>
      <c r="BN284" s="87">
        <v>34.0</v>
      </c>
      <c r="BO284" s="87"/>
      <c r="BP284" s="87">
        <v>4799.0</v>
      </c>
      <c r="BQ284" s="87">
        <v>356.0</v>
      </c>
      <c r="BR284" s="87">
        <v>69.0</v>
      </c>
      <c r="BS284" s="87">
        <v>684.0</v>
      </c>
      <c r="BT284" s="87">
        <v>35.0</v>
      </c>
      <c r="BU284" s="87">
        <v>15.0</v>
      </c>
      <c r="BV284" s="87">
        <v>185.0</v>
      </c>
      <c r="BW284" s="87">
        <v>189.0</v>
      </c>
      <c r="BX284" s="87">
        <v>1058.0</v>
      </c>
      <c r="BY284" s="87"/>
      <c r="BZ284" s="87">
        <v>5.0</v>
      </c>
      <c r="CA284" s="87">
        <v>128.0</v>
      </c>
      <c r="CB284" s="87">
        <v>18.0</v>
      </c>
      <c r="CC284" s="87">
        <v>2.0</v>
      </c>
      <c r="CD284" s="87">
        <v>8.0</v>
      </c>
      <c r="CE284" s="87"/>
      <c r="CF284" s="87"/>
      <c r="CG284" s="87">
        <v>702.0</v>
      </c>
      <c r="CH284" s="87">
        <v>6849.0</v>
      </c>
      <c r="CI284" s="87"/>
      <c r="CJ284" s="87">
        <v>3622.0</v>
      </c>
      <c r="CK284" s="87">
        <v>1284.0</v>
      </c>
      <c r="CL284" s="87">
        <v>2365.0</v>
      </c>
      <c r="CM284" s="87">
        <v>17.0</v>
      </c>
      <c r="CN284" s="87"/>
      <c r="CO284" s="87">
        <v>212.0</v>
      </c>
      <c r="CP284" s="87"/>
      <c r="CQ284" s="87">
        <v>51.0</v>
      </c>
      <c r="CR284" s="87"/>
      <c r="CS284" s="87"/>
      <c r="CT284" s="87">
        <v>1090.0</v>
      </c>
      <c r="CU284" s="87">
        <v>120.0</v>
      </c>
      <c r="CV284" s="87">
        <v>74.0</v>
      </c>
      <c r="CW284" s="87">
        <v>323.0</v>
      </c>
      <c r="CX284" s="87">
        <v>198.0</v>
      </c>
      <c r="CY284" s="87">
        <v>236.0</v>
      </c>
      <c r="CZ284" s="87">
        <v>2.0</v>
      </c>
      <c r="DA284" s="87">
        <v>6.0</v>
      </c>
      <c r="DB284" s="87">
        <v>1050.0</v>
      </c>
      <c r="DC284" s="87">
        <v>494.0</v>
      </c>
      <c r="DD284" s="87">
        <v>1041.0</v>
      </c>
      <c r="DE284" s="87">
        <v>156.0</v>
      </c>
      <c r="DF284" s="87">
        <v>343.0</v>
      </c>
      <c r="DG284" s="87">
        <v>485.0</v>
      </c>
      <c r="DH284" s="87">
        <v>667.0</v>
      </c>
      <c r="DI284" s="87">
        <v>641.0</v>
      </c>
      <c r="DJ284" s="87">
        <v>1.0</v>
      </c>
      <c r="DK284" s="87">
        <v>133.0</v>
      </c>
      <c r="DL284" s="87">
        <v>486.0</v>
      </c>
      <c r="DM284" s="87">
        <v>5.0</v>
      </c>
      <c r="DN284" s="87"/>
      <c r="DO284" s="87">
        <v>1956.0</v>
      </c>
      <c r="DP284" s="87">
        <v>616.0</v>
      </c>
      <c r="DQ284" s="87">
        <v>158.0</v>
      </c>
      <c r="DR284" s="87">
        <v>664.0</v>
      </c>
      <c r="DS284" s="87">
        <v>1.0</v>
      </c>
      <c r="DT284" s="87">
        <v>3.0</v>
      </c>
      <c r="DU284" s="87"/>
      <c r="DV284" s="87">
        <v>108.0</v>
      </c>
      <c r="DW284" s="87">
        <v>11.0</v>
      </c>
      <c r="DX284" s="87">
        <v>84.0</v>
      </c>
      <c r="DY284" s="87">
        <v>514.0</v>
      </c>
      <c r="DZ284" s="87">
        <v>55.0</v>
      </c>
      <c r="EA284" s="87">
        <v>3.0</v>
      </c>
      <c r="EB284" s="87">
        <v>90.0</v>
      </c>
      <c r="EC284" s="87">
        <v>77.0</v>
      </c>
      <c r="ED284" s="87">
        <v>3099.0</v>
      </c>
      <c r="EE284" s="87">
        <v>112.0</v>
      </c>
      <c r="EF284" s="87">
        <v>54.0</v>
      </c>
      <c r="EG284" s="87">
        <v>175.0</v>
      </c>
      <c r="EH284" s="87"/>
      <c r="EI284" s="87">
        <v>73.0</v>
      </c>
      <c r="EJ284" s="87">
        <v>7249.0</v>
      </c>
      <c r="EK284" s="88"/>
      <c r="EL284" s="88"/>
      <c r="EM284" s="88"/>
      <c r="EN284" s="88"/>
      <c r="EO284" s="88"/>
      <c r="EP284" s="88"/>
      <c r="EQ284" s="90"/>
    </row>
    <row r="285" ht="12.0" customHeight="1">
      <c r="A285" s="89">
        <v>1.06344035E8</v>
      </c>
      <c r="B285" s="89" t="s">
        <v>1939</v>
      </c>
      <c r="C285" s="89" t="s">
        <v>1882</v>
      </c>
      <c r="D285" s="89" t="s">
        <v>1940</v>
      </c>
      <c r="E285" s="89" t="s">
        <v>1941</v>
      </c>
      <c r="F285" s="89" t="s">
        <v>1936</v>
      </c>
      <c r="G285" s="89" t="s">
        <v>1937</v>
      </c>
      <c r="H285" s="89" t="s">
        <v>475</v>
      </c>
      <c r="I285" s="89" t="s">
        <v>456</v>
      </c>
      <c r="J285" s="89" t="s">
        <v>463</v>
      </c>
      <c r="K285" s="89" t="s">
        <v>645</v>
      </c>
      <c r="L285" s="89" t="s">
        <v>1738</v>
      </c>
      <c r="M285" s="89" t="s">
        <v>1938</v>
      </c>
      <c r="N285" s="89" t="s">
        <v>441</v>
      </c>
      <c r="O285" s="87">
        <v>418.0</v>
      </c>
      <c r="P285" s="87"/>
      <c r="Q285" s="87"/>
      <c r="R285" s="87"/>
      <c r="S285" s="87"/>
      <c r="T285" s="87"/>
      <c r="U285" s="87">
        <v>260.0</v>
      </c>
      <c r="V285" s="87">
        <v>158.0</v>
      </c>
      <c r="W285" s="87"/>
      <c r="X285" s="87"/>
      <c r="Y285" s="87"/>
      <c r="Z285" s="87">
        <v>13.0</v>
      </c>
      <c r="AA285" s="87">
        <v>22.0</v>
      </c>
      <c r="AB285" s="87">
        <v>38.0</v>
      </c>
      <c r="AC285" s="87">
        <v>88.0</v>
      </c>
      <c r="AD285" s="87">
        <v>137.0</v>
      </c>
      <c r="AE285" s="87">
        <v>88.0</v>
      </c>
      <c r="AF285" s="87">
        <v>29.0</v>
      </c>
      <c r="AG285" s="87">
        <v>3.0</v>
      </c>
      <c r="AH285" s="87">
        <v>62.0</v>
      </c>
      <c r="AI285" s="87">
        <v>344.0</v>
      </c>
      <c r="AJ285" s="87">
        <v>12.0</v>
      </c>
      <c r="AK285" s="87"/>
      <c r="AL285" s="87">
        <v>28.0</v>
      </c>
      <c r="AM285" s="87"/>
      <c r="AN285" s="87">
        <v>44.0</v>
      </c>
      <c r="AO285" s="87">
        <v>286.0</v>
      </c>
      <c r="AP285" s="87">
        <v>43.0</v>
      </c>
      <c r="AQ285" s="87">
        <v>17.0</v>
      </c>
      <c r="AR285" s="87"/>
      <c r="AS285" s="87"/>
      <c r="AT285" s="87"/>
      <c r="AU285" s="87">
        <v>418.0</v>
      </c>
      <c r="AV285" s="87"/>
      <c r="AW285" s="87"/>
      <c r="AX285" s="87"/>
      <c r="AY285" s="87"/>
      <c r="AZ285" s="87"/>
      <c r="BA285" s="87"/>
      <c r="BB285" s="87"/>
      <c r="BC285" s="87"/>
      <c r="BD285" s="87"/>
      <c r="BE285" s="87"/>
      <c r="BF285" s="87">
        <v>201.0</v>
      </c>
      <c r="BG285" s="87">
        <v>217.0</v>
      </c>
      <c r="BH285" s="87"/>
      <c r="BI285" s="87">
        <v>17556.0</v>
      </c>
      <c r="BJ285" s="87"/>
      <c r="BK285" s="87"/>
      <c r="BL285" s="87">
        <v>418.0</v>
      </c>
      <c r="BM285" s="87"/>
      <c r="BN285" s="87"/>
      <c r="BO285" s="87"/>
      <c r="BP285" s="87">
        <v>8.0</v>
      </c>
      <c r="BQ285" s="87">
        <v>101.0</v>
      </c>
      <c r="BR285" s="87">
        <v>22.0</v>
      </c>
      <c r="BS285" s="87">
        <v>175.0</v>
      </c>
      <c r="BT285" s="87"/>
      <c r="BU285" s="87"/>
      <c r="BV285" s="87">
        <v>2.0</v>
      </c>
      <c r="BW285" s="87">
        <v>22.0</v>
      </c>
      <c r="BX285" s="87">
        <v>85.0</v>
      </c>
      <c r="BY285" s="87"/>
      <c r="BZ285" s="87"/>
      <c r="CA285" s="87">
        <v>2.0</v>
      </c>
      <c r="CB285" s="87"/>
      <c r="CC285" s="87"/>
      <c r="CD285" s="87">
        <v>1.0</v>
      </c>
      <c r="CE285" s="87"/>
      <c r="CF285" s="87"/>
      <c r="CG285" s="87">
        <v>31.0</v>
      </c>
      <c r="CH285" s="87">
        <v>387.0</v>
      </c>
      <c r="CI285" s="87"/>
      <c r="CJ285" s="87">
        <v>195.0</v>
      </c>
      <c r="CK285" s="87">
        <v>111.0</v>
      </c>
      <c r="CL285" s="87">
        <v>102.0</v>
      </c>
      <c r="CM285" s="87">
        <v>7.0</v>
      </c>
      <c r="CN285" s="87"/>
      <c r="CO285" s="87"/>
      <c r="CP285" s="87"/>
      <c r="CQ285" s="87"/>
      <c r="CR285" s="87"/>
      <c r="CS285" s="87">
        <v>3.0</v>
      </c>
      <c r="CT285" s="87">
        <v>16.0</v>
      </c>
      <c r="CU285" s="87"/>
      <c r="CV285" s="87"/>
      <c r="CW285" s="87">
        <v>5.0</v>
      </c>
      <c r="CX285" s="87"/>
      <c r="CY285" s="87">
        <v>3.0</v>
      </c>
      <c r="CZ285" s="87"/>
      <c r="DA285" s="87"/>
      <c r="DB285" s="87">
        <v>7.0</v>
      </c>
      <c r="DC285" s="87">
        <v>291.0</v>
      </c>
      <c r="DD285" s="87">
        <v>14.0</v>
      </c>
      <c r="DE285" s="87">
        <v>14.0</v>
      </c>
      <c r="DF285" s="87">
        <v>16.0</v>
      </c>
      <c r="DG285" s="87">
        <v>9.0</v>
      </c>
      <c r="DH285" s="87"/>
      <c r="DI285" s="87"/>
      <c r="DJ285" s="87"/>
      <c r="DK285" s="87">
        <v>1.0</v>
      </c>
      <c r="DL285" s="87">
        <v>31.0</v>
      </c>
      <c r="DM285" s="87">
        <v>11.0</v>
      </c>
      <c r="DN285" s="87"/>
      <c r="DO285" s="87">
        <v>237.0</v>
      </c>
      <c r="DP285" s="87"/>
      <c r="DQ285" s="87">
        <v>16.0</v>
      </c>
      <c r="DR285" s="87">
        <v>3.0</v>
      </c>
      <c r="DS285" s="87"/>
      <c r="DT285" s="87"/>
      <c r="DU285" s="87"/>
      <c r="DV285" s="87"/>
      <c r="DW285" s="87"/>
      <c r="DX285" s="87">
        <v>1.0</v>
      </c>
      <c r="DY285" s="87">
        <v>3.0</v>
      </c>
      <c r="DZ285" s="87"/>
      <c r="EA285" s="87"/>
      <c r="EB285" s="87">
        <v>122.0</v>
      </c>
      <c r="EC285" s="87"/>
      <c r="ED285" s="87">
        <v>15.0</v>
      </c>
      <c r="EE285" s="87">
        <v>21.0</v>
      </c>
      <c r="EF285" s="87"/>
      <c r="EG285" s="87">
        <v>6.0</v>
      </c>
      <c r="EH285" s="87"/>
      <c r="EI285" s="87">
        <v>2.0</v>
      </c>
      <c r="EJ285" s="87">
        <v>410.0</v>
      </c>
      <c r="EK285" s="88"/>
      <c r="EL285" s="88"/>
      <c r="EM285" s="88"/>
      <c r="EN285" s="88"/>
      <c r="EO285" s="88"/>
      <c r="EP285" s="88"/>
      <c r="EQ285" s="90"/>
    </row>
    <row r="286" ht="12.0" customHeight="1">
      <c r="A286" s="89">
        <v>1.06344114E8</v>
      </c>
      <c r="B286" s="89" t="s">
        <v>1942</v>
      </c>
      <c r="C286" s="89" t="s">
        <v>1882</v>
      </c>
      <c r="D286" s="89" t="s">
        <v>1943</v>
      </c>
      <c r="E286" s="89" t="s">
        <v>1944</v>
      </c>
      <c r="F286" s="89" t="s">
        <v>1882</v>
      </c>
      <c r="G286" s="89" t="s">
        <v>1910</v>
      </c>
      <c r="H286" s="89" t="s">
        <v>447</v>
      </c>
      <c r="I286" s="89" t="s">
        <v>456</v>
      </c>
      <c r="J286" s="89" t="s">
        <v>463</v>
      </c>
      <c r="K286" s="89" t="s">
        <v>1738</v>
      </c>
      <c r="L286" s="89" t="s">
        <v>511</v>
      </c>
      <c r="M286" s="89" t="s">
        <v>1911</v>
      </c>
      <c r="N286" s="89" t="s">
        <v>441</v>
      </c>
      <c r="O286" s="87">
        <v>842.0</v>
      </c>
      <c r="P286" s="87"/>
      <c r="Q286" s="87"/>
      <c r="R286" s="87"/>
      <c r="S286" s="87">
        <v>53.0</v>
      </c>
      <c r="T286" s="87"/>
      <c r="U286" s="87">
        <v>462.0</v>
      </c>
      <c r="V286" s="87">
        <v>433.0</v>
      </c>
      <c r="W286" s="87"/>
      <c r="X286" s="87">
        <v>405.0</v>
      </c>
      <c r="Y286" s="87">
        <v>482.0</v>
      </c>
      <c r="Z286" s="87"/>
      <c r="AA286" s="87"/>
      <c r="AB286" s="87"/>
      <c r="AC286" s="87"/>
      <c r="AD286" s="87"/>
      <c r="AE286" s="87"/>
      <c r="AF286" s="87"/>
      <c r="AG286" s="87">
        <v>8.0</v>
      </c>
      <c r="AH286" s="87">
        <v>331.0</v>
      </c>
      <c r="AI286" s="87">
        <v>488.0</v>
      </c>
      <c r="AJ286" s="87">
        <v>76.0</v>
      </c>
      <c r="AK286" s="87"/>
      <c r="AL286" s="87">
        <v>66.0</v>
      </c>
      <c r="AM286" s="87">
        <v>11.0</v>
      </c>
      <c r="AN286" s="87">
        <v>64.0</v>
      </c>
      <c r="AO286" s="87">
        <v>488.0</v>
      </c>
      <c r="AP286" s="87">
        <v>91.0</v>
      </c>
      <c r="AQ286" s="87">
        <v>133.0</v>
      </c>
      <c r="AR286" s="87">
        <v>42.0</v>
      </c>
      <c r="AS286" s="87">
        <v>655.0</v>
      </c>
      <c r="AT286" s="87">
        <v>10.0</v>
      </c>
      <c r="AU286" s="87">
        <v>223.0</v>
      </c>
      <c r="AV286" s="87"/>
      <c r="AW286" s="87"/>
      <c r="AX286" s="87">
        <v>6.0</v>
      </c>
      <c r="AY286" s="87"/>
      <c r="AZ286" s="87"/>
      <c r="BA286" s="87"/>
      <c r="BB286" s="87">
        <v>1.0</v>
      </c>
      <c r="BC286" s="87"/>
      <c r="BD286" s="87"/>
      <c r="BE286" s="87"/>
      <c r="BF286" s="87"/>
      <c r="BG286" s="87">
        <v>895.0</v>
      </c>
      <c r="BH286" s="87"/>
      <c r="BI286" s="87">
        <v>6864.0</v>
      </c>
      <c r="BJ286" s="87"/>
      <c r="BK286" s="87">
        <v>2.0</v>
      </c>
      <c r="BL286" s="87">
        <v>891.0</v>
      </c>
      <c r="BM286" s="87"/>
      <c r="BN286" s="87"/>
      <c r="BO286" s="87">
        <v>2.0</v>
      </c>
      <c r="BP286" s="87">
        <v>884.0</v>
      </c>
      <c r="BQ286" s="87">
        <v>2.0</v>
      </c>
      <c r="BR286" s="87">
        <v>3.0</v>
      </c>
      <c r="BS286" s="87"/>
      <c r="BT286" s="87"/>
      <c r="BU286" s="87"/>
      <c r="BV286" s="87"/>
      <c r="BW286" s="87">
        <v>2.0</v>
      </c>
      <c r="BX286" s="87"/>
      <c r="BY286" s="87"/>
      <c r="BZ286" s="87">
        <v>2.0</v>
      </c>
      <c r="CA286" s="87"/>
      <c r="CB286" s="87"/>
      <c r="CC286" s="87">
        <v>1.0</v>
      </c>
      <c r="CD286" s="87">
        <v>1.0</v>
      </c>
      <c r="CE286" s="87"/>
      <c r="CF286" s="87"/>
      <c r="CG286" s="87">
        <v>1.0</v>
      </c>
      <c r="CH286" s="87">
        <v>894.0</v>
      </c>
      <c r="CI286" s="87"/>
      <c r="CJ286" s="87"/>
      <c r="CK286" s="87">
        <v>88.0</v>
      </c>
      <c r="CL286" s="87">
        <v>281.0</v>
      </c>
      <c r="CM286" s="87"/>
      <c r="CN286" s="87"/>
      <c r="CO286" s="87">
        <v>412.0</v>
      </c>
      <c r="CP286" s="87"/>
      <c r="CQ286" s="87">
        <v>112.0</v>
      </c>
      <c r="CR286" s="87">
        <v>2.0</v>
      </c>
      <c r="CS286" s="87"/>
      <c r="CT286" s="87"/>
      <c r="CU286" s="87">
        <v>6.0</v>
      </c>
      <c r="CV286" s="87">
        <v>3.0</v>
      </c>
      <c r="CW286" s="87">
        <v>1.0</v>
      </c>
      <c r="CX286" s="87"/>
      <c r="CY286" s="87">
        <v>26.0</v>
      </c>
      <c r="CZ286" s="87"/>
      <c r="DA286" s="87"/>
      <c r="DB286" s="87">
        <v>8.0</v>
      </c>
      <c r="DC286" s="87"/>
      <c r="DD286" s="87">
        <v>59.0</v>
      </c>
      <c r="DE286" s="87">
        <v>33.0</v>
      </c>
      <c r="DF286" s="87">
        <v>264.0</v>
      </c>
      <c r="DG286" s="87">
        <v>4.0</v>
      </c>
      <c r="DH286" s="87"/>
      <c r="DI286" s="87"/>
      <c r="DJ286" s="87">
        <v>202.0</v>
      </c>
      <c r="DK286" s="87">
        <v>3.0</v>
      </c>
      <c r="DL286" s="87">
        <v>254.0</v>
      </c>
      <c r="DM286" s="87">
        <v>32.0</v>
      </c>
      <c r="DN286" s="87"/>
      <c r="DO286" s="87">
        <v>68.0</v>
      </c>
      <c r="DP286" s="87"/>
      <c r="DQ286" s="87">
        <v>1.0</v>
      </c>
      <c r="DR286" s="87">
        <v>45.0</v>
      </c>
      <c r="DS286" s="87"/>
      <c r="DT286" s="87"/>
      <c r="DU286" s="87">
        <v>1.0</v>
      </c>
      <c r="DV286" s="87">
        <v>2.0</v>
      </c>
      <c r="DW286" s="87"/>
      <c r="DX286" s="87">
        <v>170.0</v>
      </c>
      <c r="DY286" s="87">
        <v>480.0</v>
      </c>
      <c r="DZ286" s="87">
        <v>11.0</v>
      </c>
      <c r="EA286" s="87">
        <v>1.0</v>
      </c>
      <c r="EB286" s="87">
        <v>7.0</v>
      </c>
      <c r="EC286" s="87">
        <v>3.0</v>
      </c>
      <c r="ED286" s="87">
        <v>93.0</v>
      </c>
      <c r="EE286" s="87">
        <v>13.0</v>
      </c>
      <c r="EF286" s="87">
        <v>1.0</v>
      </c>
      <c r="EG286" s="87"/>
      <c r="EH286" s="87">
        <v>86.0</v>
      </c>
      <c r="EI286" s="87">
        <v>52.0</v>
      </c>
      <c r="EJ286" s="87">
        <v>756.0</v>
      </c>
      <c r="EK286" s="88"/>
      <c r="EL286" s="88"/>
      <c r="EM286" s="88"/>
      <c r="EN286" s="88"/>
      <c r="EO286" s="88"/>
      <c r="EP286" s="88"/>
      <c r="EQ286" s="90"/>
    </row>
    <row r="287" ht="12.0" customHeight="1">
      <c r="A287" s="89">
        <v>1.0634417E8</v>
      </c>
      <c r="B287" s="89" t="s">
        <v>1945</v>
      </c>
      <c r="C287" s="89" t="s">
        <v>1882</v>
      </c>
      <c r="D287" s="89" t="s">
        <v>1946</v>
      </c>
      <c r="E287" s="89" t="s">
        <v>1947</v>
      </c>
      <c r="F287" s="89" t="s">
        <v>1900</v>
      </c>
      <c r="G287" s="89" t="s">
        <v>1901</v>
      </c>
      <c r="H287" s="89" t="s">
        <v>503</v>
      </c>
      <c r="I287" s="89" t="s">
        <v>456</v>
      </c>
      <c r="J287" s="89" t="s">
        <v>499</v>
      </c>
      <c r="K287" s="89" t="s">
        <v>1738</v>
      </c>
      <c r="L287" s="89" t="s">
        <v>544</v>
      </c>
      <c r="M287" s="89" t="s">
        <v>1891</v>
      </c>
      <c r="N287" s="89" t="s">
        <v>441</v>
      </c>
      <c r="O287" s="87"/>
      <c r="P287" s="87"/>
      <c r="Q287" s="87">
        <v>273.0</v>
      </c>
      <c r="R287" s="87"/>
      <c r="S287" s="87"/>
      <c r="T287" s="87"/>
      <c r="U287" s="87">
        <v>158.0</v>
      </c>
      <c r="V287" s="87">
        <v>115.0</v>
      </c>
      <c r="W287" s="87"/>
      <c r="X287" s="87"/>
      <c r="Y287" s="87"/>
      <c r="Z287" s="87">
        <v>89.0</v>
      </c>
      <c r="AA287" s="87">
        <v>94.0</v>
      </c>
      <c r="AB287" s="87">
        <v>36.0</v>
      </c>
      <c r="AC287" s="87">
        <v>37.0</v>
      </c>
      <c r="AD287" s="87">
        <v>11.0</v>
      </c>
      <c r="AE287" s="87"/>
      <c r="AF287" s="87"/>
      <c r="AG287" s="87">
        <v>6.0</v>
      </c>
      <c r="AH287" s="87">
        <v>39.0</v>
      </c>
      <c r="AI287" s="87">
        <v>232.0</v>
      </c>
      <c r="AJ287" s="87">
        <v>2.0</v>
      </c>
      <c r="AK287" s="87"/>
      <c r="AL287" s="87">
        <v>20.0</v>
      </c>
      <c r="AM287" s="87"/>
      <c r="AN287" s="87">
        <v>89.0</v>
      </c>
      <c r="AO287" s="87">
        <v>139.0</v>
      </c>
      <c r="AP287" s="87">
        <v>11.0</v>
      </c>
      <c r="AQ287" s="87"/>
      <c r="AR287" s="87">
        <v>14.0</v>
      </c>
      <c r="AS287" s="87"/>
      <c r="AT287" s="87"/>
      <c r="AU287" s="87">
        <v>273.0</v>
      </c>
      <c r="AV287" s="87"/>
      <c r="AW287" s="87"/>
      <c r="AX287" s="87"/>
      <c r="AY287" s="87"/>
      <c r="AZ287" s="87"/>
      <c r="BA287" s="87"/>
      <c r="BB287" s="87"/>
      <c r="BC287" s="87"/>
      <c r="BD287" s="87"/>
      <c r="BE287" s="87"/>
      <c r="BF287" s="87">
        <v>248.0</v>
      </c>
      <c r="BG287" s="87">
        <v>25.0</v>
      </c>
      <c r="BH287" s="87"/>
      <c r="BI287" s="87">
        <v>3757.0</v>
      </c>
      <c r="BJ287" s="87"/>
      <c r="BK287" s="87">
        <v>273.0</v>
      </c>
      <c r="BL287" s="87"/>
      <c r="BM287" s="87"/>
      <c r="BN287" s="87"/>
      <c r="BO287" s="87"/>
      <c r="BP287" s="87">
        <v>250.0</v>
      </c>
      <c r="BQ287" s="87">
        <v>4.0</v>
      </c>
      <c r="BR287" s="87"/>
      <c r="BS287" s="87"/>
      <c r="BT287" s="87">
        <v>1.0</v>
      </c>
      <c r="BU287" s="87">
        <v>1.0</v>
      </c>
      <c r="BV287" s="87">
        <v>16.0</v>
      </c>
      <c r="BW287" s="87"/>
      <c r="BX287" s="87"/>
      <c r="BY287" s="87"/>
      <c r="BZ287" s="87"/>
      <c r="CA287" s="87"/>
      <c r="CB287" s="87">
        <v>1.0</v>
      </c>
      <c r="CC287" s="87"/>
      <c r="CD287" s="87"/>
      <c r="CE287" s="87"/>
      <c r="CF287" s="87"/>
      <c r="CG287" s="87"/>
      <c r="CH287" s="87">
        <v>273.0</v>
      </c>
      <c r="CI287" s="87"/>
      <c r="CJ287" s="87"/>
      <c r="CK287" s="87">
        <v>273.0</v>
      </c>
      <c r="CL287" s="87"/>
      <c r="CM287" s="87"/>
      <c r="CN287" s="87"/>
      <c r="CO287" s="87"/>
      <c r="CP287" s="87"/>
      <c r="CQ287" s="87"/>
      <c r="CR287" s="87"/>
      <c r="CS287" s="87"/>
      <c r="CT287" s="87"/>
      <c r="CU287" s="87"/>
      <c r="CV287" s="87"/>
      <c r="CW287" s="87"/>
      <c r="CX287" s="87">
        <v>273.0</v>
      </c>
      <c r="CY287" s="87"/>
      <c r="CZ287" s="87"/>
      <c r="DA287" s="87"/>
      <c r="DB287" s="87"/>
      <c r="DC287" s="87"/>
      <c r="DD287" s="87"/>
      <c r="DE287" s="87"/>
      <c r="DF287" s="87"/>
      <c r="DG287" s="87"/>
      <c r="DH287" s="87"/>
      <c r="DI287" s="87"/>
      <c r="DJ287" s="87"/>
      <c r="DK287" s="87"/>
      <c r="DL287" s="87"/>
      <c r="DM287" s="87"/>
      <c r="DN287" s="87"/>
      <c r="DO287" s="87">
        <v>273.0</v>
      </c>
      <c r="DP287" s="87"/>
      <c r="DQ287" s="87"/>
      <c r="DR287" s="87"/>
      <c r="DS287" s="87"/>
      <c r="DT287" s="87"/>
      <c r="DU287" s="87"/>
      <c r="DV287" s="87"/>
      <c r="DW287" s="87"/>
      <c r="DX287" s="87"/>
      <c r="DY287" s="87"/>
      <c r="DZ287" s="87"/>
      <c r="EA287" s="87"/>
      <c r="EB287" s="87"/>
      <c r="EC287" s="87"/>
      <c r="ED287" s="87"/>
      <c r="EE287" s="87"/>
      <c r="EF287" s="87"/>
      <c r="EG287" s="87">
        <v>19.0</v>
      </c>
      <c r="EH287" s="87"/>
      <c r="EI287" s="87"/>
      <c r="EJ287" s="87">
        <v>254.0</v>
      </c>
      <c r="EK287" s="88"/>
      <c r="EL287" s="88"/>
      <c r="EM287" s="88"/>
      <c r="EN287" s="88"/>
      <c r="EO287" s="88"/>
      <c r="EP287" s="88"/>
      <c r="EQ287" s="90"/>
    </row>
    <row r="288" ht="12.0" customHeight="1">
      <c r="A288" s="89">
        <v>1.06344188E8</v>
      </c>
      <c r="B288" s="89" t="s">
        <v>1948</v>
      </c>
      <c r="C288" s="89" t="s">
        <v>1882</v>
      </c>
      <c r="D288" s="89" t="s">
        <v>1949</v>
      </c>
      <c r="E288" s="89" t="s">
        <v>1950</v>
      </c>
      <c r="F288" s="89" t="s">
        <v>1882</v>
      </c>
      <c r="G288" s="89" t="s">
        <v>1910</v>
      </c>
      <c r="H288" s="89" t="s">
        <v>503</v>
      </c>
      <c r="I288" s="89" t="s">
        <v>456</v>
      </c>
      <c r="J288" s="89" t="s">
        <v>499</v>
      </c>
      <c r="K288" s="89" t="s">
        <v>1738</v>
      </c>
      <c r="L288" s="89" t="s">
        <v>511</v>
      </c>
      <c r="M288" s="89" t="s">
        <v>1911</v>
      </c>
      <c r="N288" s="89" t="s">
        <v>441</v>
      </c>
      <c r="O288" s="87"/>
      <c r="P288" s="87"/>
      <c r="Q288" s="87">
        <v>232.0</v>
      </c>
      <c r="R288" s="87"/>
      <c r="S288" s="87"/>
      <c r="T288" s="87"/>
      <c r="U288" s="87">
        <v>142.0</v>
      </c>
      <c r="V288" s="87">
        <v>90.0</v>
      </c>
      <c r="W288" s="87"/>
      <c r="X288" s="87"/>
      <c r="Y288" s="87"/>
      <c r="Z288" s="87">
        <v>64.0</v>
      </c>
      <c r="AA288" s="87">
        <v>77.0</v>
      </c>
      <c r="AB288" s="87">
        <v>43.0</v>
      </c>
      <c r="AC288" s="87">
        <v>24.0</v>
      </c>
      <c r="AD288" s="87">
        <v>14.0</v>
      </c>
      <c r="AE288" s="87"/>
      <c r="AF288" s="87"/>
      <c r="AG288" s="87">
        <v>10.0</v>
      </c>
      <c r="AH288" s="87">
        <v>26.0</v>
      </c>
      <c r="AI288" s="87">
        <v>206.0</v>
      </c>
      <c r="AJ288" s="87"/>
      <c r="AK288" s="87"/>
      <c r="AL288" s="87">
        <v>19.0</v>
      </c>
      <c r="AM288" s="87"/>
      <c r="AN288" s="87">
        <v>84.0</v>
      </c>
      <c r="AO288" s="87">
        <v>86.0</v>
      </c>
      <c r="AP288" s="87">
        <v>7.0</v>
      </c>
      <c r="AQ288" s="87">
        <v>36.0</v>
      </c>
      <c r="AR288" s="87"/>
      <c r="AS288" s="87"/>
      <c r="AT288" s="87"/>
      <c r="AU288" s="87">
        <v>232.0</v>
      </c>
      <c r="AV288" s="87"/>
      <c r="AW288" s="87"/>
      <c r="AX288" s="87"/>
      <c r="AY288" s="87"/>
      <c r="AZ288" s="87"/>
      <c r="BA288" s="87"/>
      <c r="BB288" s="87"/>
      <c r="BC288" s="87"/>
      <c r="BD288" s="87"/>
      <c r="BE288" s="87"/>
      <c r="BF288" s="87">
        <v>232.0</v>
      </c>
      <c r="BG288" s="87"/>
      <c r="BH288" s="87"/>
      <c r="BI288" s="87">
        <v>4271.0</v>
      </c>
      <c r="BJ288" s="87">
        <v>1.0</v>
      </c>
      <c r="BK288" s="87">
        <v>231.0</v>
      </c>
      <c r="BL288" s="87"/>
      <c r="BM288" s="87"/>
      <c r="BN288" s="87"/>
      <c r="BO288" s="87"/>
      <c r="BP288" s="87">
        <v>224.0</v>
      </c>
      <c r="BQ288" s="87">
        <v>4.0</v>
      </c>
      <c r="BR288" s="87"/>
      <c r="BS288" s="87">
        <v>1.0</v>
      </c>
      <c r="BT288" s="87">
        <v>2.0</v>
      </c>
      <c r="BU288" s="87"/>
      <c r="BV288" s="87"/>
      <c r="BW288" s="87"/>
      <c r="BX288" s="87"/>
      <c r="BY288" s="87"/>
      <c r="BZ288" s="87"/>
      <c r="CA288" s="87"/>
      <c r="CB288" s="87"/>
      <c r="CC288" s="87"/>
      <c r="CD288" s="87">
        <v>1.0</v>
      </c>
      <c r="CE288" s="87"/>
      <c r="CF288" s="87"/>
      <c r="CG288" s="87"/>
      <c r="CH288" s="87">
        <v>232.0</v>
      </c>
      <c r="CI288" s="87"/>
      <c r="CJ288" s="87"/>
      <c r="CK288" s="87">
        <v>232.0</v>
      </c>
      <c r="CL288" s="87"/>
      <c r="CM288" s="87"/>
      <c r="CN288" s="87"/>
      <c r="CO288" s="87"/>
      <c r="CP288" s="87"/>
      <c r="CQ288" s="87"/>
      <c r="CR288" s="87"/>
      <c r="CS288" s="87"/>
      <c r="CT288" s="87"/>
      <c r="CU288" s="87"/>
      <c r="CV288" s="87"/>
      <c r="CW288" s="87"/>
      <c r="CX288" s="87">
        <v>232.0</v>
      </c>
      <c r="CY288" s="87"/>
      <c r="CZ288" s="87"/>
      <c r="DA288" s="87"/>
      <c r="DB288" s="87"/>
      <c r="DC288" s="87"/>
      <c r="DD288" s="87"/>
      <c r="DE288" s="87"/>
      <c r="DF288" s="87"/>
      <c r="DG288" s="87"/>
      <c r="DH288" s="87"/>
      <c r="DI288" s="87"/>
      <c r="DJ288" s="87"/>
      <c r="DK288" s="87"/>
      <c r="DL288" s="87"/>
      <c r="DM288" s="87"/>
      <c r="DN288" s="87"/>
      <c r="DO288" s="87">
        <v>218.0</v>
      </c>
      <c r="DP288" s="87"/>
      <c r="DQ288" s="87"/>
      <c r="DR288" s="87"/>
      <c r="DS288" s="87"/>
      <c r="DT288" s="87"/>
      <c r="DU288" s="87"/>
      <c r="DV288" s="87"/>
      <c r="DW288" s="87"/>
      <c r="DX288" s="87"/>
      <c r="DY288" s="87"/>
      <c r="DZ288" s="87"/>
      <c r="EA288" s="87"/>
      <c r="EB288" s="87"/>
      <c r="EC288" s="87"/>
      <c r="ED288" s="87">
        <v>14.0</v>
      </c>
      <c r="EE288" s="87"/>
      <c r="EF288" s="87"/>
      <c r="EG288" s="87">
        <v>19.0</v>
      </c>
      <c r="EH288" s="87"/>
      <c r="EI288" s="87">
        <v>2.0</v>
      </c>
      <c r="EJ288" s="87">
        <v>211.0</v>
      </c>
      <c r="EK288" s="88"/>
      <c r="EL288" s="88"/>
      <c r="EM288" s="88"/>
      <c r="EN288" s="88"/>
      <c r="EO288" s="88"/>
      <c r="EP288" s="88"/>
      <c r="EQ288" s="90"/>
    </row>
    <row r="289" ht="12.0" customHeight="1">
      <c r="A289" s="89">
        <v>1.0634421E8</v>
      </c>
      <c r="B289" s="89" t="s">
        <v>1951</v>
      </c>
      <c r="C289" s="89" t="s">
        <v>1882</v>
      </c>
      <c r="D289" s="89" t="s">
        <v>1952</v>
      </c>
      <c r="E289" s="89" t="s">
        <v>1953</v>
      </c>
      <c r="F289" s="89" t="s">
        <v>1882</v>
      </c>
      <c r="G289" s="89" t="s">
        <v>1954</v>
      </c>
      <c r="H289" s="89" t="s">
        <v>475</v>
      </c>
      <c r="I289" s="89" t="s">
        <v>456</v>
      </c>
      <c r="J289" s="89" t="s">
        <v>437</v>
      </c>
      <c r="K289" s="89" t="s">
        <v>1738</v>
      </c>
      <c r="L289" s="89" t="s">
        <v>511</v>
      </c>
      <c r="M289" s="89" t="s">
        <v>1955</v>
      </c>
      <c r="N289" s="89" t="s">
        <v>441</v>
      </c>
      <c r="O289" s="87"/>
      <c r="P289" s="87"/>
      <c r="Q289" s="87">
        <v>894.0</v>
      </c>
      <c r="R289" s="87"/>
      <c r="S289" s="87"/>
      <c r="T289" s="87"/>
      <c r="U289" s="87">
        <v>309.0</v>
      </c>
      <c r="V289" s="87">
        <v>585.0</v>
      </c>
      <c r="W289" s="87"/>
      <c r="X289" s="87"/>
      <c r="Y289" s="87">
        <v>581.0</v>
      </c>
      <c r="Z289" s="87">
        <v>99.0</v>
      </c>
      <c r="AA289" s="87">
        <v>88.0</v>
      </c>
      <c r="AB289" s="87">
        <v>51.0</v>
      </c>
      <c r="AC289" s="87">
        <v>40.0</v>
      </c>
      <c r="AD289" s="87">
        <v>24.0</v>
      </c>
      <c r="AE289" s="87"/>
      <c r="AF289" s="87"/>
      <c r="AG289" s="87">
        <v>11.0</v>
      </c>
      <c r="AH289" s="87">
        <v>209.0</v>
      </c>
      <c r="AI289" s="87">
        <v>444.0</v>
      </c>
      <c r="AJ289" s="87">
        <v>241.0</v>
      </c>
      <c r="AK289" s="87"/>
      <c r="AL289" s="87">
        <v>42.0</v>
      </c>
      <c r="AM289" s="87">
        <v>15.0</v>
      </c>
      <c r="AN289" s="87">
        <v>104.0</v>
      </c>
      <c r="AO289" s="87">
        <v>340.0</v>
      </c>
      <c r="AP289" s="87">
        <v>210.0</v>
      </c>
      <c r="AQ289" s="87">
        <v>156.0</v>
      </c>
      <c r="AR289" s="87">
        <v>27.0</v>
      </c>
      <c r="AS289" s="87">
        <v>23.0</v>
      </c>
      <c r="AT289" s="87"/>
      <c r="AU289" s="87">
        <v>828.0</v>
      </c>
      <c r="AV289" s="87"/>
      <c r="AW289" s="87">
        <v>7.0</v>
      </c>
      <c r="AX289" s="87"/>
      <c r="AY289" s="87"/>
      <c r="AZ289" s="87"/>
      <c r="BA289" s="87">
        <v>35.0</v>
      </c>
      <c r="BB289" s="87">
        <v>1.0</v>
      </c>
      <c r="BC289" s="87"/>
      <c r="BD289" s="87"/>
      <c r="BE289" s="87"/>
      <c r="BF289" s="87">
        <v>814.0</v>
      </c>
      <c r="BG289" s="87">
        <v>80.0</v>
      </c>
      <c r="BH289" s="87"/>
      <c r="BI289" s="87">
        <v>11703.0</v>
      </c>
      <c r="BJ289" s="87">
        <v>12.0</v>
      </c>
      <c r="BK289" s="87">
        <v>882.0</v>
      </c>
      <c r="BL289" s="87"/>
      <c r="BM289" s="87"/>
      <c r="BN289" s="87"/>
      <c r="BO289" s="87"/>
      <c r="BP289" s="87">
        <v>718.0</v>
      </c>
      <c r="BQ289" s="87">
        <v>13.0</v>
      </c>
      <c r="BR289" s="87"/>
      <c r="BS289" s="87">
        <v>1.0</v>
      </c>
      <c r="BT289" s="87">
        <v>78.0</v>
      </c>
      <c r="BU289" s="87">
        <v>45.0</v>
      </c>
      <c r="BV289" s="87">
        <v>15.0</v>
      </c>
      <c r="BW289" s="87"/>
      <c r="BX289" s="87"/>
      <c r="BY289" s="87"/>
      <c r="BZ289" s="87"/>
      <c r="CA289" s="87"/>
      <c r="CB289" s="87">
        <v>3.0</v>
      </c>
      <c r="CC289" s="87"/>
      <c r="CD289" s="87">
        <v>21.0</v>
      </c>
      <c r="CE289" s="87"/>
      <c r="CF289" s="87"/>
      <c r="CG289" s="87"/>
      <c r="CH289" s="87">
        <v>894.0</v>
      </c>
      <c r="CI289" s="87"/>
      <c r="CJ289" s="87">
        <v>56.0</v>
      </c>
      <c r="CK289" s="87">
        <v>266.0</v>
      </c>
      <c r="CL289" s="87">
        <v>378.0</v>
      </c>
      <c r="CM289" s="87"/>
      <c r="CN289" s="87">
        <v>96.0</v>
      </c>
      <c r="CO289" s="87">
        <v>10.0</v>
      </c>
      <c r="CP289" s="87"/>
      <c r="CQ289" s="87">
        <v>7.0</v>
      </c>
      <c r="CR289" s="87">
        <v>81.0</v>
      </c>
      <c r="CS289" s="87"/>
      <c r="CT289" s="87"/>
      <c r="CU289" s="87"/>
      <c r="CV289" s="87"/>
      <c r="CW289" s="87"/>
      <c r="CX289" s="87">
        <v>894.0</v>
      </c>
      <c r="CY289" s="87"/>
      <c r="CZ289" s="87"/>
      <c r="DA289" s="87"/>
      <c r="DB289" s="87"/>
      <c r="DC289" s="87"/>
      <c r="DD289" s="87"/>
      <c r="DE289" s="87"/>
      <c r="DF289" s="87"/>
      <c r="DG289" s="87"/>
      <c r="DH289" s="87"/>
      <c r="DI289" s="87"/>
      <c r="DJ289" s="87"/>
      <c r="DK289" s="87"/>
      <c r="DL289" s="87"/>
      <c r="DM289" s="87"/>
      <c r="DN289" s="87"/>
      <c r="DO289" s="87">
        <v>26.0</v>
      </c>
      <c r="DP289" s="87"/>
      <c r="DQ289" s="87"/>
      <c r="DR289" s="87"/>
      <c r="DS289" s="87"/>
      <c r="DT289" s="87"/>
      <c r="DU289" s="87"/>
      <c r="DV289" s="87"/>
      <c r="DW289" s="87"/>
      <c r="DX289" s="87"/>
      <c r="DY289" s="87"/>
      <c r="DZ289" s="87"/>
      <c r="EA289" s="87"/>
      <c r="EB289" s="87"/>
      <c r="EC289" s="87"/>
      <c r="ED289" s="87">
        <v>868.0</v>
      </c>
      <c r="EE289" s="87"/>
      <c r="EF289" s="87"/>
      <c r="EG289" s="87">
        <v>101.0</v>
      </c>
      <c r="EH289" s="87"/>
      <c r="EI289" s="87">
        <v>6.0</v>
      </c>
      <c r="EJ289" s="87">
        <v>787.0</v>
      </c>
      <c r="EK289" s="88"/>
      <c r="EL289" s="88"/>
      <c r="EM289" s="88"/>
      <c r="EN289" s="88"/>
      <c r="EO289" s="88"/>
      <c r="EP289" s="88"/>
      <c r="EQ289" s="90"/>
    </row>
    <row r="290" ht="12.0" customHeight="1">
      <c r="A290" s="89">
        <v>1.06350784E8</v>
      </c>
      <c r="B290" s="89" t="s">
        <v>1956</v>
      </c>
      <c r="C290" s="89" t="s">
        <v>1957</v>
      </c>
      <c r="D290" s="89" t="s">
        <v>1958</v>
      </c>
      <c r="E290" s="89" t="s">
        <v>1959</v>
      </c>
      <c r="F290" s="89" t="s">
        <v>1960</v>
      </c>
      <c r="G290" s="89" t="s">
        <v>1961</v>
      </c>
      <c r="H290" s="89" t="s">
        <v>494</v>
      </c>
      <c r="I290" s="89" t="s">
        <v>543</v>
      </c>
      <c r="J290" s="89" t="s">
        <v>463</v>
      </c>
      <c r="K290" s="89" t="s">
        <v>669</v>
      </c>
      <c r="L290" s="89" t="s">
        <v>933</v>
      </c>
      <c r="M290" s="89" t="s">
        <v>1962</v>
      </c>
      <c r="N290" s="89" t="s">
        <v>547</v>
      </c>
      <c r="O290" s="87">
        <v>2810.0</v>
      </c>
      <c r="P290" s="87">
        <v>195.0</v>
      </c>
      <c r="Q290" s="87"/>
      <c r="R290" s="87"/>
      <c r="S290" s="87"/>
      <c r="T290" s="87"/>
      <c r="U290" s="87">
        <v>1200.0</v>
      </c>
      <c r="V290" s="87">
        <v>1804.0</v>
      </c>
      <c r="W290" s="87">
        <v>1.0</v>
      </c>
      <c r="X290" s="87">
        <v>490.0</v>
      </c>
      <c r="Y290" s="87">
        <v>37.0</v>
      </c>
      <c r="Z290" s="87">
        <v>309.0</v>
      </c>
      <c r="AA290" s="87">
        <v>320.0</v>
      </c>
      <c r="AB290" s="87">
        <v>208.0</v>
      </c>
      <c r="AC290" s="87">
        <v>219.0</v>
      </c>
      <c r="AD290" s="87">
        <v>350.0</v>
      </c>
      <c r="AE290" s="87">
        <v>428.0</v>
      </c>
      <c r="AF290" s="87">
        <v>644.0</v>
      </c>
      <c r="AG290" s="87"/>
      <c r="AH290" s="87">
        <v>1518.0</v>
      </c>
      <c r="AI290" s="87">
        <v>1299.0</v>
      </c>
      <c r="AJ290" s="87">
        <v>188.0</v>
      </c>
      <c r="AK290" s="87"/>
      <c r="AL290" s="87">
        <v>48.0</v>
      </c>
      <c r="AM290" s="87"/>
      <c r="AN290" s="87"/>
      <c r="AO290" s="87">
        <v>1336.0</v>
      </c>
      <c r="AP290" s="87">
        <v>77.0</v>
      </c>
      <c r="AQ290" s="87">
        <v>1544.0</v>
      </c>
      <c r="AR290" s="87"/>
      <c r="AS290" s="87">
        <v>2375.0</v>
      </c>
      <c r="AT290" s="87"/>
      <c r="AU290" s="87"/>
      <c r="AV290" s="87"/>
      <c r="AW290" s="87">
        <v>1.0</v>
      </c>
      <c r="AX290" s="87">
        <v>186.0</v>
      </c>
      <c r="AY290" s="87"/>
      <c r="AZ290" s="87"/>
      <c r="BA290" s="87"/>
      <c r="BB290" s="87">
        <v>1.0</v>
      </c>
      <c r="BC290" s="87">
        <v>442.0</v>
      </c>
      <c r="BD290" s="87"/>
      <c r="BE290" s="87">
        <v>1796.0</v>
      </c>
      <c r="BF290" s="87"/>
      <c r="BG290" s="87">
        <v>1209.0</v>
      </c>
      <c r="BH290" s="87"/>
      <c r="BI290" s="87">
        <v>10215.0</v>
      </c>
      <c r="BJ290" s="87">
        <v>1795.0</v>
      </c>
      <c r="BK290" s="87">
        <v>7.0</v>
      </c>
      <c r="BL290" s="87">
        <v>760.0</v>
      </c>
      <c r="BM290" s="87">
        <v>442.0</v>
      </c>
      <c r="BN290" s="87"/>
      <c r="BO290" s="87">
        <v>1.0</v>
      </c>
      <c r="BP290" s="87">
        <v>2169.0</v>
      </c>
      <c r="BQ290" s="87">
        <v>132.0</v>
      </c>
      <c r="BR290" s="87">
        <v>10.0</v>
      </c>
      <c r="BS290" s="87">
        <v>225.0</v>
      </c>
      <c r="BT290" s="87">
        <v>6.0</v>
      </c>
      <c r="BU290" s="87">
        <v>1.0</v>
      </c>
      <c r="BV290" s="87">
        <v>75.0</v>
      </c>
      <c r="BW290" s="87">
        <v>92.0</v>
      </c>
      <c r="BX290" s="87">
        <v>285.0</v>
      </c>
      <c r="BY290" s="87"/>
      <c r="BZ290" s="87">
        <v>2.0</v>
      </c>
      <c r="CA290" s="87">
        <v>7.0</v>
      </c>
      <c r="CB290" s="87">
        <v>1.0</v>
      </c>
      <c r="CC290" s="87"/>
      <c r="CD290" s="87"/>
      <c r="CE290" s="87"/>
      <c r="CF290" s="87"/>
      <c r="CG290" s="87">
        <v>305.0</v>
      </c>
      <c r="CH290" s="87">
        <v>2700.0</v>
      </c>
      <c r="CI290" s="87"/>
      <c r="CJ290" s="87">
        <v>1243.0</v>
      </c>
      <c r="CK290" s="87">
        <v>1136.0</v>
      </c>
      <c r="CL290" s="87">
        <v>600.0</v>
      </c>
      <c r="CM290" s="87">
        <v>2.0</v>
      </c>
      <c r="CN290" s="87"/>
      <c r="CO290" s="87">
        <v>7.0</v>
      </c>
      <c r="CP290" s="87"/>
      <c r="CQ290" s="87">
        <v>17.0</v>
      </c>
      <c r="CR290" s="87"/>
      <c r="CS290" s="87"/>
      <c r="CT290" s="87">
        <v>369.0</v>
      </c>
      <c r="CU290" s="87">
        <v>13.0</v>
      </c>
      <c r="CV290" s="87">
        <v>20.0</v>
      </c>
      <c r="CW290" s="87">
        <v>101.0</v>
      </c>
      <c r="CX290" s="87">
        <v>79.0</v>
      </c>
      <c r="CY290" s="87">
        <v>64.0</v>
      </c>
      <c r="CZ290" s="87">
        <v>1.0</v>
      </c>
      <c r="DA290" s="87"/>
      <c r="DB290" s="87">
        <v>218.0</v>
      </c>
      <c r="DC290" s="87">
        <v>121.0</v>
      </c>
      <c r="DD290" s="87">
        <v>344.0</v>
      </c>
      <c r="DE290" s="87">
        <v>42.0</v>
      </c>
      <c r="DF290" s="87">
        <v>65.0</v>
      </c>
      <c r="DG290" s="87">
        <v>187.0</v>
      </c>
      <c r="DH290" s="87">
        <v>469.0</v>
      </c>
      <c r="DI290" s="87">
        <v>461.0</v>
      </c>
      <c r="DJ290" s="87"/>
      <c r="DK290" s="87">
        <v>193.0</v>
      </c>
      <c r="DL290" s="87">
        <v>242.0</v>
      </c>
      <c r="DM290" s="87">
        <v>14.0</v>
      </c>
      <c r="DN290" s="87">
        <v>2.0</v>
      </c>
      <c r="DO290" s="87">
        <v>648.0</v>
      </c>
      <c r="DP290" s="87">
        <v>449.0</v>
      </c>
      <c r="DQ290" s="87">
        <v>56.0</v>
      </c>
      <c r="DR290" s="87">
        <v>168.0</v>
      </c>
      <c r="DS290" s="87"/>
      <c r="DT290" s="87"/>
      <c r="DU290" s="87"/>
      <c r="DV290" s="87">
        <v>9.0</v>
      </c>
      <c r="DW290" s="87"/>
      <c r="DX290" s="87">
        <v>49.0</v>
      </c>
      <c r="DY290" s="87">
        <v>112.0</v>
      </c>
      <c r="DZ290" s="87">
        <v>4.0</v>
      </c>
      <c r="EA290" s="87">
        <v>3.0</v>
      </c>
      <c r="EB290" s="87">
        <v>28.0</v>
      </c>
      <c r="EC290" s="87">
        <v>12.0</v>
      </c>
      <c r="ED290" s="87">
        <v>1411.0</v>
      </c>
      <c r="EE290" s="87">
        <v>56.0</v>
      </c>
      <c r="EF290" s="87">
        <v>4.0</v>
      </c>
      <c r="EG290" s="87">
        <v>75.0</v>
      </c>
      <c r="EH290" s="87"/>
      <c r="EI290" s="87">
        <v>21.0</v>
      </c>
      <c r="EJ290" s="87">
        <v>2905.0</v>
      </c>
      <c r="EK290" s="88"/>
      <c r="EL290" s="88"/>
      <c r="EM290" s="88"/>
      <c r="EN290" s="88"/>
      <c r="EO290" s="88"/>
      <c r="EP290" s="88"/>
      <c r="EQ290" s="90"/>
    </row>
    <row r="291" ht="12.0" customHeight="1">
      <c r="A291" s="89">
        <v>1.0636111E8</v>
      </c>
      <c r="B291" s="89" t="s">
        <v>1963</v>
      </c>
      <c r="C291" s="89" t="s">
        <v>1964</v>
      </c>
      <c r="D291" s="89" t="s">
        <v>1965</v>
      </c>
      <c r="E291" s="89" t="s">
        <v>1966</v>
      </c>
      <c r="F291" s="89" t="s">
        <v>1967</v>
      </c>
      <c r="G291" s="89" t="s">
        <v>1968</v>
      </c>
      <c r="H291" s="89" t="s">
        <v>494</v>
      </c>
      <c r="I291" s="89" t="s">
        <v>543</v>
      </c>
      <c r="J291" s="89" t="s">
        <v>499</v>
      </c>
      <c r="K291" s="89" t="s">
        <v>662</v>
      </c>
      <c r="L291" s="89" t="s">
        <v>913</v>
      </c>
      <c r="M291" s="89" t="s">
        <v>1969</v>
      </c>
      <c r="N291" s="89" t="s">
        <v>547</v>
      </c>
      <c r="O291" s="87">
        <v>161.0</v>
      </c>
      <c r="P291" s="87">
        <v>30.0</v>
      </c>
      <c r="Q291" s="87"/>
      <c r="R291" s="87"/>
      <c r="S291" s="87"/>
      <c r="T291" s="87"/>
      <c r="U291" s="87">
        <v>89.0</v>
      </c>
      <c r="V291" s="87">
        <v>102.0</v>
      </c>
      <c r="W291" s="87"/>
      <c r="X291" s="87"/>
      <c r="Y291" s="87"/>
      <c r="Z291" s="87">
        <v>11.0</v>
      </c>
      <c r="AA291" s="87">
        <v>23.0</v>
      </c>
      <c r="AB291" s="87">
        <v>15.0</v>
      </c>
      <c r="AC291" s="87">
        <v>18.0</v>
      </c>
      <c r="AD291" s="87">
        <v>37.0</v>
      </c>
      <c r="AE291" s="87">
        <v>42.0</v>
      </c>
      <c r="AF291" s="87">
        <v>44.0</v>
      </c>
      <c r="AG291" s="87">
        <v>1.0</v>
      </c>
      <c r="AH291" s="87">
        <v>14.0</v>
      </c>
      <c r="AI291" s="87">
        <v>176.0</v>
      </c>
      <c r="AJ291" s="87">
        <v>1.0</v>
      </c>
      <c r="AK291" s="87"/>
      <c r="AL291" s="87"/>
      <c r="AM291" s="87"/>
      <c r="AN291" s="87"/>
      <c r="AO291" s="87">
        <v>163.0</v>
      </c>
      <c r="AP291" s="87">
        <v>5.0</v>
      </c>
      <c r="AQ291" s="87"/>
      <c r="AR291" s="87">
        <v>23.0</v>
      </c>
      <c r="AS291" s="87">
        <v>165.0</v>
      </c>
      <c r="AT291" s="87"/>
      <c r="AU291" s="87"/>
      <c r="AV291" s="87">
        <v>23.0</v>
      </c>
      <c r="AW291" s="87"/>
      <c r="AX291" s="87">
        <v>3.0</v>
      </c>
      <c r="AY291" s="87"/>
      <c r="AZ291" s="87"/>
      <c r="BA291" s="87"/>
      <c r="BB291" s="87"/>
      <c r="BC291" s="87"/>
      <c r="BD291" s="87"/>
      <c r="BE291" s="87">
        <v>84.0</v>
      </c>
      <c r="BF291" s="87"/>
      <c r="BG291" s="87">
        <v>107.0</v>
      </c>
      <c r="BH291" s="87"/>
      <c r="BI291" s="87">
        <v>3485.0</v>
      </c>
      <c r="BJ291" s="87">
        <v>140.0</v>
      </c>
      <c r="BK291" s="87"/>
      <c r="BL291" s="87">
        <v>51.0</v>
      </c>
      <c r="BM291" s="87"/>
      <c r="BN291" s="87"/>
      <c r="BO291" s="87"/>
      <c r="BP291" s="87">
        <v>120.0</v>
      </c>
      <c r="BQ291" s="87">
        <v>12.0</v>
      </c>
      <c r="BR291" s="87">
        <v>6.0</v>
      </c>
      <c r="BS291" s="87">
        <v>20.0</v>
      </c>
      <c r="BT291" s="87"/>
      <c r="BU291" s="87"/>
      <c r="BV291" s="87">
        <v>8.0</v>
      </c>
      <c r="BW291" s="87">
        <v>8.0</v>
      </c>
      <c r="BX291" s="87">
        <v>1.0</v>
      </c>
      <c r="BY291" s="87"/>
      <c r="BZ291" s="87"/>
      <c r="CA291" s="87">
        <v>13.0</v>
      </c>
      <c r="CB291" s="87"/>
      <c r="CC291" s="87"/>
      <c r="CD291" s="87">
        <v>3.0</v>
      </c>
      <c r="CE291" s="87"/>
      <c r="CF291" s="87"/>
      <c r="CG291" s="87">
        <v>61.0</v>
      </c>
      <c r="CH291" s="87">
        <v>130.0</v>
      </c>
      <c r="CI291" s="87"/>
      <c r="CJ291" s="87">
        <v>82.0</v>
      </c>
      <c r="CK291" s="87">
        <v>78.0</v>
      </c>
      <c r="CL291" s="87">
        <v>30.0</v>
      </c>
      <c r="CM291" s="87"/>
      <c r="CN291" s="87"/>
      <c r="CO291" s="87">
        <v>1.0</v>
      </c>
      <c r="CP291" s="87"/>
      <c r="CQ291" s="87"/>
      <c r="CR291" s="87"/>
      <c r="CS291" s="87"/>
      <c r="CT291" s="87">
        <v>5.0</v>
      </c>
      <c r="CU291" s="87">
        <v>2.0</v>
      </c>
      <c r="CV291" s="87"/>
      <c r="CW291" s="87">
        <v>4.0</v>
      </c>
      <c r="CX291" s="87">
        <v>57.0</v>
      </c>
      <c r="CY291" s="87">
        <v>11.0</v>
      </c>
      <c r="CZ291" s="87"/>
      <c r="DA291" s="87"/>
      <c r="DB291" s="87">
        <v>19.0</v>
      </c>
      <c r="DC291" s="87">
        <v>28.0</v>
      </c>
      <c r="DD291" s="87">
        <v>19.0</v>
      </c>
      <c r="DE291" s="87">
        <v>1.0</v>
      </c>
      <c r="DF291" s="87">
        <v>1.0</v>
      </c>
      <c r="DG291" s="87">
        <v>15.0</v>
      </c>
      <c r="DH291" s="87"/>
      <c r="DI291" s="87"/>
      <c r="DJ291" s="87"/>
      <c r="DK291" s="87">
        <v>7.0</v>
      </c>
      <c r="DL291" s="87">
        <v>19.0</v>
      </c>
      <c r="DM291" s="87">
        <v>3.0</v>
      </c>
      <c r="DN291" s="87"/>
      <c r="DO291" s="87">
        <v>58.0</v>
      </c>
      <c r="DP291" s="87"/>
      <c r="DQ291" s="87"/>
      <c r="DR291" s="87"/>
      <c r="DS291" s="87"/>
      <c r="DT291" s="87"/>
      <c r="DU291" s="87"/>
      <c r="DV291" s="87"/>
      <c r="DW291" s="87"/>
      <c r="DX291" s="87"/>
      <c r="DY291" s="87">
        <v>1.0</v>
      </c>
      <c r="DZ291" s="87"/>
      <c r="EA291" s="87"/>
      <c r="EB291" s="87"/>
      <c r="EC291" s="87"/>
      <c r="ED291" s="87">
        <v>132.0</v>
      </c>
      <c r="EE291" s="87"/>
      <c r="EF291" s="87"/>
      <c r="EG291" s="87"/>
      <c r="EH291" s="87"/>
      <c r="EI291" s="87">
        <v>1.0</v>
      </c>
      <c r="EJ291" s="87">
        <v>190.0</v>
      </c>
      <c r="EK291" s="88"/>
      <c r="EL291" s="88"/>
      <c r="EM291" s="88"/>
      <c r="EN291" s="88"/>
      <c r="EO291" s="88"/>
      <c r="EP291" s="88"/>
      <c r="EQ291" s="90"/>
    </row>
    <row r="292" ht="12.0" customHeight="1">
      <c r="A292" s="89">
        <v>1.06361144E8</v>
      </c>
      <c r="B292" s="89" t="s">
        <v>1970</v>
      </c>
      <c r="C292" s="89" t="s">
        <v>1964</v>
      </c>
      <c r="D292" s="89" t="s">
        <v>1971</v>
      </c>
      <c r="E292" s="89" t="s">
        <v>1972</v>
      </c>
      <c r="F292" s="89" t="s">
        <v>1973</v>
      </c>
      <c r="G292" s="89" t="s">
        <v>1974</v>
      </c>
      <c r="H292" s="89" t="s">
        <v>503</v>
      </c>
      <c r="I292" s="89" t="s">
        <v>543</v>
      </c>
      <c r="J292" s="89" t="s">
        <v>437</v>
      </c>
      <c r="K292" s="89" t="s">
        <v>487</v>
      </c>
      <c r="L292" s="89" t="s">
        <v>947</v>
      </c>
      <c r="M292" s="89" t="s">
        <v>1975</v>
      </c>
      <c r="N292" s="89" t="s">
        <v>441</v>
      </c>
      <c r="O292" s="87">
        <v>3939.0</v>
      </c>
      <c r="P292" s="87"/>
      <c r="Q292" s="87"/>
      <c r="R292" s="87"/>
      <c r="S292" s="87"/>
      <c r="T292" s="87"/>
      <c r="U292" s="87">
        <v>1930.0</v>
      </c>
      <c r="V292" s="87">
        <v>2009.0</v>
      </c>
      <c r="W292" s="87"/>
      <c r="X292" s="87"/>
      <c r="Y292" s="87">
        <v>48.0</v>
      </c>
      <c r="Z292" s="87">
        <v>220.0</v>
      </c>
      <c r="AA292" s="87">
        <v>367.0</v>
      </c>
      <c r="AB292" s="87">
        <v>481.0</v>
      </c>
      <c r="AC292" s="87">
        <v>678.0</v>
      </c>
      <c r="AD292" s="87">
        <v>793.0</v>
      </c>
      <c r="AE292" s="87">
        <v>645.0</v>
      </c>
      <c r="AF292" s="87">
        <v>707.0</v>
      </c>
      <c r="AG292" s="87"/>
      <c r="AH292" s="87">
        <v>2099.0</v>
      </c>
      <c r="AI292" s="87">
        <v>1821.0</v>
      </c>
      <c r="AJ292" s="87">
        <v>19.0</v>
      </c>
      <c r="AK292" s="87">
        <v>15.0</v>
      </c>
      <c r="AL292" s="87">
        <v>437.0</v>
      </c>
      <c r="AM292" s="87">
        <v>12.0</v>
      </c>
      <c r="AN292" s="87">
        <v>277.0</v>
      </c>
      <c r="AO292" s="87">
        <v>3087.0</v>
      </c>
      <c r="AP292" s="87">
        <v>7.0</v>
      </c>
      <c r="AQ292" s="87">
        <v>79.0</v>
      </c>
      <c r="AR292" s="87">
        <v>25.0</v>
      </c>
      <c r="AS292" s="87">
        <v>3852.0</v>
      </c>
      <c r="AT292" s="87">
        <v>31.0</v>
      </c>
      <c r="AU292" s="87">
        <v>1.0</v>
      </c>
      <c r="AV292" s="87">
        <v>12.0</v>
      </c>
      <c r="AW292" s="87">
        <v>24.0</v>
      </c>
      <c r="AX292" s="87"/>
      <c r="AY292" s="87"/>
      <c r="AZ292" s="87"/>
      <c r="BA292" s="87">
        <v>19.0</v>
      </c>
      <c r="BB292" s="87"/>
      <c r="BC292" s="87"/>
      <c r="BD292" s="87"/>
      <c r="BE292" s="87">
        <v>3548.0</v>
      </c>
      <c r="BF292" s="87"/>
      <c r="BG292" s="87">
        <v>391.0</v>
      </c>
      <c r="BH292" s="87"/>
      <c r="BI292" s="87">
        <v>17129.0</v>
      </c>
      <c r="BJ292" s="87">
        <v>37.0</v>
      </c>
      <c r="BK292" s="87">
        <v>3902.0</v>
      </c>
      <c r="BL292" s="87"/>
      <c r="BM292" s="87"/>
      <c r="BN292" s="87"/>
      <c r="BO292" s="87"/>
      <c r="BP292" s="87">
        <v>2486.0</v>
      </c>
      <c r="BQ292" s="87">
        <v>114.0</v>
      </c>
      <c r="BR292" s="87">
        <v>9.0</v>
      </c>
      <c r="BS292" s="87">
        <v>397.0</v>
      </c>
      <c r="BT292" s="87">
        <v>18.0</v>
      </c>
      <c r="BU292" s="87">
        <v>80.0</v>
      </c>
      <c r="BV292" s="87">
        <v>205.0</v>
      </c>
      <c r="BW292" s="87">
        <v>150.0</v>
      </c>
      <c r="BX292" s="87">
        <v>401.0</v>
      </c>
      <c r="BY292" s="87"/>
      <c r="BZ292" s="87">
        <v>1.0</v>
      </c>
      <c r="CA292" s="87">
        <v>58.0</v>
      </c>
      <c r="CB292" s="87">
        <v>18.0</v>
      </c>
      <c r="CC292" s="87">
        <v>2.0</v>
      </c>
      <c r="CD292" s="87"/>
      <c r="CE292" s="87"/>
      <c r="CF292" s="87"/>
      <c r="CG292" s="87">
        <v>65.0</v>
      </c>
      <c r="CH292" s="87">
        <v>3874.0</v>
      </c>
      <c r="CI292" s="87"/>
      <c r="CJ292" s="87">
        <v>1682.0</v>
      </c>
      <c r="CK292" s="87">
        <v>1490.0</v>
      </c>
      <c r="CL292" s="87">
        <v>653.0</v>
      </c>
      <c r="CM292" s="87">
        <v>11.0</v>
      </c>
      <c r="CN292" s="87"/>
      <c r="CO292" s="87">
        <v>11.0</v>
      </c>
      <c r="CP292" s="87"/>
      <c r="CQ292" s="87">
        <v>73.0</v>
      </c>
      <c r="CR292" s="87">
        <v>19.0</v>
      </c>
      <c r="CS292" s="87"/>
      <c r="CT292" s="87">
        <v>1072.0</v>
      </c>
      <c r="CU292" s="87">
        <v>40.0</v>
      </c>
      <c r="CV292" s="87">
        <v>33.0</v>
      </c>
      <c r="CW292" s="87">
        <v>261.0</v>
      </c>
      <c r="CX292" s="87">
        <v>38.0</v>
      </c>
      <c r="CY292" s="87">
        <v>140.0</v>
      </c>
      <c r="CZ292" s="87">
        <v>4.0</v>
      </c>
      <c r="DA292" s="87">
        <v>8.0</v>
      </c>
      <c r="DB292" s="87">
        <v>623.0</v>
      </c>
      <c r="DC292" s="87">
        <v>211.0</v>
      </c>
      <c r="DD292" s="87">
        <v>686.0</v>
      </c>
      <c r="DE292" s="87">
        <v>84.0</v>
      </c>
      <c r="DF292" s="87">
        <v>180.0</v>
      </c>
      <c r="DG292" s="87">
        <v>248.0</v>
      </c>
      <c r="DH292" s="87">
        <v>18.0</v>
      </c>
      <c r="DI292" s="87"/>
      <c r="DJ292" s="87"/>
      <c r="DK292" s="87">
        <v>76.0</v>
      </c>
      <c r="DL292" s="87">
        <v>212.0</v>
      </c>
      <c r="DM292" s="87">
        <v>4.0</v>
      </c>
      <c r="DN292" s="87">
        <v>1.0</v>
      </c>
      <c r="DO292" s="87">
        <v>442.0</v>
      </c>
      <c r="DP292" s="87">
        <v>1.0</v>
      </c>
      <c r="DQ292" s="87">
        <v>238.0</v>
      </c>
      <c r="DR292" s="87">
        <v>555.0</v>
      </c>
      <c r="DS292" s="87">
        <v>1.0</v>
      </c>
      <c r="DT292" s="87">
        <v>1.0</v>
      </c>
      <c r="DU292" s="87"/>
      <c r="DV292" s="87">
        <v>29.0</v>
      </c>
      <c r="DW292" s="87">
        <v>4.0</v>
      </c>
      <c r="DX292" s="87">
        <v>70.0</v>
      </c>
      <c r="DY292" s="87">
        <v>123.0</v>
      </c>
      <c r="DZ292" s="87">
        <v>5.0</v>
      </c>
      <c r="EA292" s="87">
        <v>3.0</v>
      </c>
      <c r="EB292" s="87">
        <v>54.0</v>
      </c>
      <c r="EC292" s="87">
        <v>52.0</v>
      </c>
      <c r="ED292" s="87">
        <v>2258.0</v>
      </c>
      <c r="EE292" s="87">
        <v>103.0</v>
      </c>
      <c r="EF292" s="87">
        <v>1.0</v>
      </c>
      <c r="EG292" s="87">
        <v>69.0</v>
      </c>
      <c r="EH292" s="87"/>
      <c r="EI292" s="87">
        <v>39.0</v>
      </c>
      <c r="EJ292" s="87">
        <v>3830.0</v>
      </c>
      <c r="EK292" s="88"/>
      <c r="EL292" s="88"/>
      <c r="EM292" s="88"/>
      <c r="EN292" s="88"/>
      <c r="EO292" s="88"/>
      <c r="EP292" s="88"/>
      <c r="EQ292" s="90"/>
    </row>
    <row r="293" ht="12.0" customHeight="1">
      <c r="A293" s="89">
        <v>1.06361166E8</v>
      </c>
      <c r="B293" s="89" t="s">
        <v>1976</v>
      </c>
      <c r="C293" s="89" t="s">
        <v>1964</v>
      </c>
      <c r="D293" s="89" t="s">
        <v>1977</v>
      </c>
      <c r="E293" s="89" t="s">
        <v>1978</v>
      </c>
      <c r="F293" s="89" t="s">
        <v>1979</v>
      </c>
      <c r="G293" s="89" t="s">
        <v>1980</v>
      </c>
      <c r="H293" s="89" t="s">
        <v>475</v>
      </c>
      <c r="I293" s="89" t="s">
        <v>543</v>
      </c>
      <c r="J293" s="89" t="s">
        <v>437</v>
      </c>
      <c r="K293" s="89" t="s">
        <v>487</v>
      </c>
      <c r="L293" s="89" t="s">
        <v>947</v>
      </c>
      <c r="M293" s="89" t="s">
        <v>1981</v>
      </c>
      <c r="N293" s="89" t="s">
        <v>441</v>
      </c>
      <c r="O293" s="87">
        <v>3020.0</v>
      </c>
      <c r="P293" s="87"/>
      <c r="Q293" s="87"/>
      <c r="R293" s="87"/>
      <c r="S293" s="87"/>
      <c r="T293" s="87"/>
      <c r="U293" s="87">
        <v>1269.0</v>
      </c>
      <c r="V293" s="87">
        <v>1751.0</v>
      </c>
      <c r="W293" s="87"/>
      <c r="X293" s="87">
        <v>328.0</v>
      </c>
      <c r="Y293" s="87">
        <v>64.0</v>
      </c>
      <c r="Z293" s="87">
        <v>373.0</v>
      </c>
      <c r="AA293" s="87">
        <v>403.0</v>
      </c>
      <c r="AB293" s="87">
        <v>307.0</v>
      </c>
      <c r="AC293" s="87">
        <v>448.0</v>
      </c>
      <c r="AD293" s="87">
        <v>460.0</v>
      </c>
      <c r="AE293" s="87">
        <v>327.0</v>
      </c>
      <c r="AF293" s="87">
        <v>310.0</v>
      </c>
      <c r="AG293" s="87"/>
      <c r="AH293" s="87">
        <v>1899.0</v>
      </c>
      <c r="AI293" s="87">
        <v>1117.0</v>
      </c>
      <c r="AJ293" s="87">
        <v>4.0</v>
      </c>
      <c r="AK293" s="87"/>
      <c r="AL293" s="87">
        <v>118.0</v>
      </c>
      <c r="AM293" s="87"/>
      <c r="AN293" s="87">
        <v>255.0</v>
      </c>
      <c r="AO293" s="87">
        <v>2513.0</v>
      </c>
      <c r="AP293" s="87">
        <v>15.0</v>
      </c>
      <c r="AQ293" s="87">
        <v>64.0</v>
      </c>
      <c r="AR293" s="87">
        <v>55.0</v>
      </c>
      <c r="AS293" s="87">
        <v>2643.0</v>
      </c>
      <c r="AT293" s="87">
        <v>3.0</v>
      </c>
      <c r="AU293" s="87">
        <v>10.0</v>
      </c>
      <c r="AV293" s="87">
        <v>8.0</v>
      </c>
      <c r="AW293" s="87"/>
      <c r="AX293" s="87"/>
      <c r="AY293" s="87"/>
      <c r="AZ293" s="87"/>
      <c r="BA293" s="87">
        <v>1.0</v>
      </c>
      <c r="BB293" s="87">
        <v>34.0</v>
      </c>
      <c r="BC293" s="87">
        <v>321.0</v>
      </c>
      <c r="BD293" s="87"/>
      <c r="BE293" s="87">
        <v>2316.0</v>
      </c>
      <c r="BF293" s="87">
        <v>10.0</v>
      </c>
      <c r="BG293" s="87">
        <v>694.0</v>
      </c>
      <c r="BH293" s="87"/>
      <c r="BI293" s="87">
        <v>10557.0</v>
      </c>
      <c r="BJ293" s="87">
        <v>2301.0</v>
      </c>
      <c r="BK293" s="87">
        <v>376.0</v>
      </c>
      <c r="BL293" s="87">
        <v>22.0</v>
      </c>
      <c r="BM293" s="87">
        <v>321.0</v>
      </c>
      <c r="BN293" s="87"/>
      <c r="BO293" s="87"/>
      <c r="BP293" s="87">
        <v>1998.0</v>
      </c>
      <c r="BQ293" s="87">
        <v>98.0</v>
      </c>
      <c r="BR293" s="87">
        <v>1.0</v>
      </c>
      <c r="BS293" s="87">
        <v>466.0</v>
      </c>
      <c r="BT293" s="87">
        <v>3.0</v>
      </c>
      <c r="BU293" s="87"/>
      <c r="BV293" s="87">
        <v>194.0</v>
      </c>
      <c r="BW293" s="87">
        <v>91.0</v>
      </c>
      <c r="BX293" s="87">
        <v>114.0</v>
      </c>
      <c r="BY293" s="87"/>
      <c r="BZ293" s="87"/>
      <c r="CA293" s="87">
        <v>29.0</v>
      </c>
      <c r="CB293" s="87">
        <v>17.0</v>
      </c>
      <c r="CC293" s="87">
        <v>9.0</v>
      </c>
      <c r="CD293" s="87"/>
      <c r="CE293" s="87"/>
      <c r="CF293" s="87"/>
      <c r="CG293" s="87">
        <v>42.0</v>
      </c>
      <c r="CH293" s="87">
        <v>2978.0</v>
      </c>
      <c r="CI293" s="87"/>
      <c r="CJ293" s="87">
        <v>928.0</v>
      </c>
      <c r="CK293" s="87">
        <v>1758.0</v>
      </c>
      <c r="CL293" s="87">
        <v>234.0</v>
      </c>
      <c r="CM293" s="87">
        <v>5.0</v>
      </c>
      <c r="CN293" s="87"/>
      <c r="CO293" s="87">
        <v>10.0</v>
      </c>
      <c r="CP293" s="87"/>
      <c r="CQ293" s="87">
        <v>69.0</v>
      </c>
      <c r="CR293" s="87">
        <v>16.0</v>
      </c>
      <c r="CS293" s="87"/>
      <c r="CT293" s="87">
        <v>818.0</v>
      </c>
      <c r="CU293" s="87">
        <v>27.0</v>
      </c>
      <c r="CV293" s="87">
        <v>13.0</v>
      </c>
      <c r="CW293" s="87">
        <v>141.0</v>
      </c>
      <c r="CX293" s="87">
        <v>30.0</v>
      </c>
      <c r="CY293" s="87">
        <v>107.0</v>
      </c>
      <c r="CZ293" s="87">
        <v>1.0</v>
      </c>
      <c r="DA293" s="87">
        <v>1.0</v>
      </c>
      <c r="DB293" s="87">
        <v>272.0</v>
      </c>
      <c r="DC293" s="87">
        <v>146.0</v>
      </c>
      <c r="DD293" s="87">
        <v>314.0</v>
      </c>
      <c r="DE293" s="87">
        <v>51.0</v>
      </c>
      <c r="DF293" s="87">
        <v>52.0</v>
      </c>
      <c r="DG293" s="87">
        <v>138.0</v>
      </c>
      <c r="DH293" s="87">
        <v>420.0</v>
      </c>
      <c r="DI293" s="87">
        <v>321.0</v>
      </c>
      <c r="DJ293" s="87"/>
      <c r="DK293" s="87">
        <v>28.0</v>
      </c>
      <c r="DL293" s="87">
        <v>139.0</v>
      </c>
      <c r="DM293" s="87"/>
      <c r="DN293" s="87">
        <v>1.0</v>
      </c>
      <c r="DO293" s="87">
        <v>647.0</v>
      </c>
      <c r="DP293" s="87">
        <v>321.0</v>
      </c>
      <c r="DQ293" s="87">
        <v>194.0</v>
      </c>
      <c r="DR293" s="87">
        <v>240.0</v>
      </c>
      <c r="DS293" s="87">
        <v>1.0</v>
      </c>
      <c r="DT293" s="87"/>
      <c r="DU293" s="87"/>
      <c r="DV293" s="87">
        <v>30.0</v>
      </c>
      <c r="DW293" s="87">
        <v>1.0</v>
      </c>
      <c r="DX293" s="87">
        <v>49.0</v>
      </c>
      <c r="DY293" s="87">
        <v>52.0</v>
      </c>
      <c r="DZ293" s="87"/>
      <c r="EA293" s="87"/>
      <c r="EB293" s="87">
        <v>23.0</v>
      </c>
      <c r="EC293" s="87">
        <v>27.0</v>
      </c>
      <c r="ED293" s="87">
        <v>1376.0</v>
      </c>
      <c r="EE293" s="87">
        <v>59.0</v>
      </c>
      <c r="EF293" s="87">
        <v>4.0</v>
      </c>
      <c r="EG293" s="87">
        <v>92.0</v>
      </c>
      <c r="EH293" s="87"/>
      <c r="EI293" s="87">
        <v>15.0</v>
      </c>
      <c r="EJ293" s="87">
        <v>2909.0</v>
      </c>
      <c r="EK293" s="88"/>
      <c r="EL293" s="88"/>
      <c r="EM293" s="88"/>
      <c r="EN293" s="88"/>
      <c r="EO293" s="88"/>
      <c r="EP293" s="88"/>
      <c r="EQ293" s="90"/>
    </row>
    <row r="294" ht="12.0" customHeight="1">
      <c r="A294" s="89">
        <v>1.06361223E8</v>
      </c>
      <c r="B294" s="89" t="s">
        <v>1982</v>
      </c>
      <c r="C294" s="89" t="s">
        <v>1964</v>
      </c>
      <c r="D294" s="89" t="s">
        <v>1983</v>
      </c>
      <c r="E294" s="89" t="s">
        <v>1984</v>
      </c>
      <c r="F294" s="89" t="s">
        <v>1985</v>
      </c>
      <c r="G294" s="89" t="s">
        <v>1986</v>
      </c>
      <c r="H294" s="89" t="s">
        <v>447</v>
      </c>
      <c r="I294" s="89" t="s">
        <v>543</v>
      </c>
      <c r="J294" s="89" t="s">
        <v>448</v>
      </c>
      <c r="K294" s="89" t="s">
        <v>487</v>
      </c>
      <c r="L294" s="89" t="s">
        <v>1987</v>
      </c>
      <c r="M294" s="89" t="s">
        <v>1988</v>
      </c>
      <c r="N294" s="89" t="s">
        <v>441</v>
      </c>
      <c r="O294" s="87">
        <v>37074.0</v>
      </c>
      <c r="P294" s="87"/>
      <c r="Q294" s="87"/>
      <c r="R294" s="87"/>
      <c r="S294" s="87"/>
      <c r="T294" s="87"/>
      <c r="U294" s="87">
        <v>15264.0</v>
      </c>
      <c r="V294" s="87">
        <v>21810.0</v>
      </c>
      <c r="W294" s="87"/>
      <c r="X294" s="87">
        <v>8971.0</v>
      </c>
      <c r="Y294" s="87">
        <v>969.0</v>
      </c>
      <c r="Z294" s="87">
        <v>3868.0</v>
      </c>
      <c r="AA294" s="87">
        <v>5396.0</v>
      </c>
      <c r="AB294" s="87">
        <v>2286.0</v>
      </c>
      <c r="AC294" s="87">
        <v>2931.0</v>
      </c>
      <c r="AD294" s="87">
        <v>4543.0</v>
      </c>
      <c r="AE294" s="87">
        <v>4696.0</v>
      </c>
      <c r="AF294" s="87">
        <v>3408.0</v>
      </c>
      <c r="AG294" s="87">
        <v>6.0</v>
      </c>
      <c r="AH294" s="87">
        <v>18200.0</v>
      </c>
      <c r="AI294" s="87">
        <v>18495.0</v>
      </c>
      <c r="AJ294" s="87">
        <v>379.0</v>
      </c>
      <c r="AK294" s="87">
        <v>76.0</v>
      </c>
      <c r="AL294" s="87">
        <v>2475.0</v>
      </c>
      <c r="AM294" s="87">
        <v>228.0</v>
      </c>
      <c r="AN294" s="87">
        <v>4046.0</v>
      </c>
      <c r="AO294" s="87">
        <v>11583.0</v>
      </c>
      <c r="AP294" s="87">
        <v>681.0</v>
      </c>
      <c r="AQ294" s="87">
        <v>17840.0</v>
      </c>
      <c r="AR294" s="87">
        <v>145.0</v>
      </c>
      <c r="AS294" s="87">
        <v>25720.0</v>
      </c>
      <c r="AT294" s="87">
        <v>825.0</v>
      </c>
      <c r="AU294" s="87">
        <v>2855.0</v>
      </c>
      <c r="AV294" s="87">
        <v>101.0</v>
      </c>
      <c r="AW294" s="87">
        <v>25.0</v>
      </c>
      <c r="AX294" s="87">
        <v>2.0</v>
      </c>
      <c r="AY294" s="87">
        <v>154.0</v>
      </c>
      <c r="AZ294" s="87"/>
      <c r="BA294" s="87">
        <v>15.0</v>
      </c>
      <c r="BB294" s="87">
        <v>95.0</v>
      </c>
      <c r="BC294" s="87">
        <v>7282.0</v>
      </c>
      <c r="BD294" s="87"/>
      <c r="BE294" s="87">
        <v>15400.0</v>
      </c>
      <c r="BF294" s="87">
        <v>1369.0</v>
      </c>
      <c r="BG294" s="87">
        <v>20305.0</v>
      </c>
      <c r="BH294" s="87"/>
      <c r="BI294" s="87">
        <v>146835.0</v>
      </c>
      <c r="BJ294" s="87">
        <v>5018.0</v>
      </c>
      <c r="BK294" s="87">
        <v>20485.0</v>
      </c>
      <c r="BL294" s="87">
        <v>4287.0</v>
      </c>
      <c r="BM294" s="87">
        <v>7282.0</v>
      </c>
      <c r="BN294" s="87">
        <v>1.0</v>
      </c>
      <c r="BO294" s="87">
        <v>1.0</v>
      </c>
      <c r="BP294" s="87">
        <v>26902.0</v>
      </c>
      <c r="BQ294" s="87">
        <v>477.0</v>
      </c>
      <c r="BR294" s="87">
        <v>101.0</v>
      </c>
      <c r="BS294" s="87">
        <v>1593.0</v>
      </c>
      <c r="BT294" s="87">
        <v>2.0</v>
      </c>
      <c r="BU294" s="87">
        <v>24.0</v>
      </c>
      <c r="BV294" s="87">
        <v>274.0</v>
      </c>
      <c r="BW294" s="87">
        <v>1005.0</v>
      </c>
      <c r="BX294" s="87">
        <v>6073.0</v>
      </c>
      <c r="BY294" s="87"/>
      <c r="BZ294" s="87">
        <v>2.0</v>
      </c>
      <c r="CA294" s="87">
        <v>510.0</v>
      </c>
      <c r="CB294" s="87">
        <v>70.0</v>
      </c>
      <c r="CC294" s="87"/>
      <c r="CD294" s="87">
        <v>31.0</v>
      </c>
      <c r="CE294" s="87">
        <v>10.0</v>
      </c>
      <c r="CF294" s="87"/>
      <c r="CG294" s="87">
        <v>2150.0</v>
      </c>
      <c r="CH294" s="87">
        <v>34924.0</v>
      </c>
      <c r="CI294" s="87"/>
      <c r="CJ294" s="87">
        <v>10837.0</v>
      </c>
      <c r="CK294" s="87">
        <v>5301.0</v>
      </c>
      <c r="CL294" s="87">
        <v>20331.0</v>
      </c>
      <c r="CM294" s="87">
        <v>23.0</v>
      </c>
      <c r="CN294" s="87">
        <v>5.0</v>
      </c>
      <c r="CO294" s="87">
        <v>92.0</v>
      </c>
      <c r="CP294" s="87"/>
      <c r="CQ294" s="87">
        <v>367.0</v>
      </c>
      <c r="CR294" s="87">
        <v>118.0</v>
      </c>
      <c r="CS294" s="87"/>
      <c r="CT294" s="87">
        <v>4096.0</v>
      </c>
      <c r="CU294" s="87">
        <v>1421.0</v>
      </c>
      <c r="CV294" s="87">
        <v>338.0</v>
      </c>
      <c r="CW294" s="87">
        <v>1401.0</v>
      </c>
      <c r="CX294" s="87">
        <v>246.0</v>
      </c>
      <c r="CY294" s="87">
        <v>819.0</v>
      </c>
      <c r="CZ294" s="87">
        <v>29.0</v>
      </c>
      <c r="DA294" s="87">
        <v>17.0</v>
      </c>
      <c r="DB294" s="87">
        <v>3712.0</v>
      </c>
      <c r="DC294" s="87">
        <v>1855.0</v>
      </c>
      <c r="DD294" s="87">
        <v>3067.0</v>
      </c>
      <c r="DE294" s="87">
        <v>311.0</v>
      </c>
      <c r="DF294" s="87">
        <v>919.0</v>
      </c>
      <c r="DG294" s="87">
        <v>1046.0</v>
      </c>
      <c r="DH294" s="87">
        <v>7640.0</v>
      </c>
      <c r="DI294" s="87">
        <v>7475.0</v>
      </c>
      <c r="DJ294" s="87">
        <v>142.0</v>
      </c>
      <c r="DK294" s="87">
        <v>468.0</v>
      </c>
      <c r="DL294" s="87">
        <v>1621.0</v>
      </c>
      <c r="DM294" s="87">
        <v>451.0</v>
      </c>
      <c r="DN294" s="87"/>
      <c r="DO294" s="87">
        <v>3650.0</v>
      </c>
      <c r="DP294" s="87">
        <v>7188.0</v>
      </c>
      <c r="DQ294" s="87">
        <v>2712.0</v>
      </c>
      <c r="DR294" s="87">
        <v>3432.0</v>
      </c>
      <c r="DS294" s="87">
        <v>22.0</v>
      </c>
      <c r="DT294" s="87">
        <v>68.0</v>
      </c>
      <c r="DU294" s="87">
        <v>3.0</v>
      </c>
      <c r="DV294" s="87">
        <v>1454.0</v>
      </c>
      <c r="DW294" s="87">
        <v>164.0</v>
      </c>
      <c r="DX294" s="87">
        <v>657.0</v>
      </c>
      <c r="DY294" s="87">
        <v>1607.0</v>
      </c>
      <c r="DZ294" s="87">
        <v>783.0</v>
      </c>
      <c r="EA294" s="87">
        <v>160.0</v>
      </c>
      <c r="EB294" s="87">
        <v>704.0</v>
      </c>
      <c r="EC294" s="87">
        <v>651.0</v>
      </c>
      <c r="ED294" s="87">
        <v>13359.0</v>
      </c>
      <c r="EE294" s="87">
        <v>460.0</v>
      </c>
      <c r="EF294" s="87">
        <v>8.0</v>
      </c>
      <c r="EG294" s="87">
        <v>190.0</v>
      </c>
      <c r="EH294" s="87"/>
      <c r="EI294" s="87">
        <v>71.0</v>
      </c>
      <c r="EJ294" s="87">
        <v>36805.0</v>
      </c>
      <c r="EK294" s="88"/>
      <c r="EL294" s="88"/>
      <c r="EM294" s="88"/>
      <c r="EN294" s="88"/>
      <c r="EO294" s="88"/>
      <c r="EP294" s="88"/>
      <c r="EQ294" s="90"/>
    </row>
    <row r="295" ht="12.0" customHeight="1">
      <c r="A295" s="89">
        <v>1.06361246E8</v>
      </c>
      <c r="B295" s="89" t="s">
        <v>1989</v>
      </c>
      <c r="C295" s="89" t="s">
        <v>1964</v>
      </c>
      <c r="D295" s="89" t="s">
        <v>1990</v>
      </c>
      <c r="E295" s="89" t="s">
        <v>1991</v>
      </c>
      <c r="F295" s="89" t="s">
        <v>1992</v>
      </c>
      <c r="G295" s="89" t="s">
        <v>1993</v>
      </c>
      <c r="H295" s="89" t="s">
        <v>447</v>
      </c>
      <c r="I295" s="89" t="s">
        <v>456</v>
      </c>
      <c r="J295" s="89" t="s">
        <v>448</v>
      </c>
      <c r="K295" s="89" t="s">
        <v>662</v>
      </c>
      <c r="L295" s="89" t="s">
        <v>748</v>
      </c>
      <c r="M295" s="89" t="s">
        <v>1994</v>
      </c>
      <c r="N295" s="89" t="s">
        <v>441</v>
      </c>
      <c r="O295" s="87">
        <v>24194.0</v>
      </c>
      <c r="P295" s="87"/>
      <c r="Q295" s="87"/>
      <c r="R295" s="87"/>
      <c r="S295" s="87">
        <v>691.0</v>
      </c>
      <c r="T295" s="87"/>
      <c r="U295" s="87">
        <v>12821.0</v>
      </c>
      <c r="V295" s="87">
        <v>12062.0</v>
      </c>
      <c r="W295" s="87">
        <v>2.0</v>
      </c>
      <c r="X295" s="87"/>
      <c r="Y295" s="87">
        <v>369.0</v>
      </c>
      <c r="Z295" s="87">
        <v>2103.0</v>
      </c>
      <c r="AA295" s="87">
        <v>3017.0</v>
      </c>
      <c r="AB295" s="87">
        <v>3027.0</v>
      </c>
      <c r="AC295" s="87">
        <v>4353.0</v>
      </c>
      <c r="AD295" s="87">
        <v>5371.0</v>
      </c>
      <c r="AE295" s="87">
        <v>4072.0</v>
      </c>
      <c r="AF295" s="87">
        <v>2572.0</v>
      </c>
      <c r="AG295" s="87">
        <v>1.0</v>
      </c>
      <c r="AH295" s="87">
        <v>10388.0</v>
      </c>
      <c r="AI295" s="87">
        <v>14359.0</v>
      </c>
      <c r="AJ295" s="87">
        <v>138.0</v>
      </c>
      <c r="AK295" s="87"/>
      <c r="AL295" s="87">
        <v>1369.0</v>
      </c>
      <c r="AM295" s="87">
        <v>275.0</v>
      </c>
      <c r="AN295" s="87">
        <v>2973.0</v>
      </c>
      <c r="AO295" s="87">
        <v>13064.0</v>
      </c>
      <c r="AP295" s="87">
        <v>150.0</v>
      </c>
      <c r="AQ295" s="87">
        <v>6350.0</v>
      </c>
      <c r="AR295" s="87">
        <v>704.0</v>
      </c>
      <c r="AS295" s="87">
        <v>18191.0</v>
      </c>
      <c r="AT295" s="87">
        <v>2308.0</v>
      </c>
      <c r="AU295" s="87">
        <v>2834.0</v>
      </c>
      <c r="AV295" s="87">
        <v>919.0</v>
      </c>
      <c r="AW295" s="87">
        <v>137.0</v>
      </c>
      <c r="AX295" s="87">
        <v>467.0</v>
      </c>
      <c r="AY295" s="87">
        <v>10.0</v>
      </c>
      <c r="AZ295" s="87">
        <v>4.0</v>
      </c>
      <c r="BA295" s="87">
        <v>15.0</v>
      </c>
      <c r="BB295" s="87"/>
      <c r="BC295" s="87"/>
      <c r="BD295" s="87"/>
      <c r="BE295" s="87">
        <v>18368.0</v>
      </c>
      <c r="BF295" s="87">
        <v>407.0</v>
      </c>
      <c r="BG295" s="87">
        <v>6110.0</v>
      </c>
      <c r="BH295" s="87"/>
      <c r="BI295" s="87">
        <v>159713.0</v>
      </c>
      <c r="BJ295" s="87">
        <v>12680.0</v>
      </c>
      <c r="BK295" s="87">
        <v>6103.0</v>
      </c>
      <c r="BL295" s="87">
        <v>4214.0</v>
      </c>
      <c r="BM295" s="87"/>
      <c r="BN295" s="87">
        <v>1888.0</v>
      </c>
      <c r="BO295" s="87"/>
      <c r="BP295" s="87">
        <v>14369.0</v>
      </c>
      <c r="BQ295" s="87">
        <v>545.0</v>
      </c>
      <c r="BR295" s="87">
        <v>599.0</v>
      </c>
      <c r="BS295" s="87">
        <v>2423.0</v>
      </c>
      <c r="BT295" s="87">
        <v>44.0</v>
      </c>
      <c r="BU295" s="87">
        <v>24.0</v>
      </c>
      <c r="BV295" s="87">
        <v>588.0</v>
      </c>
      <c r="BW295" s="87">
        <v>1014.0</v>
      </c>
      <c r="BX295" s="87">
        <v>4751.0</v>
      </c>
      <c r="BY295" s="87"/>
      <c r="BZ295" s="87">
        <v>20.0</v>
      </c>
      <c r="CA295" s="87">
        <v>411.0</v>
      </c>
      <c r="CB295" s="87">
        <v>89.0</v>
      </c>
      <c r="CC295" s="87"/>
      <c r="CD295" s="87">
        <v>8.0</v>
      </c>
      <c r="CE295" s="87"/>
      <c r="CF295" s="87"/>
      <c r="CG295" s="87">
        <v>1338.0</v>
      </c>
      <c r="CH295" s="87">
        <v>23547.0</v>
      </c>
      <c r="CI295" s="87"/>
      <c r="CJ295" s="87">
        <v>10360.0</v>
      </c>
      <c r="CK295" s="87">
        <v>8524.0</v>
      </c>
      <c r="CL295" s="87">
        <v>4040.0</v>
      </c>
      <c r="CM295" s="87">
        <v>107.0</v>
      </c>
      <c r="CN295" s="87"/>
      <c r="CO295" s="87">
        <v>710.0</v>
      </c>
      <c r="CP295" s="87">
        <v>3.0</v>
      </c>
      <c r="CQ295" s="87">
        <v>1083.0</v>
      </c>
      <c r="CR295" s="87">
        <v>58.0</v>
      </c>
      <c r="CS295" s="87"/>
      <c r="CT295" s="87">
        <v>2993.0</v>
      </c>
      <c r="CU295" s="87">
        <v>1956.0</v>
      </c>
      <c r="CV295" s="87">
        <v>451.0</v>
      </c>
      <c r="CW295" s="87">
        <v>1344.0</v>
      </c>
      <c r="CX295" s="87">
        <v>445.0</v>
      </c>
      <c r="CY295" s="87">
        <v>1024.0</v>
      </c>
      <c r="CZ295" s="87">
        <v>104.0</v>
      </c>
      <c r="DA295" s="87">
        <v>53.0</v>
      </c>
      <c r="DB295" s="87">
        <v>4952.0</v>
      </c>
      <c r="DC295" s="87">
        <v>879.0</v>
      </c>
      <c r="DD295" s="87">
        <v>3005.0</v>
      </c>
      <c r="DE295" s="87">
        <v>431.0</v>
      </c>
      <c r="DF295" s="87">
        <v>938.0</v>
      </c>
      <c r="DG295" s="87">
        <v>1241.0</v>
      </c>
      <c r="DH295" s="87">
        <v>159.0</v>
      </c>
      <c r="DI295" s="87"/>
      <c r="DJ295" s="87">
        <v>118.0</v>
      </c>
      <c r="DK295" s="87">
        <v>553.0</v>
      </c>
      <c r="DL295" s="87">
        <v>3796.0</v>
      </c>
      <c r="DM295" s="87">
        <v>443.0</v>
      </c>
      <c r="DN295" s="87"/>
      <c r="DO295" s="87">
        <v>3090.0</v>
      </c>
      <c r="DP295" s="87">
        <v>10.0</v>
      </c>
      <c r="DQ295" s="87">
        <v>3811.0</v>
      </c>
      <c r="DR295" s="87">
        <v>3297.0</v>
      </c>
      <c r="DS295" s="87">
        <v>50.0</v>
      </c>
      <c r="DT295" s="87">
        <v>141.0</v>
      </c>
      <c r="DU295" s="87">
        <v>57.0</v>
      </c>
      <c r="DV295" s="87">
        <v>436.0</v>
      </c>
      <c r="DW295" s="87">
        <v>199.0</v>
      </c>
      <c r="DX295" s="87">
        <v>780.0</v>
      </c>
      <c r="DY295" s="87">
        <v>2231.0</v>
      </c>
      <c r="DZ295" s="87">
        <v>746.0</v>
      </c>
      <c r="EA295" s="87">
        <v>144.0</v>
      </c>
      <c r="EB295" s="87">
        <v>744.0</v>
      </c>
      <c r="EC295" s="87">
        <v>842.0</v>
      </c>
      <c r="ED295" s="87">
        <v>7816.0</v>
      </c>
      <c r="EE295" s="87">
        <v>491.0</v>
      </c>
      <c r="EF295" s="87"/>
      <c r="EG295" s="87">
        <v>719.0</v>
      </c>
      <c r="EH295" s="87">
        <v>13.0</v>
      </c>
      <c r="EI295" s="87">
        <v>306.0</v>
      </c>
      <c r="EJ295" s="87">
        <v>23847.0</v>
      </c>
      <c r="EK295" s="88"/>
      <c r="EL295" s="88"/>
      <c r="EM295" s="88"/>
      <c r="EN295" s="88"/>
      <c r="EO295" s="88"/>
      <c r="EP295" s="88"/>
      <c r="EQ295" s="90"/>
    </row>
    <row r="296" ht="12.0" customHeight="1">
      <c r="A296" s="89">
        <v>1.06361266E8</v>
      </c>
      <c r="B296" s="89" t="s">
        <v>1995</v>
      </c>
      <c r="C296" s="89" t="s">
        <v>1964</v>
      </c>
      <c r="D296" s="89" t="s">
        <v>1996</v>
      </c>
      <c r="E296" s="89" t="s">
        <v>1997</v>
      </c>
      <c r="F296" s="89" t="s">
        <v>1998</v>
      </c>
      <c r="G296" s="89" t="s">
        <v>1999</v>
      </c>
      <c r="H296" s="89" t="s">
        <v>494</v>
      </c>
      <c r="I296" s="89" t="s">
        <v>543</v>
      </c>
      <c r="J296" s="89" t="s">
        <v>499</v>
      </c>
      <c r="K296" s="89" t="s">
        <v>662</v>
      </c>
      <c r="L296" s="89" t="s">
        <v>913</v>
      </c>
      <c r="M296" s="89" t="s">
        <v>2000</v>
      </c>
      <c r="N296" s="89" t="s">
        <v>547</v>
      </c>
      <c r="O296" s="87">
        <v>227.0</v>
      </c>
      <c r="P296" s="87">
        <v>13.0</v>
      </c>
      <c r="Q296" s="87"/>
      <c r="R296" s="87"/>
      <c r="S296" s="87"/>
      <c r="T296" s="87"/>
      <c r="U296" s="87">
        <v>128.0</v>
      </c>
      <c r="V296" s="87">
        <v>112.0</v>
      </c>
      <c r="W296" s="87"/>
      <c r="X296" s="87">
        <v>11.0</v>
      </c>
      <c r="Y296" s="87"/>
      <c r="Z296" s="87"/>
      <c r="AA296" s="87">
        <v>16.0</v>
      </c>
      <c r="AB296" s="87">
        <v>18.0</v>
      </c>
      <c r="AC296" s="87">
        <v>41.0</v>
      </c>
      <c r="AD296" s="87">
        <v>59.0</v>
      </c>
      <c r="AE296" s="87">
        <v>52.0</v>
      </c>
      <c r="AF296" s="87">
        <v>35.0</v>
      </c>
      <c r="AG296" s="87">
        <v>8.0</v>
      </c>
      <c r="AH296" s="87">
        <v>45.0</v>
      </c>
      <c r="AI296" s="87">
        <v>173.0</v>
      </c>
      <c r="AJ296" s="87">
        <v>22.0</v>
      </c>
      <c r="AK296" s="87"/>
      <c r="AL296" s="87"/>
      <c r="AM296" s="87"/>
      <c r="AN296" s="87"/>
      <c r="AO296" s="87">
        <v>202.0</v>
      </c>
      <c r="AP296" s="87">
        <v>19.0</v>
      </c>
      <c r="AQ296" s="87">
        <v>19.0</v>
      </c>
      <c r="AR296" s="87"/>
      <c r="AS296" s="87">
        <v>236.0</v>
      </c>
      <c r="AT296" s="87">
        <v>1.0</v>
      </c>
      <c r="AU296" s="87">
        <v>2.0</v>
      </c>
      <c r="AV296" s="87">
        <v>1.0</v>
      </c>
      <c r="AW296" s="87"/>
      <c r="AX296" s="87"/>
      <c r="AY296" s="87"/>
      <c r="AZ296" s="87"/>
      <c r="BA296" s="87"/>
      <c r="BB296" s="87"/>
      <c r="BC296" s="87"/>
      <c r="BD296" s="87"/>
      <c r="BE296" s="87">
        <v>224.0</v>
      </c>
      <c r="BF296" s="87"/>
      <c r="BG296" s="87">
        <v>16.0</v>
      </c>
      <c r="BH296" s="87"/>
      <c r="BI296" s="87">
        <v>868.0</v>
      </c>
      <c r="BJ296" s="87">
        <v>3.0</v>
      </c>
      <c r="BK296" s="87">
        <v>227.0</v>
      </c>
      <c r="BL296" s="87">
        <v>10.0</v>
      </c>
      <c r="BM296" s="87"/>
      <c r="BN296" s="87"/>
      <c r="BO296" s="87"/>
      <c r="BP296" s="87">
        <v>189.0</v>
      </c>
      <c r="BQ296" s="87">
        <v>12.0</v>
      </c>
      <c r="BR296" s="87"/>
      <c r="BS296" s="87">
        <v>15.0</v>
      </c>
      <c r="BT296" s="87">
        <v>3.0</v>
      </c>
      <c r="BU296" s="87"/>
      <c r="BV296" s="87">
        <v>9.0</v>
      </c>
      <c r="BW296" s="87">
        <v>2.0</v>
      </c>
      <c r="BX296" s="87">
        <v>3.0</v>
      </c>
      <c r="BY296" s="87"/>
      <c r="BZ296" s="87">
        <v>1.0</v>
      </c>
      <c r="CA296" s="87">
        <v>3.0</v>
      </c>
      <c r="CB296" s="87"/>
      <c r="CC296" s="87">
        <v>1.0</v>
      </c>
      <c r="CD296" s="87">
        <v>2.0</v>
      </c>
      <c r="CE296" s="87"/>
      <c r="CF296" s="87"/>
      <c r="CG296" s="87">
        <v>22.0</v>
      </c>
      <c r="CH296" s="87">
        <v>218.0</v>
      </c>
      <c r="CI296" s="87"/>
      <c r="CJ296" s="87">
        <v>123.0</v>
      </c>
      <c r="CK296" s="87">
        <v>81.0</v>
      </c>
      <c r="CL296" s="87">
        <v>28.0</v>
      </c>
      <c r="CM296" s="87">
        <v>2.0</v>
      </c>
      <c r="CN296" s="87"/>
      <c r="CO296" s="87">
        <v>3.0</v>
      </c>
      <c r="CP296" s="87"/>
      <c r="CQ296" s="87">
        <v>3.0</v>
      </c>
      <c r="CR296" s="87"/>
      <c r="CS296" s="87"/>
      <c r="CT296" s="87">
        <v>42.0</v>
      </c>
      <c r="CU296" s="87"/>
      <c r="CV296" s="87">
        <v>1.0</v>
      </c>
      <c r="CW296" s="87">
        <v>15.0</v>
      </c>
      <c r="CX296" s="87">
        <v>5.0</v>
      </c>
      <c r="CY296" s="87">
        <v>6.0</v>
      </c>
      <c r="CZ296" s="87"/>
      <c r="DA296" s="87"/>
      <c r="DB296" s="87">
        <v>7.0</v>
      </c>
      <c r="DC296" s="87">
        <v>47.0</v>
      </c>
      <c r="DD296" s="87">
        <v>33.0</v>
      </c>
      <c r="DE296" s="87">
        <v>21.0</v>
      </c>
      <c r="DF296" s="87">
        <v>13.0</v>
      </c>
      <c r="DG296" s="87">
        <v>15.0</v>
      </c>
      <c r="DH296" s="87"/>
      <c r="DI296" s="87"/>
      <c r="DJ296" s="87"/>
      <c r="DK296" s="87">
        <v>9.0</v>
      </c>
      <c r="DL296" s="87">
        <v>16.0</v>
      </c>
      <c r="DM296" s="87">
        <v>10.0</v>
      </c>
      <c r="DN296" s="87"/>
      <c r="DO296" s="87">
        <v>8.0</v>
      </c>
      <c r="DP296" s="87"/>
      <c r="DQ296" s="87">
        <v>5.0</v>
      </c>
      <c r="DR296" s="87">
        <v>9.0</v>
      </c>
      <c r="DS296" s="87"/>
      <c r="DT296" s="87"/>
      <c r="DU296" s="87"/>
      <c r="DV296" s="87"/>
      <c r="DW296" s="87"/>
      <c r="DX296" s="87">
        <v>16.0</v>
      </c>
      <c r="DY296" s="87">
        <v>22.0</v>
      </c>
      <c r="DZ296" s="87"/>
      <c r="EA296" s="87"/>
      <c r="EB296" s="87">
        <v>1.0</v>
      </c>
      <c r="EC296" s="87"/>
      <c r="ED296" s="87">
        <v>171.0</v>
      </c>
      <c r="EE296" s="87">
        <v>8.0</v>
      </c>
      <c r="EF296" s="87"/>
      <c r="EG296" s="87">
        <v>1.0</v>
      </c>
      <c r="EH296" s="87"/>
      <c r="EI296" s="87">
        <v>4.0</v>
      </c>
      <c r="EJ296" s="87">
        <v>235.0</v>
      </c>
      <c r="EK296" s="88"/>
      <c r="EL296" s="88"/>
      <c r="EM296" s="88"/>
      <c r="EN296" s="88"/>
      <c r="EO296" s="88"/>
      <c r="EP296" s="88"/>
      <c r="EQ296" s="90"/>
    </row>
    <row r="297" ht="12.0" customHeight="1">
      <c r="A297" s="89">
        <v>1.06361274E8</v>
      </c>
      <c r="B297" s="89" t="s">
        <v>2001</v>
      </c>
      <c r="C297" s="89" t="s">
        <v>1964</v>
      </c>
      <c r="D297" s="89" t="s">
        <v>2002</v>
      </c>
      <c r="E297" s="89" t="s">
        <v>2003</v>
      </c>
      <c r="F297" s="89" t="s">
        <v>2004</v>
      </c>
      <c r="G297" s="89" t="s">
        <v>2005</v>
      </c>
      <c r="H297" s="89" t="s">
        <v>475</v>
      </c>
      <c r="I297" s="89" t="s">
        <v>543</v>
      </c>
      <c r="J297" s="89" t="s">
        <v>463</v>
      </c>
      <c r="K297" s="89" t="s">
        <v>487</v>
      </c>
      <c r="L297" s="89" t="s">
        <v>947</v>
      </c>
      <c r="M297" s="89" t="s">
        <v>1981</v>
      </c>
      <c r="N297" s="89" t="s">
        <v>441</v>
      </c>
      <c r="O297" s="87">
        <v>438.0</v>
      </c>
      <c r="P297" s="87"/>
      <c r="Q297" s="87"/>
      <c r="R297" s="87"/>
      <c r="S297" s="87"/>
      <c r="T297" s="87"/>
      <c r="U297" s="87">
        <v>254.0</v>
      </c>
      <c r="V297" s="87">
        <v>184.0</v>
      </c>
      <c r="W297" s="87"/>
      <c r="X297" s="87"/>
      <c r="Y297" s="87"/>
      <c r="Z297" s="87">
        <v>14.0</v>
      </c>
      <c r="AA297" s="87">
        <v>34.0</v>
      </c>
      <c r="AB297" s="87">
        <v>38.0</v>
      </c>
      <c r="AC297" s="87">
        <v>82.0</v>
      </c>
      <c r="AD297" s="87">
        <v>114.0</v>
      </c>
      <c r="AE297" s="87">
        <v>99.0</v>
      </c>
      <c r="AF297" s="87">
        <v>56.0</v>
      </c>
      <c r="AG297" s="87">
        <v>1.0</v>
      </c>
      <c r="AH297" s="87">
        <v>168.0</v>
      </c>
      <c r="AI297" s="87">
        <v>258.0</v>
      </c>
      <c r="AJ297" s="87">
        <v>12.0</v>
      </c>
      <c r="AK297" s="87"/>
      <c r="AL297" s="87">
        <v>18.0</v>
      </c>
      <c r="AM297" s="87"/>
      <c r="AN297" s="87">
        <v>52.0</v>
      </c>
      <c r="AO297" s="87">
        <v>177.0</v>
      </c>
      <c r="AP297" s="87">
        <v>11.0</v>
      </c>
      <c r="AQ297" s="87">
        <v>180.0</v>
      </c>
      <c r="AR297" s="87"/>
      <c r="AS297" s="87"/>
      <c r="AT297" s="87"/>
      <c r="AU297" s="87">
        <v>436.0</v>
      </c>
      <c r="AV297" s="87">
        <v>1.0</v>
      </c>
      <c r="AW297" s="87">
        <v>1.0</v>
      </c>
      <c r="AX297" s="87"/>
      <c r="AY297" s="87"/>
      <c r="AZ297" s="87"/>
      <c r="BA297" s="87"/>
      <c r="BB297" s="87"/>
      <c r="BC297" s="87"/>
      <c r="BD297" s="87"/>
      <c r="BE297" s="87"/>
      <c r="BF297" s="87"/>
      <c r="BG297" s="87">
        <v>438.0</v>
      </c>
      <c r="BH297" s="87"/>
      <c r="BI297" s="87">
        <v>22938.0</v>
      </c>
      <c r="BJ297" s="87"/>
      <c r="BK297" s="87"/>
      <c r="BL297" s="87">
        <v>438.0</v>
      </c>
      <c r="BM297" s="87"/>
      <c r="BN297" s="87"/>
      <c r="BO297" s="87"/>
      <c r="BP297" s="87">
        <v>26.0</v>
      </c>
      <c r="BQ297" s="87">
        <v>35.0</v>
      </c>
      <c r="BR297" s="87">
        <v>47.0</v>
      </c>
      <c r="BS297" s="87">
        <v>126.0</v>
      </c>
      <c r="BT297" s="87"/>
      <c r="BU297" s="87"/>
      <c r="BV297" s="87">
        <v>7.0</v>
      </c>
      <c r="BW297" s="87">
        <v>123.0</v>
      </c>
      <c r="BX297" s="87">
        <v>59.0</v>
      </c>
      <c r="BY297" s="87"/>
      <c r="BZ297" s="87"/>
      <c r="CA297" s="87">
        <v>15.0</v>
      </c>
      <c r="CB297" s="87"/>
      <c r="CC297" s="87"/>
      <c r="CD297" s="87"/>
      <c r="CE297" s="87"/>
      <c r="CF297" s="87"/>
      <c r="CG297" s="87"/>
      <c r="CH297" s="87">
        <v>438.0</v>
      </c>
      <c r="CI297" s="87"/>
      <c r="CJ297" s="87">
        <v>56.0</v>
      </c>
      <c r="CK297" s="87">
        <v>144.0</v>
      </c>
      <c r="CL297" s="87">
        <v>225.0</v>
      </c>
      <c r="CM297" s="87"/>
      <c r="CN297" s="87"/>
      <c r="CO297" s="87">
        <v>11.0</v>
      </c>
      <c r="CP297" s="87"/>
      <c r="CQ297" s="87">
        <v>2.0</v>
      </c>
      <c r="CR297" s="87"/>
      <c r="CS297" s="87"/>
      <c r="CT297" s="87">
        <v>21.0</v>
      </c>
      <c r="CU297" s="87"/>
      <c r="CV297" s="87">
        <v>1.0</v>
      </c>
      <c r="CW297" s="87">
        <v>3.0</v>
      </c>
      <c r="CX297" s="87"/>
      <c r="CY297" s="87">
        <v>5.0</v>
      </c>
      <c r="CZ297" s="87"/>
      <c r="DA297" s="87"/>
      <c r="DB297" s="87">
        <v>21.0</v>
      </c>
      <c r="DC297" s="87">
        <v>315.0</v>
      </c>
      <c r="DD297" s="87">
        <v>13.0</v>
      </c>
      <c r="DE297" s="87">
        <v>11.0</v>
      </c>
      <c r="DF297" s="87">
        <v>6.0</v>
      </c>
      <c r="DG297" s="87">
        <v>13.0</v>
      </c>
      <c r="DH297" s="87"/>
      <c r="DI297" s="87"/>
      <c r="DJ297" s="87"/>
      <c r="DK297" s="87">
        <v>3.0</v>
      </c>
      <c r="DL297" s="87">
        <v>22.0</v>
      </c>
      <c r="DM297" s="87">
        <v>4.0</v>
      </c>
      <c r="DN297" s="87"/>
      <c r="DO297" s="87">
        <v>231.0</v>
      </c>
      <c r="DP297" s="87"/>
      <c r="DQ297" s="87">
        <v>36.0</v>
      </c>
      <c r="DR297" s="87">
        <v>40.0</v>
      </c>
      <c r="DS297" s="87"/>
      <c r="DT297" s="87"/>
      <c r="DU297" s="87"/>
      <c r="DV297" s="87"/>
      <c r="DW297" s="87"/>
      <c r="DX297" s="87">
        <v>8.0</v>
      </c>
      <c r="DY297" s="87"/>
      <c r="DZ297" s="87"/>
      <c r="EA297" s="87"/>
      <c r="EB297" s="87">
        <v>5.0</v>
      </c>
      <c r="EC297" s="87"/>
      <c r="ED297" s="87">
        <v>112.0</v>
      </c>
      <c r="EE297" s="87">
        <v>6.0</v>
      </c>
      <c r="EF297" s="87">
        <v>2.0</v>
      </c>
      <c r="EG297" s="87">
        <v>6.0</v>
      </c>
      <c r="EH297" s="87"/>
      <c r="EI297" s="87">
        <v>4.0</v>
      </c>
      <c r="EJ297" s="87">
        <v>426.0</v>
      </c>
      <c r="EK297" s="88"/>
      <c r="EL297" s="88"/>
      <c r="EM297" s="88"/>
      <c r="EN297" s="88"/>
      <c r="EO297" s="88"/>
      <c r="EP297" s="88"/>
      <c r="EQ297" s="90"/>
    </row>
    <row r="298" ht="12.0" customHeight="1">
      <c r="A298" s="89">
        <v>1.06361308E8</v>
      </c>
      <c r="B298" s="89" t="s">
        <v>2006</v>
      </c>
      <c r="C298" s="89" t="s">
        <v>1964</v>
      </c>
      <c r="D298" s="89" t="s">
        <v>2007</v>
      </c>
      <c r="E298" s="89" t="s">
        <v>2008</v>
      </c>
      <c r="F298" s="89" t="s">
        <v>2009</v>
      </c>
      <c r="G298" s="89" t="s">
        <v>2010</v>
      </c>
      <c r="H298" s="89" t="s">
        <v>447</v>
      </c>
      <c r="I298" s="89" t="s">
        <v>543</v>
      </c>
      <c r="J298" s="89" t="s">
        <v>469</v>
      </c>
      <c r="K298" s="89" t="s">
        <v>662</v>
      </c>
      <c r="L298" s="89" t="s">
        <v>748</v>
      </c>
      <c r="M298" s="89" t="s">
        <v>2011</v>
      </c>
      <c r="N298" s="89" t="s">
        <v>441</v>
      </c>
      <c r="O298" s="87">
        <v>11089.0</v>
      </c>
      <c r="P298" s="87">
        <v>182.0</v>
      </c>
      <c r="Q298" s="87">
        <v>217.0</v>
      </c>
      <c r="R298" s="87"/>
      <c r="S298" s="87"/>
      <c r="T298" s="87"/>
      <c r="U298" s="87">
        <v>4793.0</v>
      </c>
      <c r="V298" s="87">
        <v>6692.0</v>
      </c>
      <c r="W298" s="87">
        <v>3.0</v>
      </c>
      <c r="X298" s="87">
        <v>1712.0</v>
      </c>
      <c r="Y298" s="87">
        <v>126.0</v>
      </c>
      <c r="Z298" s="87">
        <v>1082.0</v>
      </c>
      <c r="AA298" s="87">
        <v>1457.0</v>
      </c>
      <c r="AB298" s="87">
        <v>715.0</v>
      </c>
      <c r="AC298" s="87">
        <v>1086.0</v>
      </c>
      <c r="AD298" s="87">
        <v>1882.0</v>
      </c>
      <c r="AE298" s="87">
        <v>1790.0</v>
      </c>
      <c r="AF298" s="87">
        <v>1638.0</v>
      </c>
      <c r="AG298" s="87"/>
      <c r="AH298" s="87">
        <v>2963.0</v>
      </c>
      <c r="AI298" s="87">
        <v>8449.0</v>
      </c>
      <c r="AJ298" s="87">
        <v>76.0</v>
      </c>
      <c r="AK298" s="87">
        <v>36.0</v>
      </c>
      <c r="AL298" s="87">
        <v>309.0</v>
      </c>
      <c r="AM298" s="87">
        <v>24.0</v>
      </c>
      <c r="AN298" s="87">
        <v>726.0</v>
      </c>
      <c r="AO298" s="87">
        <v>7848.0</v>
      </c>
      <c r="AP298" s="87">
        <v>3.0</v>
      </c>
      <c r="AQ298" s="87">
        <v>2523.0</v>
      </c>
      <c r="AR298" s="87">
        <v>19.0</v>
      </c>
      <c r="AS298" s="87">
        <v>8774.0</v>
      </c>
      <c r="AT298" s="87">
        <v>140.0</v>
      </c>
      <c r="AU298" s="87">
        <v>181.0</v>
      </c>
      <c r="AV298" s="87">
        <v>553.0</v>
      </c>
      <c r="AW298" s="87">
        <v>4.0</v>
      </c>
      <c r="AX298" s="87">
        <v>168.0</v>
      </c>
      <c r="AY298" s="87">
        <v>1.0</v>
      </c>
      <c r="AZ298" s="87"/>
      <c r="BA298" s="87"/>
      <c r="BB298" s="87">
        <v>4.0</v>
      </c>
      <c r="BC298" s="87">
        <v>1663.0</v>
      </c>
      <c r="BD298" s="87"/>
      <c r="BE298" s="87">
        <v>6587.0</v>
      </c>
      <c r="BF298" s="87">
        <v>29.0</v>
      </c>
      <c r="BG298" s="87">
        <v>4872.0</v>
      </c>
      <c r="BH298" s="87"/>
      <c r="BI298" s="87">
        <v>47198.0</v>
      </c>
      <c r="BJ298" s="87">
        <v>6513.0</v>
      </c>
      <c r="BK298" s="87">
        <v>961.0</v>
      </c>
      <c r="BL298" s="87">
        <v>2329.0</v>
      </c>
      <c r="BM298" s="87">
        <v>1663.0</v>
      </c>
      <c r="BN298" s="87"/>
      <c r="BO298" s="87">
        <v>22.0</v>
      </c>
      <c r="BP298" s="87">
        <v>7022.0</v>
      </c>
      <c r="BQ298" s="87">
        <v>213.0</v>
      </c>
      <c r="BR298" s="87">
        <v>19.0</v>
      </c>
      <c r="BS298" s="87">
        <v>1334.0</v>
      </c>
      <c r="BT298" s="87">
        <v>43.0</v>
      </c>
      <c r="BU298" s="87">
        <v>2.0</v>
      </c>
      <c r="BV298" s="87">
        <v>173.0</v>
      </c>
      <c r="BW298" s="87">
        <v>408.0</v>
      </c>
      <c r="BX298" s="87">
        <v>2012.0</v>
      </c>
      <c r="BY298" s="87"/>
      <c r="BZ298" s="87">
        <v>5.0</v>
      </c>
      <c r="CA298" s="87">
        <v>225.0</v>
      </c>
      <c r="CB298" s="87">
        <v>17.0</v>
      </c>
      <c r="CC298" s="87">
        <v>1.0</v>
      </c>
      <c r="CD298" s="87">
        <v>14.0</v>
      </c>
      <c r="CE298" s="87"/>
      <c r="CF298" s="87"/>
      <c r="CG298" s="87">
        <v>494.0</v>
      </c>
      <c r="CH298" s="87">
        <v>10994.0</v>
      </c>
      <c r="CI298" s="87"/>
      <c r="CJ298" s="87">
        <v>4695.0</v>
      </c>
      <c r="CK298" s="87">
        <v>2650.0</v>
      </c>
      <c r="CL298" s="87">
        <v>3955.0</v>
      </c>
      <c r="CM298" s="87">
        <v>46.0</v>
      </c>
      <c r="CN298" s="87"/>
      <c r="CO298" s="87"/>
      <c r="CP298" s="87"/>
      <c r="CQ298" s="87">
        <v>142.0</v>
      </c>
      <c r="CR298" s="87"/>
      <c r="CS298" s="87"/>
      <c r="CT298" s="87">
        <v>1365.0</v>
      </c>
      <c r="CU298" s="87">
        <v>301.0</v>
      </c>
      <c r="CV298" s="87">
        <v>51.0</v>
      </c>
      <c r="CW298" s="87">
        <v>492.0</v>
      </c>
      <c r="CX298" s="87">
        <v>561.0</v>
      </c>
      <c r="CY298" s="87">
        <v>182.0</v>
      </c>
      <c r="CZ298" s="87">
        <v>7.0</v>
      </c>
      <c r="DA298" s="87">
        <v>3.0</v>
      </c>
      <c r="DB298" s="87">
        <v>1006.0</v>
      </c>
      <c r="DC298" s="87">
        <v>562.0</v>
      </c>
      <c r="DD298" s="87">
        <v>1070.0</v>
      </c>
      <c r="DE298" s="87">
        <v>150.0</v>
      </c>
      <c r="DF298" s="87">
        <v>829.0</v>
      </c>
      <c r="DG298" s="87">
        <v>483.0</v>
      </c>
      <c r="DH298" s="87">
        <v>1726.0</v>
      </c>
      <c r="DI298" s="87">
        <v>1705.0</v>
      </c>
      <c r="DJ298" s="87">
        <v>9.0</v>
      </c>
      <c r="DK298" s="87">
        <v>106.0</v>
      </c>
      <c r="DL298" s="87">
        <v>823.0</v>
      </c>
      <c r="DM298" s="87">
        <v>56.0</v>
      </c>
      <c r="DN298" s="87">
        <v>1.0</v>
      </c>
      <c r="DO298" s="87">
        <v>2664.0</v>
      </c>
      <c r="DP298" s="87">
        <v>1668.0</v>
      </c>
      <c r="DQ298" s="87">
        <v>528.0</v>
      </c>
      <c r="DR298" s="87">
        <v>985.0</v>
      </c>
      <c r="DS298" s="87">
        <v>2.0</v>
      </c>
      <c r="DT298" s="87">
        <v>12.0</v>
      </c>
      <c r="DU298" s="87">
        <v>1.0</v>
      </c>
      <c r="DV298" s="87">
        <v>135.0</v>
      </c>
      <c r="DW298" s="87">
        <v>17.0</v>
      </c>
      <c r="DX298" s="87">
        <v>220.0</v>
      </c>
      <c r="DY298" s="87">
        <v>1232.0</v>
      </c>
      <c r="DZ298" s="87">
        <v>127.0</v>
      </c>
      <c r="EA298" s="87">
        <v>62.0</v>
      </c>
      <c r="EB298" s="87">
        <v>216.0</v>
      </c>
      <c r="EC298" s="87">
        <v>388.0</v>
      </c>
      <c r="ED298" s="87">
        <v>3099.0</v>
      </c>
      <c r="EE298" s="87">
        <v>132.0</v>
      </c>
      <c r="EF298" s="87"/>
      <c r="EG298" s="87">
        <v>177.0</v>
      </c>
      <c r="EH298" s="87"/>
      <c r="EI298" s="87">
        <v>54.0</v>
      </c>
      <c r="EJ298" s="87">
        <v>11257.0</v>
      </c>
      <c r="EK298" s="88"/>
      <c r="EL298" s="88"/>
      <c r="EM298" s="88"/>
      <c r="EN298" s="88"/>
      <c r="EO298" s="88"/>
      <c r="EP298" s="88"/>
      <c r="EQ298" s="90"/>
    </row>
    <row r="299" ht="12.0" customHeight="1">
      <c r="A299" s="89">
        <v>1.06361318E8</v>
      </c>
      <c r="B299" s="89" t="s">
        <v>2012</v>
      </c>
      <c r="C299" s="89" t="s">
        <v>1964</v>
      </c>
      <c r="D299" s="89" t="s">
        <v>2013</v>
      </c>
      <c r="E299" s="89" t="s">
        <v>2014</v>
      </c>
      <c r="F299" s="89" t="s">
        <v>2015</v>
      </c>
      <c r="G299" s="89" t="s">
        <v>2016</v>
      </c>
      <c r="H299" s="89" t="s">
        <v>447</v>
      </c>
      <c r="I299" s="89" t="s">
        <v>543</v>
      </c>
      <c r="J299" s="89" t="s">
        <v>448</v>
      </c>
      <c r="K299" s="89" t="s">
        <v>504</v>
      </c>
      <c r="L299" s="89" t="s">
        <v>1105</v>
      </c>
      <c r="M299" s="89" t="s">
        <v>1981</v>
      </c>
      <c r="N299" s="89" t="s">
        <v>441</v>
      </c>
      <c r="O299" s="87">
        <v>17217.0</v>
      </c>
      <c r="P299" s="87"/>
      <c r="Q299" s="87"/>
      <c r="R299" s="87"/>
      <c r="S299" s="87"/>
      <c r="T299" s="87"/>
      <c r="U299" s="87">
        <v>7548.0</v>
      </c>
      <c r="V299" s="87">
        <v>9668.0</v>
      </c>
      <c r="W299" s="87">
        <v>1.0</v>
      </c>
      <c r="X299" s="87">
        <v>1887.0</v>
      </c>
      <c r="Y299" s="87">
        <v>133.0</v>
      </c>
      <c r="Z299" s="87">
        <v>1196.0</v>
      </c>
      <c r="AA299" s="87">
        <v>2113.0</v>
      </c>
      <c r="AB299" s="87">
        <v>1346.0</v>
      </c>
      <c r="AC299" s="87">
        <v>2073.0</v>
      </c>
      <c r="AD299" s="87">
        <v>2999.0</v>
      </c>
      <c r="AE299" s="87">
        <v>2872.0</v>
      </c>
      <c r="AF299" s="87">
        <v>2598.0</v>
      </c>
      <c r="AG299" s="87"/>
      <c r="AH299" s="87">
        <v>6965.0</v>
      </c>
      <c r="AI299" s="87">
        <v>9513.0</v>
      </c>
      <c r="AJ299" s="87">
        <v>739.0</v>
      </c>
      <c r="AK299" s="87">
        <v>26.0</v>
      </c>
      <c r="AL299" s="87">
        <v>1101.0</v>
      </c>
      <c r="AM299" s="87">
        <v>70.0</v>
      </c>
      <c r="AN299" s="87">
        <v>1474.0</v>
      </c>
      <c r="AO299" s="87">
        <v>6369.0</v>
      </c>
      <c r="AP299" s="87">
        <v>126.0</v>
      </c>
      <c r="AQ299" s="87">
        <v>7915.0</v>
      </c>
      <c r="AR299" s="87">
        <v>136.0</v>
      </c>
      <c r="AS299" s="87">
        <v>13245.0</v>
      </c>
      <c r="AT299" s="87">
        <v>900.0</v>
      </c>
      <c r="AU299" s="87">
        <v>118.0</v>
      </c>
      <c r="AV299" s="87">
        <v>984.0</v>
      </c>
      <c r="AW299" s="87">
        <v>19.0</v>
      </c>
      <c r="AX299" s="87">
        <v>2.0</v>
      </c>
      <c r="AY299" s="87">
        <v>7.0</v>
      </c>
      <c r="AZ299" s="87"/>
      <c r="BA299" s="87">
        <v>16.0</v>
      </c>
      <c r="BB299" s="87">
        <v>41.0</v>
      </c>
      <c r="BC299" s="87">
        <v>1885.0</v>
      </c>
      <c r="BD299" s="87"/>
      <c r="BE299" s="87">
        <v>12403.0</v>
      </c>
      <c r="BF299" s="87">
        <v>24.0</v>
      </c>
      <c r="BG299" s="87">
        <v>4748.0</v>
      </c>
      <c r="BH299" s="87">
        <v>42.0</v>
      </c>
      <c r="BI299" s="87">
        <v>84885.0</v>
      </c>
      <c r="BJ299" s="87">
        <v>6536.0</v>
      </c>
      <c r="BK299" s="87">
        <v>7316.0</v>
      </c>
      <c r="BL299" s="87">
        <v>1480.0</v>
      </c>
      <c r="BM299" s="87">
        <v>1885.0</v>
      </c>
      <c r="BN299" s="87"/>
      <c r="BO299" s="87"/>
      <c r="BP299" s="87">
        <v>11122.0</v>
      </c>
      <c r="BQ299" s="87">
        <v>304.0</v>
      </c>
      <c r="BR299" s="87">
        <v>282.0</v>
      </c>
      <c r="BS299" s="87">
        <v>1777.0</v>
      </c>
      <c r="BT299" s="87">
        <v>140.0</v>
      </c>
      <c r="BU299" s="87">
        <v>11.0</v>
      </c>
      <c r="BV299" s="87">
        <v>325.0</v>
      </c>
      <c r="BW299" s="87">
        <v>703.0</v>
      </c>
      <c r="BX299" s="87">
        <v>2126.0</v>
      </c>
      <c r="BY299" s="87"/>
      <c r="BZ299" s="87">
        <v>24.0</v>
      </c>
      <c r="CA299" s="87">
        <v>373.0</v>
      </c>
      <c r="CB299" s="87">
        <v>25.0</v>
      </c>
      <c r="CC299" s="87">
        <v>2.0</v>
      </c>
      <c r="CD299" s="87">
        <v>3.0</v>
      </c>
      <c r="CE299" s="87"/>
      <c r="CF299" s="87"/>
      <c r="CG299" s="87">
        <v>223.0</v>
      </c>
      <c r="CH299" s="87">
        <v>16952.0</v>
      </c>
      <c r="CI299" s="87">
        <v>42.0</v>
      </c>
      <c r="CJ299" s="87">
        <v>7368.0</v>
      </c>
      <c r="CK299" s="87">
        <v>4274.0</v>
      </c>
      <c r="CL299" s="87">
        <v>5103.0</v>
      </c>
      <c r="CM299" s="87">
        <v>29.0</v>
      </c>
      <c r="CN299" s="87"/>
      <c r="CO299" s="87">
        <v>162.0</v>
      </c>
      <c r="CP299" s="87"/>
      <c r="CQ299" s="87">
        <v>146.0</v>
      </c>
      <c r="CR299" s="87">
        <v>110.0</v>
      </c>
      <c r="CS299" s="87">
        <v>25.0</v>
      </c>
      <c r="CT299" s="87">
        <v>2111.0</v>
      </c>
      <c r="CU299" s="87">
        <v>766.0</v>
      </c>
      <c r="CV299" s="87">
        <v>188.0</v>
      </c>
      <c r="CW299" s="87">
        <v>788.0</v>
      </c>
      <c r="CX299" s="87">
        <v>172.0</v>
      </c>
      <c r="CY299" s="87">
        <v>310.0</v>
      </c>
      <c r="CZ299" s="87">
        <v>13.0</v>
      </c>
      <c r="DA299" s="87">
        <v>8.0</v>
      </c>
      <c r="DB299" s="87">
        <v>2982.0</v>
      </c>
      <c r="DC299" s="87">
        <v>882.0</v>
      </c>
      <c r="DD299" s="87">
        <v>2125.0</v>
      </c>
      <c r="DE299" s="87">
        <v>294.0</v>
      </c>
      <c r="DF299" s="87">
        <v>306.0</v>
      </c>
      <c r="DG299" s="87">
        <v>982.0</v>
      </c>
      <c r="DH299" s="87">
        <v>1993.0</v>
      </c>
      <c r="DI299" s="87">
        <v>1886.0</v>
      </c>
      <c r="DJ299" s="87">
        <v>31.0</v>
      </c>
      <c r="DK299" s="87">
        <v>224.0</v>
      </c>
      <c r="DL299" s="87">
        <v>1086.0</v>
      </c>
      <c r="DM299" s="87">
        <v>68.0</v>
      </c>
      <c r="DN299" s="87">
        <v>2.0</v>
      </c>
      <c r="DO299" s="87">
        <v>3771.0</v>
      </c>
      <c r="DP299" s="87">
        <v>1857.0</v>
      </c>
      <c r="DQ299" s="87">
        <v>2110.0</v>
      </c>
      <c r="DR299" s="87">
        <v>2114.0</v>
      </c>
      <c r="DS299" s="87">
        <v>3.0</v>
      </c>
      <c r="DT299" s="87">
        <v>25.0</v>
      </c>
      <c r="DU299" s="87"/>
      <c r="DV299" s="87">
        <v>558.0</v>
      </c>
      <c r="DW299" s="87">
        <v>44.0</v>
      </c>
      <c r="DX299" s="87">
        <v>294.0</v>
      </c>
      <c r="DY299" s="87">
        <v>747.0</v>
      </c>
      <c r="DZ299" s="87">
        <v>191.0</v>
      </c>
      <c r="EA299" s="87">
        <v>42.0</v>
      </c>
      <c r="EB299" s="87">
        <v>526.0</v>
      </c>
      <c r="EC299" s="87">
        <v>244.0</v>
      </c>
      <c r="ED299" s="87">
        <v>4236.0</v>
      </c>
      <c r="EE299" s="87">
        <v>455.0</v>
      </c>
      <c r="EF299" s="87">
        <v>42.0</v>
      </c>
      <c r="EG299" s="87">
        <v>197.0</v>
      </c>
      <c r="EH299" s="87">
        <v>7.0</v>
      </c>
      <c r="EI299" s="87">
        <v>147.0</v>
      </c>
      <c r="EJ299" s="87">
        <v>16824.0</v>
      </c>
      <c r="EK299" s="88"/>
      <c r="EL299" s="88"/>
      <c r="EM299" s="88"/>
      <c r="EN299" s="88"/>
      <c r="EO299" s="88"/>
      <c r="EP299" s="88"/>
      <c r="EQ299" s="90"/>
    </row>
    <row r="300" ht="12.0" customHeight="1">
      <c r="A300" s="89">
        <v>1.06361323E8</v>
      </c>
      <c r="B300" s="89" t="s">
        <v>2017</v>
      </c>
      <c r="C300" s="89" t="s">
        <v>1964</v>
      </c>
      <c r="D300" s="89" t="s">
        <v>2018</v>
      </c>
      <c r="E300" s="89" t="s">
        <v>2019</v>
      </c>
      <c r="F300" s="89" t="s">
        <v>1964</v>
      </c>
      <c r="G300" s="89" t="s">
        <v>2020</v>
      </c>
      <c r="H300" s="89" t="s">
        <v>447</v>
      </c>
      <c r="I300" s="89" t="s">
        <v>543</v>
      </c>
      <c r="J300" s="89" t="s">
        <v>448</v>
      </c>
      <c r="K300" s="89" t="s">
        <v>662</v>
      </c>
      <c r="L300" s="89" t="s">
        <v>748</v>
      </c>
      <c r="M300" s="89" t="s">
        <v>2021</v>
      </c>
      <c r="N300" s="89" t="s">
        <v>441</v>
      </c>
      <c r="O300" s="87">
        <v>7680.0</v>
      </c>
      <c r="P300" s="87">
        <v>49.0</v>
      </c>
      <c r="Q300" s="87">
        <v>3751.0</v>
      </c>
      <c r="R300" s="87"/>
      <c r="S300" s="87"/>
      <c r="T300" s="87"/>
      <c r="U300" s="87">
        <v>5196.0</v>
      </c>
      <c r="V300" s="87">
        <v>6284.0</v>
      </c>
      <c r="W300" s="87"/>
      <c r="X300" s="87">
        <v>2106.0</v>
      </c>
      <c r="Y300" s="87">
        <v>340.0</v>
      </c>
      <c r="Z300" s="87">
        <v>2310.0</v>
      </c>
      <c r="AA300" s="87">
        <v>2173.0</v>
      </c>
      <c r="AB300" s="87">
        <v>1369.0</v>
      </c>
      <c r="AC300" s="87">
        <v>1355.0</v>
      </c>
      <c r="AD300" s="87">
        <v>1022.0</v>
      </c>
      <c r="AE300" s="87">
        <v>484.0</v>
      </c>
      <c r="AF300" s="87">
        <v>321.0</v>
      </c>
      <c r="AG300" s="87"/>
      <c r="AH300" s="87">
        <v>6595.0</v>
      </c>
      <c r="AI300" s="87">
        <v>4880.0</v>
      </c>
      <c r="AJ300" s="87">
        <v>5.0</v>
      </c>
      <c r="AK300" s="87">
        <v>19.0</v>
      </c>
      <c r="AL300" s="87">
        <v>156.0</v>
      </c>
      <c r="AM300" s="87">
        <v>41.0</v>
      </c>
      <c r="AN300" s="87">
        <v>1989.0</v>
      </c>
      <c r="AO300" s="87">
        <v>7807.0</v>
      </c>
      <c r="AP300" s="87">
        <v>70.0</v>
      </c>
      <c r="AQ300" s="87">
        <v>741.0</v>
      </c>
      <c r="AR300" s="87">
        <v>657.0</v>
      </c>
      <c r="AS300" s="87">
        <v>8593.0</v>
      </c>
      <c r="AT300" s="87">
        <v>28.0</v>
      </c>
      <c r="AU300" s="87">
        <v>981.0</v>
      </c>
      <c r="AV300" s="87">
        <v>14.0</v>
      </c>
      <c r="AW300" s="87">
        <v>3.0</v>
      </c>
      <c r="AX300" s="87">
        <v>170.0</v>
      </c>
      <c r="AY300" s="87"/>
      <c r="AZ300" s="87"/>
      <c r="BA300" s="87"/>
      <c r="BB300" s="87"/>
      <c r="BC300" s="87">
        <v>1691.0</v>
      </c>
      <c r="BD300" s="87"/>
      <c r="BE300" s="87">
        <v>6684.0</v>
      </c>
      <c r="BF300" s="87">
        <v>647.0</v>
      </c>
      <c r="BG300" s="87">
        <v>4148.0</v>
      </c>
      <c r="BH300" s="87">
        <v>1.0</v>
      </c>
      <c r="BI300" s="87">
        <v>87817.0</v>
      </c>
      <c r="BJ300" s="87">
        <v>4225.0</v>
      </c>
      <c r="BK300" s="87">
        <v>3881.0</v>
      </c>
      <c r="BL300" s="87">
        <v>1683.0</v>
      </c>
      <c r="BM300" s="87">
        <v>1691.0</v>
      </c>
      <c r="BN300" s="87"/>
      <c r="BO300" s="87"/>
      <c r="BP300" s="87">
        <v>9757.0</v>
      </c>
      <c r="BQ300" s="87">
        <v>248.0</v>
      </c>
      <c r="BR300" s="87">
        <v>35.0</v>
      </c>
      <c r="BS300" s="87">
        <v>261.0</v>
      </c>
      <c r="BT300" s="87">
        <v>3.0</v>
      </c>
      <c r="BU300" s="87">
        <v>1.0</v>
      </c>
      <c r="BV300" s="87">
        <v>315.0</v>
      </c>
      <c r="BW300" s="87">
        <v>164.0</v>
      </c>
      <c r="BX300" s="87">
        <v>558.0</v>
      </c>
      <c r="BY300" s="87"/>
      <c r="BZ300" s="87">
        <v>1.0</v>
      </c>
      <c r="CA300" s="87">
        <v>43.0</v>
      </c>
      <c r="CB300" s="87">
        <v>87.0</v>
      </c>
      <c r="CC300" s="87">
        <v>4.0</v>
      </c>
      <c r="CD300" s="87">
        <v>3.0</v>
      </c>
      <c r="CE300" s="87"/>
      <c r="CF300" s="87"/>
      <c r="CG300" s="87">
        <v>45.0</v>
      </c>
      <c r="CH300" s="87">
        <v>11435.0</v>
      </c>
      <c r="CI300" s="87"/>
      <c r="CJ300" s="87">
        <v>1930.0</v>
      </c>
      <c r="CK300" s="87">
        <v>8406.0</v>
      </c>
      <c r="CL300" s="87">
        <v>844.0</v>
      </c>
      <c r="CM300" s="87">
        <v>6.0</v>
      </c>
      <c r="CN300" s="87"/>
      <c r="CO300" s="87">
        <v>33.0</v>
      </c>
      <c r="CP300" s="87"/>
      <c r="CQ300" s="87">
        <v>226.0</v>
      </c>
      <c r="CR300" s="87">
        <v>20.0</v>
      </c>
      <c r="CS300" s="87">
        <v>15.0</v>
      </c>
      <c r="CT300" s="87">
        <v>649.0</v>
      </c>
      <c r="CU300" s="87">
        <v>84.0</v>
      </c>
      <c r="CV300" s="87">
        <v>76.0</v>
      </c>
      <c r="CW300" s="87">
        <v>338.0</v>
      </c>
      <c r="CX300" s="87">
        <v>3817.0</v>
      </c>
      <c r="CY300" s="87">
        <v>94.0</v>
      </c>
      <c r="CZ300" s="87">
        <v>1.0</v>
      </c>
      <c r="DA300" s="87">
        <v>3.0</v>
      </c>
      <c r="DB300" s="87">
        <v>602.0</v>
      </c>
      <c r="DC300" s="87">
        <v>616.0</v>
      </c>
      <c r="DD300" s="87">
        <v>742.0</v>
      </c>
      <c r="DE300" s="87">
        <v>113.0</v>
      </c>
      <c r="DF300" s="87">
        <v>29.0</v>
      </c>
      <c r="DG300" s="87">
        <v>304.0</v>
      </c>
      <c r="DH300" s="87">
        <v>1912.0</v>
      </c>
      <c r="DI300" s="87">
        <v>1754.0</v>
      </c>
      <c r="DJ300" s="87">
        <v>7.0</v>
      </c>
      <c r="DK300" s="87">
        <v>132.0</v>
      </c>
      <c r="DL300" s="87">
        <v>205.0</v>
      </c>
      <c r="DM300" s="87">
        <v>2.0</v>
      </c>
      <c r="DN300" s="87"/>
      <c r="DO300" s="87">
        <v>2890.0</v>
      </c>
      <c r="DP300" s="87">
        <v>1634.0</v>
      </c>
      <c r="DQ300" s="87">
        <v>363.0</v>
      </c>
      <c r="DR300" s="87">
        <v>566.0</v>
      </c>
      <c r="DS300" s="87"/>
      <c r="DT300" s="87">
        <v>5.0</v>
      </c>
      <c r="DU300" s="87"/>
      <c r="DV300" s="87">
        <v>131.0</v>
      </c>
      <c r="DW300" s="87">
        <v>10.0</v>
      </c>
      <c r="DX300" s="87">
        <v>137.0</v>
      </c>
      <c r="DY300" s="87">
        <v>124.0</v>
      </c>
      <c r="DZ300" s="87">
        <v>44.0</v>
      </c>
      <c r="EA300" s="87">
        <v>7.0</v>
      </c>
      <c r="EB300" s="87">
        <v>84.0</v>
      </c>
      <c r="EC300" s="87">
        <v>55.0</v>
      </c>
      <c r="ED300" s="87">
        <v>5347.0</v>
      </c>
      <c r="EE300" s="87">
        <v>83.0</v>
      </c>
      <c r="EF300" s="87">
        <v>37.0</v>
      </c>
      <c r="EG300" s="87">
        <v>2251.0</v>
      </c>
      <c r="EH300" s="87"/>
      <c r="EI300" s="87">
        <v>21.0</v>
      </c>
      <c r="EJ300" s="87">
        <v>9171.0</v>
      </c>
      <c r="EK300" s="88"/>
      <c r="EL300" s="88"/>
      <c r="EM300" s="88"/>
      <c r="EN300" s="88"/>
      <c r="EO300" s="88"/>
      <c r="EP300" s="88"/>
      <c r="EQ300" s="90"/>
    </row>
    <row r="301" ht="12.0" customHeight="1">
      <c r="A301" s="89">
        <v>1.06361339E8</v>
      </c>
      <c r="B301" s="89" t="s">
        <v>2022</v>
      </c>
      <c r="C301" s="89" t="s">
        <v>1964</v>
      </c>
      <c r="D301" s="89" t="s">
        <v>2023</v>
      </c>
      <c r="E301" s="89" t="s">
        <v>2024</v>
      </c>
      <c r="F301" s="89" t="s">
        <v>1964</v>
      </c>
      <c r="G301" s="89" t="s">
        <v>2025</v>
      </c>
      <c r="H301" s="89" t="s">
        <v>447</v>
      </c>
      <c r="I301" s="89" t="s">
        <v>543</v>
      </c>
      <c r="J301" s="89" t="s">
        <v>448</v>
      </c>
      <c r="K301" s="89" t="s">
        <v>662</v>
      </c>
      <c r="L301" s="89" t="s">
        <v>748</v>
      </c>
      <c r="M301" s="89" t="s">
        <v>2026</v>
      </c>
      <c r="N301" s="89" t="s">
        <v>441</v>
      </c>
      <c r="O301" s="87">
        <v>14541.0</v>
      </c>
      <c r="P301" s="87"/>
      <c r="Q301" s="87"/>
      <c r="R301" s="87"/>
      <c r="S301" s="87"/>
      <c r="T301" s="87"/>
      <c r="U301" s="87">
        <v>6721.0</v>
      </c>
      <c r="V301" s="87">
        <v>7820.0</v>
      </c>
      <c r="W301" s="87"/>
      <c r="X301" s="87">
        <v>1137.0</v>
      </c>
      <c r="Y301" s="87">
        <v>150.0</v>
      </c>
      <c r="Z301" s="87">
        <v>1210.0</v>
      </c>
      <c r="AA301" s="87">
        <v>1607.0</v>
      </c>
      <c r="AB301" s="87">
        <v>1544.0</v>
      </c>
      <c r="AC301" s="87">
        <v>2260.0</v>
      </c>
      <c r="AD301" s="87">
        <v>3010.0</v>
      </c>
      <c r="AE301" s="87">
        <v>2173.0</v>
      </c>
      <c r="AF301" s="87">
        <v>1450.0</v>
      </c>
      <c r="AG301" s="87"/>
      <c r="AH301" s="87">
        <v>6789.0</v>
      </c>
      <c r="AI301" s="87">
        <v>7731.0</v>
      </c>
      <c r="AJ301" s="87">
        <v>21.0</v>
      </c>
      <c r="AK301" s="87">
        <v>23.0</v>
      </c>
      <c r="AL301" s="87">
        <v>336.0</v>
      </c>
      <c r="AM301" s="87">
        <v>75.0</v>
      </c>
      <c r="AN301" s="87">
        <v>2004.0</v>
      </c>
      <c r="AO301" s="87">
        <v>7739.0</v>
      </c>
      <c r="AP301" s="87">
        <v>75.0</v>
      </c>
      <c r="AQ301" s="87">
        <v>2773.0</v>
      </c>
      <c r="AR301" s="87">
        <v>1516.0</v>
      </c>
      <c r="AS301" s="87">
        <v>12425.0</v>
      </c>
      <c r="AT301" s="87">
        <v>19.0</v>
      </c>
      <c r="AU301" s="87">
        <v>628.0</v>
      </c>
      <c r="AV301" s="87">
        <v>293.0</v>
      </c>
      <c r="AW301" s="87">
        <v>55.0</v>
      </c>
      <c r="AX301" s="87">
        <v>1.0</v>
      </c>
      <c r="AY301" s="87"/>
      <c r="AZ301" s="87"/>
      <c r="BA301" s="87">
        <v>9.0</v>
      </c>
      <c r="BB301" s="87"/>
      <c r="BC301" s="87">
        <v>1111.0</v>
      </c>
      <c r="BD301" s="87"/>
      <c r="BE301" s="87">
        <v>9946.0</v>
      </c>
      <c r="BF301" s="87">
        <v>119.0</v>
      </c>
      <c r="BG301" s="87">
        <v>4424.0</v>
      </c>
      <c r="BH301" s="87">
        <v>52.0</v>
      </c>
      <c r="BI301" s="87">
        <v>70713.0</v>
      </c>
      <c r="BJ301" s="87">
        <v>9939.0</v>
      </c>
      <c r="BK301" s="87">
        <v>93.0</v>
      </c>
      <c r="BL301" s="87">
        <v>3398.0</v>
      </c>
      <c r="BM301" s="87">
        <v>1111.0</v>
      </c>
      <c r="BN301" s="87"/>
      <c r="BO301" s="87"/>
      <c r="BP301" s="87">
        <v>9363.0</v>
      </c>
      <c r="BQ301" s="87">
        <v>252.0</v>
      </c>
      <c r="BR301" s="87">
        <v>90.0</v>
      </c>
      <c r="BS301" s="87">
        <v>1440.0</v>
      </c>
      <c r="BT301" s="87">
        <v>17.0</v>
      </c>
      <c r="BU301" s="87">
        <v>3.0</v>
      </c>
      <c r="BV301" s="87">
        <v>569.0</v>
      </c>
      <c r="BW301" s="87">
        <v>436.0</v>
      </c>
      <c r="BX301" s="87">
        <v>1936.0</v>
      </c>
      <c r="BY301" s="87">
        <v>1.0</v>
      </c>
      <c r="BZ301" s="87"/>
      <c r="CA301" s="87">
        <v>292.0</v>
      </c>
      <c r="CB301" s="87">
        <v>142.0</v>
      </c>
      <c r="CC301" s="87"/>
      <c r="CD301" s="87"/>
      <c r="CE301" s="87"/>
      <c r="CF301" s="87"/>
      <c r="CG301" s="87">
        <v>290.0</v>
      </c>
      <c r="CH301" s="87">
        <v>14251.0</v>
      </c>
      <c r="CI301" s="87"/>
      <c r="CJ301" s="87">
        <v>5618.0</v>
      </c>
      <c r="CK301" s="87">
        <v>6836.0</v>
      </c>
      <c r="CL301" s="87">
        <v>1765.0</v>
      </c>
      <c r="CM301" s="87">
        <v>24.0</v>
      </c>
      <c r="CN301" s="87"/>
      <c r="CO301" s="87">
        <v>82.0</v>
      </c>
      <c r="CP301" s="87"/>
      <c r="CQ301" s="87">
        <v>92.0</v>
      </c>
      <c r="CR301" s="87">
        <v>50.0</v>
      </c>
      <c r="CS301" s="87">
        <v>74.0</v>
      </c>
      <c r="CT301" s="87">
        <v>1153.0</v>
      </c>
      <c r="CU301" s="87">
        <v>410.0</v>
      </c>
      <c r="CV301" s="87">
        <v>144.0</v>
      </c>
      <c r="CW301" s="87">
        <v>1270.0</v>
      </c>
      <c r="CX301" s="87">
        <v>136.0</v>
      </c>
      <c r="CY301" s="87">
        <v>487.0</v>
      </c>
      <c r="CZ301" s="87">
        <v>3.0</v>
      </c>
      <c r="DA301" s="87">
        <v>12.0</v>
      </c>
      <c r="DB301" s="87">
        <v>2986.0</v>
      </c>
      <c r="DC301" s="87">
        <v>890.0</v>
      </c>
      <c r="DD301" s="87">
        <v>1655.0</v>
      </c>
      <c r="DE301" s="87">
        <v>315.0</v>
      </c>
      <c r="DF301" s="87">
        <v>407.0</v>
      </c>
      <c r="DG301" s="87">
        <v>987.0</v>
      </c>
      <c r="DH301" s="87">
        <v>1277.0</v>
      </c>
      <c r="DI301" s="87">
        <v>1137.0</v>
      </c>
      <c r="DJ301" s="87">
        <v>16.0</v>
      </c>
      <c r="DK301" s="87">
        <v>324.0</v>
      </c>
      <c r="DL301" s="87">
        <v>915.0</v>
      </c>
      <c r="DM301" s="87">
        <v>17.0</v>
      </c>
      <c r="DN301" s="87"/>
      <c r="DO301" s="87">
        <v>2920.0</v>
      </c>
      <c r="DP301" s="87">
        <v>1091.0</v>
      </c>
      <c r="DQ301" s="87">
        <v>2094.0</v>
      </c>
      <c r="DR301" s="87">
        <v>1732.0</v>
      </c>
      <c r="DS301" s="87"/>
      <c r="DT301" s="87">
        <v>9.0</v>
      </c>
      <c r="DU301" s="87"/>
      <c r="DV301" s="87">
        <v>240.0</v>
      </c>
      <c r="DW301" s="87">
        <v>35.0</v>
      </c>
      <c r="DX301" s="87">
        <v>332.0</v>
      </c>
      <c r="DY301" s="87">
        <v>666.0</v>
      </c>
      <c r="DZ301" s="87">
        <v>185.0</v>
      </c>
      <c r="EA301" s="87">
        <v>4.0</v>
      </c>
      <c r="EB301" s="87">
        <v>302.0</v>
      </c>
      <c r="EC301" s="87">
        <v>300.0</v>
      </c>
      <c r="ED301" s="87">
        <v>4395.0</v>
      </c>
      <c r="EE301" s="87">
        <v>236.0</v>
      </c>
      <c r="EF301" s="87">
        <v>71.0</v>
      </c>
      <c r="EG301" s="87">
        <v>654.0</v>
      </c>
      <c r="EH301" s="87"/>
      <c r="EI301" s="87">
        <v>40.0</v>
      </c>
      <c r="EJ301" s="87">
        <v>13776.0</v>
      </c>
      <c r="EK301" s="88"/>
      <c r="EL301" s="88"/>
      <c r="EM301" s="88"/>
      <c r="EN301" s="88"/>
      <c r="EO301" s="88"/>
      <c r="EP301" s="88"/>
      <c r="EQ301" s="90"/>
    </row>
    <row r="302" ht="12.0" customHeight="1">
      <c r="A302" s="89">
        <v>1.06361343E8</v>
      </c>
      <c r="B302" s="89" t="s">
        <v>2027</v>
      </c>
      <c r="C302" s="89" t="s">
        <v>1964</v>
      </c>
      <c r="D302" s="89" t="s">
        <v>2028</v>
      </c>
      <c r="E302" s="89" t="s">
        <v>2029</v>
      </c>
      <c r="F302" s="89" t="s">
        <v>2030</v>
      </c>
      <c r="G302" s="89" t="s">
        <v>2031</v>
      </c>
      <c r="H302" s="89" t="s">
        <v>447</v>
      </c>
      <c r="I302" s="89" t="s">
        <v>543</v>
      </c>
      <c r="J302" s="89" t="s">
        <v>469</v>
      </c>
      <c r="K302" s="89" t="s">
        <v>884</v>
      </c>
      <c r="L302" s="89" t="s">
        <v>913</v>
      </c>
      <c r="M302" s="89" t="s">
        <v>2032</v>
      </c>
      <c r="N302" s="89" t="s">
        <v>441</v>
      </c>
      <c r="O302" s="87">
        <v>15384.0</v>
      </c>
      <c r="P302" s="87"/>
      <c r="Q302" s="87"/>
      <c r="R302" s="87"/>
      <c r="S302" s="87"/>
      <c r="T302" s="87"/>
      <c r="U302" s="87">
        <v>6617.0</v>
      </c>
      <c r="V302" s="87">
        <v>8763.0</v>
      </c>
      <c r="W302" s="87">
        <v>4.0</v>
      </c>
      <c r="X302" s="87">
        <v>1699.0</v>
      </c>
      <c r="Y302" s="87">
        <v>172.0</v>
      </c>
      <c r="Z302" s="87">
        <v>1423.0</v>
      </c>
      <c r="AA302" s="87">
        <v>1577.0</v>
      </c>
      <c r="AB302" s="87">
        <v>1312.0</v>
      </c>
      <c r="AC302" s="87">
        <v>2029.0</v>
      </c>
      <c r="AD302" s="87">
        <v>2833.0</v>
      </c>
      <c r="AE302" s="87">
        <v>2428.0</v>
      </c>
      <c r="AF302" s="87">
        <v>1911.0</v>
      </c>
      <c r="AG302" s="87"/>
      <c r="AH302" s="87">
        <v>5166.0</v>
      </c>
      <c r="AI302" s="87">
        <v>9491.0</v>
      </c>
      <c r="AJ302" s="87">
        <v>727.0</v>
      </c>
      <c r="AK302" s="87">
        <v>25.0</v>
      </c>
      <c r="AL302" s="87">
        <v>189.0</v>
      </c>
      <c r="AM302" s="87">
        <v>63.0</v>
      </c>
      <c r="AN302" s="87">
        <v>2200.0</v>
      </c>
      <c r="AO302" s="87">
        <v>9489.0</v>
      </c>
      <c r="AP302" s="87">
        <v>686.0</v>
      </c>
      <c r="AQ302" s="87">
        <v>2496.0</v>
      </c>
      <c r="AR302" s="87">
        <v>236.0</v>
      </c>
      <c r="AS302" s="87">
        <v>13221.0</v>
      </c>
      <c r="AT302" s="87">
        <v>401.0</v>
      </c>
      <c r="AU302" s="87">
        <v>86.0</v>
      </c>
      <c r="AV302" s="87">
        <v>26.0</v>
      </c>
      <c r="AW302" s="87">
        <v>17.0</v>
      </c>
      <c r="AX302" s="87">
        <v>4.0</v>
      </c>
      <c r="AY302" s="87">
        <v>1.0</v>
      </c>
      <c r="AZ302" s="87"/>
      <c r="BA302" s="87"/>
      <c r="BB302" s="87">
        <v>2.0</v>
      </c>
      <c r="BC302" s="87">
        <v>1626.0</v>
      </c>
      <c r="BD302" s="87"/>
      <c r="BE302" s="87">
        <v>11466.0</v>
      </c>
      <c r="BF302" s="87">
        <v>9.0</v>
      </c>
      <c r="BG302" s="87">
        <v>3909.0</v>
      </c>
      <c r="BH302" s="87"/>
      <c r="BI302" s="87">
        <v>71151.0</v>
      </c>
      <c r="BJ302" s="87">
        <v>11560.0</v>
      </c>
      <c r="BK302" s="87">
        <v>677.0</v>
      </c>
      <c r="BL302" s="87">
        <v>1516.0</v>
      </c>
      <c r="BM302" s="87">
        <v>1626.0</v>
      </c>
      <c r="BN302" s="87"/>
      <c r="BO302" s="87">
        <v>5.0</v>
      </c>
      <c r="BP302" s="87">
        <v>9342.0</v>
      </c>
      <c r="BQ302" s="87">
        <v>375.0</v>
      </c>
      <c r="BR302" s="87">
        <v>50.0</v>
      </c>
      <c r="BS302" s="87">
        <v>1020.0</v>
      </c>
      <c r="BT302" s="87">
        <v>10.0</v>
      </c>
      <c r="BU302" s="87">
        <v>20.0</v>
      </c>
      <c r="BV302" s="87">
        <v>744.0</v>
      </c>
      <c r="BW302" s="87">
        <v>433.0</v>
      </c>
      <c r="BX302" s="87">
        <v>2992.0</v>
      </c>
      <c r="BY302" s="87"/>
      <c r="BZ302" s="87">
        <v>16.0</v>
      </c>
      <c r="CA302" s="87">
        <v>367.0</v>
      </c>
      <c r="CB302" s="87">
        <v>6.0</v>
      </c>
      <c r="CC302" s="87">
        <v>5.0</v>
      </c>
      <c r="CD302" s="87">
        <v>4.0</v>
      </c>
      <c r="CE302" s="87"/>
      <c r="CF302" s="87"/>
      <c r="CG302" s="87">
        <v>445.0</v>
      </c>
      <c r="CH302" s="87">
        <v>14939.0</v>
      </c>
      <c r="CI302" s="87"/>
      <c r="CJ302" s="87">
        <v>5525.0</v>
      </c>
      <c r="CK302" s="87">
        <v>6077.0</v>
      </c>
      <c r="CL302" s="87">
        <v>3406.0</v>
      </c>
      <c r="CM302" s="87">
        <v>19.0</v>
      </c>
      <c r="CN302" s="87"/>
      <c r="CO302" s="87">
        <v>191.0</v>
      </c>
      <c r="CP302" s="87"/>
      <c r="CQ302" s="87">
        <v>146.0</v>
      </c>
      <c r="CR302" s="87">
        <v>20.0</v>
      </c>
      <c r="CS302" s="87"/>
      <c r="CT302" s="87">
        <v>2052.0</v>
      </c>
      <c r="CU302" s="87">
        <v>255.0</v>
      </c>
      <c r="CV302" s="87">
        <v>98.0</v>
      </c>
      <c r="CW302" s="87">
        <v>623.0</v>
      </c>
      <c r="CX302" s="87">
        <v>92.0</v>
      </c>
      <c r="CY302" s="87">
        <v>500.0</v>
      </c>
      <c r="CZ302" s="87">
        <v>10.0</v>
      </c>
      <c r="DA302" s="87">
        <v>14.0</v>
      </c>
      <c r="DB302" s="87">
        <v>2892.0</v>
      </c>
      <c r="DC302" s="87">
        <v>817.0</v>
      </c>
      <c r="DD302" s="87">
        <v>1665.0</v>
      </c>
      <c r="DE302" s="87">
        <v>252.0</v>
      </c>
      <c r="DF302" s="87">
        <v>366.0</v>
      </c>
      <c r="DG302" s="87">
        <v>1005.0</v>
      </c>
      <c r="DH302" s="87">
        <v>1767.0</v>
      </c>
      <c r="DI302" s="87">
        <v>1695.0</v>
      </c>
      <c r="DJ302" s="87">
        <v>4.0</v>
      </c>
      <c r="DK302" s="87">
        <v>380.0</v>
      </c>
      <c r="DL302" s="87">
        <v>875.0</v>
      </c>
      <c r="DM302" s="87">
        <v>20.0</v>
      </c>
      <c r="DN302" s="87">
        <v>2.0</v>
      </c>
      <c r="DO302" s="87">
        <v>1353.0</v>
      </c>
      <c r="DP302" s="87">
        <v>1603.0</v>
      </c>
      <c r="DQ302" s="87">
        <v>2461.0</v>
      </c>
      <c r="DR302" s="87">
        <v>1156.0</v>
      </c>
      <c r="DS302" s="87">
        <v>2.0</v>
      </c>
      <c r="DT302" s="87">
        <v>11.0</v>
      </c>
      <c r="DU302" s="87"/>
      <c r="DV302" s="87">
        <v>139.0</v>
      </c>
      <c r="DW302" s="87">
        <v>42.0</v>
      </c>
      <c r="DX302" s="87">
        <v>333.0</v>
      </c>
      <c r="DY302" s="87">
        <v>704.0</v>
      </c>
      <c r="DZ302" s="87">
        <v>75.0</v>
      </c>
      <c r="EA302" s="87">
        <v>4.0</v>
      </c>
      <c r="EB302" s="87">
        <v>271.0</v>
      </c>
      <c r="EC302" s="87">
        <v>221.0</v>
      </c>
      <c r="ED302" s="87">
        <v>6745.0</v>
      </c>
      <c r="EE302" s="87">
        <v>264.0</v>
      </c>
      <c r="EF302" s="87">
        <v>2.0</v>
      </c>
      <c r="EG302" s="87">
        <v>174.0</v>
      </c>
      <c r="EH302" s="87">
        <v>2.0</v>
      </c>
      <c r="EI302" s="87">
        <v>59.0</v>
      </c>
      <c r="EJ302" s="87">
        <v>15147.0</v>
      </c>
      <c r="EK302" s="88"/>
      <c r="EL302" s="88"/>
      <c r="EM302" s="88"/>
      <c r="EN302" s="88"/>
      <c r="EO302" s="88"/>
      <c r="EP302" s="88"/>
      <c r="EQ302" s="90"/>
    </row>
    <row r="303" ht="12.0" customHeight="1">
      <c r="A303" s="89">
        <v>1.0636137E8</v>
      </c>
      <c r="B303" s="89" t="s">
        <v>2033</v>
      </c>
      <c r="C303" s="89" t="s">
        <v>1964</v>
      </c>
      <c r="D303" s="89" t="s">
        <v>2034</v>
      </c>
      <c r="E303" s="89" t="s">
        <v>2035</v>
      </c>
      <c r="F303" s="89" t="s">
        <v>2036</v>
      </c>
      <c r="G303" s="89" t="s">
        <v>2037</v>
      </c>
      <c r="H303" s="89" t="s">
        <v>475</v>
      </c>
      <c r="I303" s="89" t="s">
        <v>543</v>
      </c>
      <c r="J303" s="89" t="s">
        <v>437</v>
      </c>
      <c r="K303" s="89" t="s">
        <v>884</v>
      </c>
      <c r="L303" s="89" t="s">
        <v>913</v>
      </c>
      <c r="M303" s="89" t="s">
        <v>2038</v>
      </c>
      <c r="N303" s="89" t="s">
        <v>441</v>
      </c>
      <c r="O303" s="87">
        <v>5977.0</v>
      </c>
      <c r="P303" s="87"/>
      <c r="Q303" s="87"/>
      <c r="R303" s="87"/>
      <c r="S303" s="87"/>
      <c r="T303" s="87"/>
      <c r="U303" s="87">
        <v>2278.0</v>
      </c>
      <c r="V303" s="87">
        <v>3699.0</v>
      </c>
      <c r="W303" s="87"/>
      <c r="X303" s="87">
        <v>1186.0</v>
      </c>
      <c r="Y303" s="87">
        <v>126.0</v>
      </c>
      <c r="Z303" s="87">
        <v>905.0</v>
      </c>
      <c r="AA303" s="87">
        <v>830.0</v>
      </c>
      <c r="AB303" s="87">
        <v>542.0</v>
      </c>
      <c r="AC303" s="87">
        <v>690.0</v>
      </c>
      <c r="AD303" s="87">
        <v>804.0</v>
      </c>
      <c r="AE303" s="87">
        <v>560.0</v>
      </c>
      <c r="AF303" s="87">
        <v>334.0</v>
      </c>
      <c r="AG303" s="87"/>
      <c r="AH303" s="87">
        <v>2837.0</v>
      </c>
      <c r="AI303" s="87">
        <v>3134.0</v>
      </c>
      <c r="AJ303" s="87">
        <v>6.0</v>
      </c>
      <c r="AK303" s="87">
        <v>14.0</v>
      </c>
      <c r="AL303" s="87">
        <v>110.0</v>
      </c>
      <c r="AM303" s="87">
        <v>23.0</v>
      </c>
      <c r="AN303" s="87">
        <v>1045.0</v>
      </c>
      <c r="AO303" s="87">
        <v>4100.0</v>
      </c>
      <c r="AP303" s="87">
        <v>1.0</v>
      </c>
      <c r="AQ303" s="87">
        <v>661.0</v>
      </c>
      <c r="AR303" s="87">
        <v>23.0</v>
      </c>
      <c r="AS303" s="87">
        <v>4723.0</v>
      </c>
      <c r="AT303" s="87">
        <v>61.0</v>
      </c>
      <c r="AU303" s="87">
        <v>1.0</v>
      </c>
      <c r="AV303" s="87">
        <v>6.0</v>
      </c>
      <c r="AW303" s="87"/>
      <c r="AX303" s="87"/>
      <c r="AY303" s="87"/>
      <c r="AZ303" s="87"/>
      <c r="BA303" s="87"/>
      <c r="BB303" s="87"/>
      <c r="BC303" s="87">
        <v>1186.0</v>
      </c>
      <c r="BD303" s="87"/>
      <c r="BE303" s="87">
        <v>4783.0</v>
      </c>
      <c r="BF303" s="87"/>
      <c r="BG303" s="87">
        <v>1194.0</v>
      </c>
      <c r="BH303" s="87"/>
      <c r="BI303" s="87">
        <v>18028.0</v>
      </c>
      <c r="BJ303" s="87">
        <v>4747.0</v>
      </c>
      <c r="BK303" s="87">
        <v>4.0</v>
      </c>
      <c r="BL303" s="87">
        <v>40.0</v>
      </c>
      <c r="BM303" s="87">
        <v>1186.0</v>
      </c>
      <c r="BN303" s="87"/>
      <c r="BO303" s="87"/>
      <c r="BP303" s="87">
        <v>4743.0</v>
      </c>
      <c r="BQ303" s="87">
        <v>129.0</v>
      </c>
      <c r="BR303" s="87">
        <v>1.0</v>
      </c>
      <c r="BS303" s="87">
        <v>327.0</v>
      </c>
      <c r="BT303" s="87">
        <v>12.0</v>
      </c>
      <c r="BU303" s="87">
        <v>27.0</v>
      </c>
      <c r="BV303" s="87">
        <v>385.0</v>
      </c>
      <c r="BW303" s="87">
        <v>121.0</v>
      </c>
      <c r="BX303" s="87">
        <v>170.0</v>
      </c>
      <c r="BY303" s="87"/>
      <c r="BZ303" s="87"/>
      <c r="CA303" s="87">
        <v>61.0</v>
      </c>
      <c r="CB303" s="87">
        <v>1.0</v>
      </c>
      <c r="CC303" s="87"/>
      <c r="CD303" s="87"/>
      <c r="CE303" s="87"/>
      <c r="CF303" s="87"/>
      <c r="CG303" s="87">
        <v>101.0</v>
      </c>
      <c r="CH303" s="87">
        <v>5876.0</v>
      </c>
      <c r="CI303" s="87"/>
      <c r="CJ303" s="87">
        <v>1481.0</v>
      </c>
      <c r="CK303" s="87">
        <v>3424.0</v>
      </c>
      <c r="CL303" s="87">
        <v>890.0</v>
      </c>
      <c r="CM303" s="87">
        <v>8.0</v>
      </c>
      <c r="CN303" s="87"/>
      <c r="CO303" s="87">
        <v>72.0</v>
      </c>
      <c r="CP303" s="87"/>
      <c r="CQ303" s="87">
        <v>102.0</v>
      </c>
      <c r="CR303" s="87"/>
      <c r="CS303" s="87"/>
      <c r="CT303" s="87">
        <v>603.0</v>
      </c>
      <c r="CU303" s="87">
        <v>174.0</v>
      </c>
      <c r="CV303" s="87">
        <v>28.0</v>
      </c>
      <c r="CW303" s="87">
        <v>230.0</v>
      </c>
      <c r="CX303" s="87">
        <v>51.0</v>
      </c>
      <c r="CY303" s="87">
        <v>170.0</v>
      </c>
      <c r="CZ303" s="87">
        <v>3.0</v>
      </c>
      <c r="DA303" s="87">
        <v>6.0</v>
      </c>
      <c r="DB303" s="87">
        <v>461.0</v>
      </c>
      <c r="DC303" s="87">
        <v>264.0</v>
      </c>
      <c r="DD303" s="87">
        <v>529.0</v>
      </c>
      <c r="DE303" s="87">
        <v>70.0</v>
      </c>
      <c r="DF303" s="87">
        <v>292.0</v>
      </c>
      <c r="DG303" s="87">
        <v>313.0</v>
      </c>
      <c r="DH303" s="87">
        <v>1253.0</v>
      </c>
      <c r="DI303" s="87">
        <v>1186.0</v>
      </c>
      <c r="DJ303" s="87"/>
      <c r="DK303" s="87">
        <v>78.0</v>
      </c>
      <c r="DL303" s="87">
        <v>254.0</v>
      </c>
      <c r="DM303" s="87">
        <v>11.0</v>
      </c>
      <c r="DN303" s="87">
        <v>1.0</v>
      </c>
      <c r="DO303" s="87">
        <v>1815.0</v>
      </c>
      <c r="DP303" s="87">
        <v>1168.0</v>
      </c>
      <c r="DQ303" s="87">
        <v>173.0</v>
      </c>
      <c r="DR303" s="87">
        <v>298.0</v>
      </c>
      <c r="DS303" s="87">
        <v>1.0</v>
      </c>
      <c r="DT303" s="87">
        <v>6.0</v>
      </c>
      <c r="DU303" s="87"/>
      <c r="DV303" s="87">
        <v>205.0</v>
      </c>
      <c r="DW303" s="87">
        <v>10.0</v>
      </c>
      <c r="DX303" s="87">
        <v>72.0</v>
      </c>
      <c r="DY303" s="87">
        <v>382.0</v>
      </c>
      <c r="DZ303" s="87">
        <v>4.0</v>
      </c>
      <c r="EA303" s="87">
        <v>3.0</v>
      </c>
      <c r="EB303" s="87">
        <v>33.0</v>
      </c>
      <c r="EC303" s="87">
        <v>27.0</v>
      </c>
      <c r="ED303" s="87">
        <v>1761.0</v>
      </c>
      <c r="EE303" s="87">
        <v>19.0</v>
      </c>
      <c r="EF303" s="87">
        <v>2.0</v>
      </c>
      <c r="EG303" s="87">
        <v>166.0</v>
      </c>
      <c r="EH303" s="87"/>
      <c r="EI303" s="87">
        <v>28.0</v>
      </c>
      <c r="EJ303" s="87">
        <v>5781.0</v>
      </c>
      <c r="EK303" s="88"/>
      <c r="EL303" s="88"/>
      <c r="EM303" s="88"/>
      <c r="EN303" s="88"/>
      <c r="EO303" s="88"/>
      <c r="EP303" s="88"/>
      <c r="EQ303" s="90"/>
    </row>
    <row r="304" ht="12.0" customHeight="1">
      <c r="A304" s="89">
        <v>1.06361458E8</v>
      </c>
      <c r="B304" s="89" t="s">
        <v>2039</v>
      </c>
      <c r="C304" s="89" t="s">
        <v>1964</v>
      </c>
      <c r="D304" s="89" t="s">
        <v>2040</v>
      </c>
      <c r="E304" s="89" t="s">
        <v>2041</v>
      </c>
      <c r="F304" s="89" t="s">
        <v>2042</v>
      </c>
      <c r="G304" s="89" t="s">
        <v>2043</v>
      </c>
      <c r="H304" s="89" t="s">
        <v>447</v>
      </c>
      <c r="I304" s="89" t="s">
        <v>543</v>
      </c>
      <c r="J304" s="89" t="s">
        <v>499</v>
      </c>
      <c r="K304" s="89" t="s">
        <v>512</v>
      </c>
      <c r="L304" s="89" t="s">
        <v>913</v>
      </c>
      <c r="M304" s="89" t="s">
        <v>2044</v>
      </c>
      <c r="N304" s="89" t="s">
        <v>714</v>
      </c>
      <c r="O304" s="87">
        <v>254.0</v>
      </c>
      <c r="P304" s="87"/>
      <c r="Q304" s="87"/>
      <c r="R304" s="87"/>
      <c r="S304" s="87"/>
      <c r="T304" s="87"/>
      <c r="U304" s="87">
        <v>124.0</v>
      </c>
      <c r="V304" s="87">
        <v>130.0</v>
      </c>
      <c r="W304" s="87"/>
      <c r="X304" s="87"/>
      <c r="Y304" s="87"/>
      <c r="Z304" s="87">
        <v>13.0</v>
      </c>
      <c r="AA304" s="87">
        <v>19.0</v>
      </c>
      <c r="AB304" s="87">
        <v>36.0</v>
      </c>
      <c r="AC304" s="87">
        <v>46.0</v>
      </c>
      <c r="AD304" s="87">
        <v>59.0</v>
      </c>
      <c r="AE304" s="87">
        <v>42.0</v>
      </c>
      <c r="AF304" s="87">
        <v>32.0</v>
      </c>
      <c r="AG304" s="87">
        <v>7.0</v>
      </c>
      <c r="AH304" s="87">
        <v>44.0</v>
      </c>
      <c r="AI304" s="87">
        <v>210.0</v>
      </c>
      <c r="AJ304" s="87"/>
      <c r="AK304" s="87">
        <v>24.0</v>
      </c>
      <c r="AL304" s="87"/>
      <c r="AM304" s="87"/>
      <c r="AN304" s="87"/>
      <c r="AO304" s="87">
        <v>213.0</v>
      </c>
      <c r="AP304" s="87">
        <v>17.0</v>
      </c>
      <c r="AQ304" s="87"/>
      <c r="AR304" s="87"/>
      <c r="AS304" s="87">
        <v>253.0</v>
      </c>
      <c r="AT304" s="87"/>
      <c r="AU304" s="87"/>
      <c r="AV304" s="87"/>
      <c r="AW304" s="87"/>
      <c r="AX304" s="87"/>
      <c r="AY304" s="87">
        <v>1.0</v>
      </c>
      <c r="AZ304" s="87"/>
      <c r="BA304" s="87"/>
      <c r="BB304" s="87"/>
      <c r="BC304" s="87"/>
      <c r="BD304" s="87"/>
      <c r="BE304" s="87">
        <v>242.0</v>
      </c>
      <c r="BF304" s="87"/>
      <c r="BG304" s="87">
        <v>12.0</v>
      </c>
      <c r="BH304" s="87"/>
      <c r="BI304" s="87">
        <v>556.0</v>
      </c>
      <c r="BJ304" s="87">
        <v>3.0</v>
      </c>
      <c r="BK304" s="87">
        <v>245.0</v>
      </c>
      <c r="BL304" s="87">
        <v>6.0</v>
      </c>
      <c r="BM304" s="87"/>
      <c r="BN304" s="87"/>
      <c r="BO304" s="87"/>
      <c r="BP304" s="87">
        <v>206.0</v>
      </c>
      <c r="BQ304" s="87">
        <v>20.0</v>
      </c>
      <c r="BR304" s="87"/>
      <c r="BS304" s="87">
        <v>7.0</v>
      </c>
      <c r="BT304" s="87"/>
      <c r="BU304" s="87"/>
      <c r="BV304" s="87">
        <v>10.0</v>
      </c>
      <c r="BW304" s="87">
        <v>2.0</v>
      </c>
      <c r="BX304" s="87">
        <v>1.0</v>
      </c>
      <c r="BY304" s="87"/>
      <c r="BZ304" s="87"/>
      <c r="CA304" s="87">
        <v>7.0</v>
      </c>
      <c r="CB304" s="87"/>
      <c r="CC304" s="87">
        <v>1.0</v>
      </c>
      <c r="CD304" s="87"/>
      <c r="CE304" s="87"/>
      <c r="CF304" s="87"/>
      <c r="CG304" s="87">
        <v>16.0</v>
      </c>
      <c r="CH304" s="87">
        <v>238.0</v>
      </c>
      <c r="CI304" s="87"/>
      <c r="CJ304" s="87">
        <v>95.0</v>
      </c>
      <c r="CK304" s="87">
        <v>120.0</v>
      </c>
      <c r="CL304" s="87">
        <v>24.0</v>
      </c>
      <c r="CM304" s="87"/>
      <c r="CN304" s="87"/>
      <c r="CO304" s="87">
        <v>8.0</v>
      </c>
      <c r="CP304" s="87"/>
      <c r="CQ304" s="87">
        <v>7.0</v>
      </c>
      <c r="CR304" s="87"/>
      <c r="CS304" s="87"/>
      <c r="CT304" s="87">
        <v>30.0</v>
      </c>
      <c r="CU304" s="87">
        <v>1.0</v>
      </c>
      <c r="CV304" s="87">
        <v>3.0</v>
      </c>
      <c r="CW304" s="87">
        <v>10.0</v>
      </c>
      <c r="CX304" s="87">
        <v>4.0</v>
      </c>
      <c r="CY304" s="87">
        <v>1.0</v>
      </c>
      <c r="CZ304" s="87">
        <v>1.0</v>
      </c>
      <c r="DA304" s="87"/>
      <c r="DB304" s="87">
        <v>45.0</v>
      </c>
      <c r="DC304" s="87">
        <v>37.0</v>
      </c>
      <c r="DD304" s="87">
        <v>50.0</v>
      </c>
      <c r="DE304" s="87">
        <v>20.0</v>
      </c>
      <c r="DF304" s="87">
        <v>4.0</v>
      </c>
      <c r="DG304" s="87">
        <v>32.0</v>
      </c>
      <c r="DH304" s="87"/>
      <c r="DI304" s="87"/>
      <c r="DJ304" s="87"/>
      <c r="DK304" s="87">
        <v>7.0</v>
      </c>
      <c r="DL304" s="87">
        <v>9.0</v>
      </c>
      <c r="DM304" s="87"/>
      <c r="DN304" s="87"/>
      <c r="DO304" s="87">
        <v>12.0</v>
      </c>
      <c r="DP304" s="87"/>
      <c r="DQ304" s="87">
        <v>2.0</v>
      </c>
      <c r="DR304" s="87">
        <v>1.0</v>
      </c>
      <c r="DS304" s="87"/>
      <c r="DT304" s="87"/>
      <c r="DU304" s="87"/>
      <c r="DV304" s="87">
        <v>4.0</v>
      </c>
      <c r="DW304" s="87"/>
      <c r="DX304" s="87">
        <v>5.0</v>
      </c>
      <c r="DY304" s="87">
        <v>6.0</v>
      </c>
      <c r="DZ304" s="87"/>
      <c r="EA304" s="87">
        <v>1.0</v>
      </c>
      <c r="EB304" s="87"/>
      <c r="EC304" s="87"/>
      <c r="ED304" s="87">
        <v>223.0</v>
      </c>
      <c r="EE304" s="87"/>
      <c r="EF304" s="87"/>
      <c r="EG304" s="87">
        <v>4.0</v>
      </c>
      <c r="EH304" s="87"/>
      <c r="EI304" s="87">
        <v>42.0</v>
      </c>
      <c r="EJ304" s="87">
        <v>208.0</v>
      </c>
      <c r="EK304" s="88"/>
      <c r="EL304" s="88"/>
      <c r="EM304" s="88"/>
      <c r="EN304" s="88"/>
      <c r="EO304" s="88"/>
      <c r="EP304" s="88"/>
      <c r="EQ304" s="90"/>
    </row>
    <row r="305" ht="12.0" customHeight="1">
      <c r="A305" s="89">
        <v>1.06362041E8</v>
      </c>
      <c r="B305" s="89" t="s">
        <v>2045</v>
      </c>
      <c r="C305" s="89" t="s">
        <v>1964</v>
      </c>
      <c r="D305" s="89" t="s">
        <v>2046</v>
      </c>
      <c r="E305" s="89" t="s">
        <v>2047</v>
      </c>
      <c r="F305" s="89" t="s">
        <v>2048</v>
      </c>
      <c r="G305" s="89" t="s">
        <v>2049</v>
      </c>
      <c r="H305" s="89" t="s">
        <v>475</v>
      </c>
      <c r="I305" s="89" t="s">
        <v>543</v>
      </c>
      <c r="J305" s="89" t="s">
        <v>457</v>
      </c>
      <c r="K305" s="89" t="s">
        <v>512</v>
      </c>
      <c r="L305" s="89" t="s">
        <v>1774</v>
      </c>
      <c r="M305" s="89" t="s">
        <v>2050</v>
      </c>
      <c r="N305" s="89" t="s">
        <v>547</v>
      </c>
      <c r="O305" s="87">
        <v>2051.0</v>
      </c>
      <c r="P305" s="87">
        <v>230.0</v>
      </c>
      <c r="Q305" s="87"/>
      <c r="R305" s="87"/>
      <c r="S305" s="87"/>
      <c r="T305" s="87"/>
      <c r="U305" s="87">
        <v>963.0</v>
      </c>
      <c r="V305" s="87">
        <v>1318.0</v>
      </c>
      <c r="W305" s="87"/>
      <c r="X305" s="87">
        <v>287.0</v>
      </c>
      <c r="Y305" s="87">
        <v>28.0</v>
      </c>
      <c r="Z305" s="87">
        <v>213.0</v>
      </c>
      <c r="AA305" s="87">
        <v>246.0</v>
      </c>
      <c r="AB305" s="87">
        <v>143.0</v>
      </c>
      <c r="AC305" s="87">
        <v>247.0</v>
      </c>
      <c r="AD305" s="87">
        <v>426.0</v>
      </c>
      <c r="AE305" s="87">
        <v>365.0</v>
      </c>
      <c r="AF305" s="87">
        <v>325.0</v>
      </c>
      <c r="AG305" s="87">
        <v>1.0</v>
      </c>
      <c r="AH305" s="87">
        <v>412.0</v>
      </c>
      <c r="AI305" s="87">
        <v>1786.0</v>
      </c>
      <c r="AJ305" s="87">
        <v>83.0</v>
      </c>
      <c r="AK305" s="87">
        <v>14.0</v>
      </c>
      <c r="AL305" s="87">
        <v>43.0</v>
      </c>
      <c r="AM305" s="87">
        <v>15.0</v>
      </c>
      <c r="AN305" s="87">
        <v>174.0</v>
      </c>
      <c r="AO305" s="87">
        <v>1686.0</v>
      </c>
      <c r="AP305" s="87">
        <v>65.0</v>
      </c>
      <c r="AQ305" s="87">
        <v>216.0</v>
      </c>
      <c r="AR305" s="87">
        <v>68.0</v>
      </c>
      <c r="AS305" s="87">
        <v>1793.0</v>
      </c>
      <c r="AT305" s="87">
        <v>13.0</v>
      </c>
      <c r="AU305" s="87">
        <v>69.0</v>
      </c>
      <c r="AV305" s="87">
        <v>11.0</v>
      </c>
      <c r="AW305" s="87">
        <v>9.0</v>
      </c>
      <c r="AX305" s="87">
        <v>99.0</v>
      </c>
      <c r="AY305" s="87"/>
      <c r="AZ305" s="87">
        <v>1.0</v>
      </c>
      <c r="BA305" s="87">
        <v>1.0</v>
      </c>
      <c r="BB305" s="87">
        <v>1.0</v>
      </c>
      <c r="BC305" s="87">
        <v>284.0</v>
      </c>
      <c r="BD305" s="87"/>
      <c r="BE305" s="87">
        <v>1512.0</v>
      </c>
      <c r="BF305" s="87">
        <v>1.0</v>
      </c>
      <c r="BG305" s="87">
        <v>768.0</v>
      </c>
      <c r="BH305" s="87"/>
      <c r="BI305" s="87">
        <v>24455.0</v>
      </c>
      <c r="BJ305" s="87">
        <v>1089.0</v>
      </c>
      <c r="BK305" s="87">
        <v>903.0</v>
      </c>
      <c r="BL305" s="87">
        <v>5.0</v>
      </c>
      <c r="BM305" s="87">
        <v>284.0</v>
      </c>
      <c r="BN305" s="87"/>
      <c r="BO305" s="87"/>
      <c r="BP305" s="87">
        <v>1506.0</v>
      </c>
      <c r="BQ305" s="87">
        <v>208.0</v>
      </c>
      <c r="BR305" s="87"/>
      <c r="BS305" s="87">
        <v>276.0</v>
      </c>
      <c r="BT305" s="87">
        <v>1.0</v>
      </c>
      <c r="BU305" s="87">
        <v>5.0</v>
      </c>
      <c r="BV305" s="87">
        <v>70.0</v>
      </c>
      <c r="BW305" s="87">
        <v>71.0</v>
      </c>
      <c r="BX305" s="87">
        <v>93.0</v>
      </c>
      <c r="BY305" s="87"/>
      <c r="BZ305" s="87"/>
      <c r="CA305" s="87">
        <v>38.0</v>
      </c>
      <c r="CB305" s="87">
        <v>6.0</v>
      </c>
      <c r="CC305" s="87"/>
      <c r="CD305" s="87">
        <v>1.0</v>
      </c>
      <c r="CE305" s="87">
        <v>6.0</v>
      </c>
      <c r="CF305" s="87"/>
      <c r="CG305" s="87">
        <v>192.0</v>
      </c>
      <c r="CH305" s="87">
        <v>2088.0</v>
      </c>
      <c r="CI305" s="87">
        <v>1.0</v>
      </c>
      <c r="CJ305" s="87">
        <v>475.0</v>
      </c>
      <c r="CK305" s="87">
        <v>494.0</v>
      </c>
      <c r="CL305" s="87">
        <v>117.0</v>
      </c>
      <c r="CM305" s="87">
        <v>1.0</v>
      </c>
      <c r="CN305" s="87"/>
      <c r="CO305" s="87">
        <v>51.0</v>
      </c>
      <c r="CP305" s="87">
        <v>4.0</v>
      </c>
      <c r="CQ305" s="87">
        <v>8.0</v>
      </c>
      <c r="CR305" s="87">
        <v>1131.0</v>
      </c>
      <c r="CS305" s="87"/>
      <c r="CT305" s="87">
        <v>329.0</v>
      </c>
      <c r="CU305" s="87">
        <v>25.0</v>
      </c>
      <c r="CV305" s="87">
        <v>5.0</v>
      </c>
      <c r="CW305" s="87">
        <v>134.0</v>
      </c>
      <c r="CX305" s="87">
        <v>31.0</v>
      </c>
      <c r="CY305" s="87">
        <v>71.0</v>
      </c>
      <c r="CZ305" s="87"/>
      <c r="DA305" s="87">
        <v>1.0</v>
      </c>
      <c r="DB305" s="87">
        <v>246.0</v>
      </c>
      <c r="DC305" s="87">
        <v>223.0</v>
      </c>
      <c r="DD305" s="87">
        <v>160.0</v>
      </c>
      <c r="DE305" s="87">
        <v>34.0</v>
      </c>
      <c r="DF305" s="87">
        <v>41.0</v>
      </c>
      <c r="DG305" s="87">
        <v>108.0</v>
      </c>
      <c r="DH305" s="87">
        <v>322.0</v>
      </c>
      <c r="DI305" s="87">
        <v>288.0</v>
      </c>
      <c r="DJ305" s="87">
        <v>2.0</v>
      </c>
      <c r="DK305" s="87">
        <v>52.0</v>
      </c>
      <c r="DL305" s="87">
        <v>183.0</v>
      </c>
      <c r="DM305" s="87">
        <v>25.0</v>
      </c>
      <c r="DN305" s="87">
        <v>1.0</v>
      </c>
      <c r="DO305" s="87">
        <v>599.0</v>
      </c>
      <c r="DP305" s="87">
        <v>297.0</v>
      </c>
      <c r="DQ305" s="87">
        <v>84.0</v>
      </c>
      <c r="DR305" s="87">
        <v>111.0</v>
      </c>
      <c r="DS305" s="87"/>
      <c r="DT305" s="87"/>
      <c r="DU305" s="87"/>
      <c r="DV305" s="87">
        <v>18.0</v>
      </c>
      <c r="DW305" s="87"/>
      <c r="DX305" s="87">
        <v>22.0</v>
      </c>
      <c r="DY305" s="87">
        <v>69.0</v>
      </c>
      <c r="DZ305" s="87">
        <v>8.0</v>
      </c>
      <c r="EA305" s="87">
        <v>3.0</v>
      </c>
      <c r="EB305" s="87">
        <v>30.0</v>
      </c>
      <c r="EC305" s="87">
        <v>2.0</v>
      </c>
      <c r="ED305" s="87">
        <v>1016.0</v>
      </c>
      <c r="EE305" s="87">
        <v>22.0</v>
      </c>
      <c r="EF305" s="87">
        <v>5.0</v>
      </c>
      <c r="EG305" s="87">
        <v>4.0</v>
      </c>
      <c r="EH305" s="87">
        <v>1.0</v>
      </c>
      <c r="EI305" s="87">
        <v>25.0</v>
      </c>
      <c r="EJ305" s="87">
        <v>2246.0</v>
      </c>
      <c r="EK305" s="88"/>
      <c r="EL305" s="88"/>
      <c r="EM305" s="88"/>
      <c r="EN305" s="88"/>
      <c r="EO305" s="88"/>
      <c r="EP305" s="88"/>
      <c r="EQ305" s="90"/>
    </row>
    <row r="306" ht="12.0" customHeight="1">
      <c r="A306" s="89">
        <v>1.06364014E8</v>
      </c>
      <c r="B306" s="89" t="s">
        <v>2051</v>
      </c>
      <c r="C306" s="89" t="s">
        <v>1964</v>
      </c>
      <c r="D306" s="89" t="s">
        <v>2052</v>
      </c>
      <c r="E306" s="89" t="s">
        <v>2053</v>
      </c>
      <c r="F306" s="89" t="s">
        <v>2009</v>
      </c>
      <c r="G306" s="89" t="s">
        <v>2010</v>
      </c>
      <c r="H306" s="89" t="s">
        <v>447</v>
      </c>
      <c r="I306" s="89" t="s">
        <v>543</v>
      </c>
      <c r="J306" s="89" t="s">
        <v>463</v>
      </c>
      <c r="K306" s="89" t="s">
        <v>662</v>
      </c>
      <c r="L306" s="89" t="s">
        <v>748</v>
      </c>
      <c r="M306" s="89" t="s">
        <v>1994</v>
      </c>
      <c r="N306" s="89" t="s">
        <v>441</v>
      </c>
      <c r="O306" s="87"/>
      <c r="P306" s="87"/>
      <c r="Q306" s="87">
        <v>2779.0</v>
      </c>
      <c r="R306" s="87">
        <v>246.0</v>
      </c>
      <c r="S306" s="87"/>
      <c r="T306" s="87"/>
      <c r="U306" s="87">
        <v>1228.0</v>
      </c>
      <c r="V306" s="87">
        <v>1797.0</v>
      </c>
      <c r="W306" s="87"/>
      <c r="X306" s="87">
        <v>84.0</v>
      </c>
      <c r="Y306" s="87">
        <v>1645.0</v>
      </c>
      <c r="Z306" s="87">
        <v>353.0</v>
      </c>
      <c r="AA306" s="87">
        <v>260.0</v>
      </c>
      <c r="AB306" s="87">
        <v>217.0</v>
      </c>
      <c r="AC306" s="87">
        <v>231.0</v>
      </c>
      <c r="AD306" s="87">
        <v>169.0</v>
      </c>
      <c r="AE306" s="87">
        <v>54.0</v>
      </c>
      <c r="AF306" s="87">
        <v>12.0</v>
      </c>
      <c r="AG306" s="87"/>
      <c r="AH306" s="87">
        <v>1370.0</v>
      </c>
      <c r="AI306" s="87">
        <v>1645.0</v>
      </c>
      <c r="AJ306" s="87">
        <v>10.0</v>
      </c>
      <c r="AK306" s="87"/>
      <c r="AL306" s="87">
        <v>70.0</v>
      </c>
      <c r="AM306" s="87">
        <v>20.0</v>
      </c>
      <c r="AN306" s="87">
        <v>388.0</v>
      </c>
      <c r="AO306" s="87">
        <v>1677.0</v>
      </c>
      <c r="AP306" s="87">
        <v>11.0</v>
      </c>
      <c r="AQ306" s="87">
        <v>743.0</v>
      </c>
      <c r="AR306" s="87">
        <v>116.0</v>
      </c>
      <c r="AS306" s="87">
        <v>381.0</v>
      </c>
      <c r="AT306" s="87">
        <v>51.0</v>
      </c>
      <c r="AU306" s="87">
        <v>2585.0</v>
      </c>
      <c r="AV306" s="87">
        <v>1.0</v>
      </c>
      <c r="AW306" s="87">
        <v>7.0</v>
      </c>
      <c r="AX306" s="87"/>
      <c r="AY306" s="87"/>
      <c r="AZ306" s="87"/>
      <c r="BA306" s="87"/>
      <c r="BB306" s="87"/>
      <c r="BC306" s="87"/>
      <c r="BD306" s="87"/>
      <c r="BE306" s="87"/>
      <c r="BF306" s="87">
        <v>2481.0</v>
      </c>
      <c r="BG306" s="87">
        <v>544.0</v>
      </c>
      <c r="BH306" s="87"/>
      <c r="BI306" s="87">
        <v>21706.0</v>
      </c>
      <c r="BJ306" s="87"/>
      <c r="BK306" s="87">
        <v>2642.0</v>
      </c>
      <c r="BL306" s="87">
        <v>383.0</v>
      </c>
      <c r="BM306" s="87"/>
      <c r="BN306" s="87"/>
      <c r="BO306" s="87"/>
      <c r="BP306" s="87">
        <v>2890.0</v>
      </c>
      <c r="BQ306" s="87">
        <v>21.0</v>
      </c>
      <c r="BR306" s="87">
        <v>17.0</v>
      </c>
      <c r="BS306" s="87">
        <v>3.0</v>
      </c>
      <c r="BT306" s="87">
        <v>3.0</v>
      </c>
      <c r="BU306" s="87">
        <v>3.0</v>
      </c>
      <c r="BV306" s="87">
        <v>75.0</v>
      </c>
      <c r="BW306" s="87">
        <v>1.0</v>
      </c>
      <c r="BX306" s="87">
        <v>1.0</v>
      </c>
      <c r="BY306" s="87"/>
      <c r="BZ306" s="87">
        <v>9.0</v>
      </c>
      <c r="CA306" s="87"/>
      <c r="CB306" s="87"/>
      <c r="CC306" s="87"/>
      <c r="CD306" s="87">
        <v>2.0</v>
      </c>
      <c r="CE306" s="87"/>
      <c r="CF306" s="87"/>
      <c r="CG306" s="87"/>
      <c r="CH306" s="87">
        <v>3025.0</v>
      </c>
      <c r="CI306" s="87"/>
      <c r="CJ306" s="87">
        <v>230.0</v>
      </c>
      <c r="CK306" s="87">
        <v>1591.0</v>
      </c>
      <c r="CL306" s="87">
        <v>1051.0</v>
      </c>
      <c r="CM306" s="87"/>
      <c r="CN306" s="87"/>
      <c r="CO306" s="87">
        <v>40.0</v>
      </c>
      <c r="CP306" s="87"/>
      <c r="CQ306" s="87">
        <v>113.0</v>
      </c>
      <c r="CR306" s="87"/>
      <c r="CS306" s="87"/>
      <c r="CT306" s="87"/>
      <c r="CU306" s="87"/>
      <c r="CV306" s="87"/>
      <c r="CW306" s="87"/>
      <c r="CX306" s="87">
        <v>3019.0</v>
      </c>
      <c r="CY306" s="87">
        <v>2.0</v>
      </c>
      <c r="CZ306" s="87"/>
      <c r="DA306" s="87"/>
      <c r="DB306" s="87"/>
      <c r="DC306" s="87"/>
      <c r="DD306" s="87"/>
      <c r="DE306" s="87"/>
      <c r="DF306" s="87"/>
      <c r="DG306" s="87"/>
      <c r="DH306" s="87"/>
      <c r="DI306" s="87"/>
      <c r="DJ306" s="87"/>
      <c r="DK306" s="87"/>
      <c r="DL306" s="87"/>
      <c r="DM306" s="87"/>
      <c r="DN306" s="87">
        <v>4.0</v>
      </c>
      <c r="DO306" s="87">
        <v>410.0</v>
      </c>
      <c r="DP306" s="87"/>
      <c r="DQ306" s="87"/>
      <c r="DR306" s="87"/>
      <c r="DS306" s="87"/>
      <c r="DT306" s="87"/>
      <c r="DU306" s="87"/>
      <c r="DV306" s="87"/>
      <c r="DW306" s="87"/>
      <c r="DX306" s="87"/>
      <c r="DY306" s="87"/>
      <c r="DZ306" s="87"/>
      <c r="EA306" s="87"/>
      <c r="EB306" s="87"/>
      <c r="EC306" s="87"/>
      <c r="ED306" s="87">
        <v>2615.0</v>
      </c>
      <c r="EE306" s="87"/>
      <c r="EF306" s="87"/>
      <c r="EG306" s="87">
        <v>200.0</v>
      </c>
      <c r="EH306" s="87"/>
      <c r="EI306" s="87">
        <v>16.0</v>
      </c>
      <c r="EJ306" s="87">
        <v>2809.0</v>
      </c>
      <c r="EK306" s="88"/>
      <c r="EL306" s="88"/>
      <c r="EM306" s="88"/>
      <c r="EN306" s="88"/>
      <c r="EO306" s="88"/>
      <c r="EP306" s="88"/>
      <c r="EQ306" s="90"/>
    </row>
    <row r="307" ht="12.0" customHeight="1">
      <c r="A307" s="89">
        <v>1.0636405E8</v>
      </c>
      <c r="B307" s="89" t="s">
        <v>2054</v>
      </c>
      <c r="C307" s="89" t="s">
        <v>1964</v>
      </c>
      <c r="D307" s="89" t="s">
        <v>2055</v>
      </c>
      <c r="E307" s="89" t="s">
        <v>2056</v>
      </c>
      <c r="F307" s="89" t="s">
        <v>1973</v>
      </c>
      <c r="G307" s="89" t="s">
        <v>1974</v>
      </c>
      <c r="H307" s="89" t="s">
        <v>503</v>
      </c>
      <c r="I307" s="89" t="s">
        <v>543</v>
      </c>
      <c r="J307" s="89" t="s">
        <v>457</v>
      </c>
      <c r="K307" s="89" t="s">
        <v>487</v>
      </c>
      <c r="L307" s="89" t="s">
        <v>947</v>
      </c>
      <c r="M307" s="89" t="s">
        <v>1975</v>
      </c>
      <c r="N307" s="89" t="s">
        <v>441</v>
      </c>
      <c r="O307" s="87"/>
      <c r="P307" s="87"/>
      <c r="Q307" s="87">
        <v>6586.0</v>
      </c>
      <c r="R307" s="87"/>
      <c r="S307" s="87"/>
      <c r="T307" s="87"/>
      <c r="U307" s="87">
        <v>2851.0</v>
      </c>
      <c r="V307" s="87">
        <v>3735.0</v>
      </c>
      <c r="W307" s="87"/>
      <c r="X307" s="87"/>
      <c r="Y307" s="87">
        <v>2854.0</v>
      </c>
      <c r="Z307" s="87">
        <v>1161.0</v>
      </c>
      <c r="AA307" s="87">
        <v>692.0</v>
      </c>
      <c r="AB307" s="87">
        <v>545.0</v>
      </c>
      <c r="AC307" s="87">
        <v>475.0</v>
      </c>
      <c r="AD307" s="87">
        <v>455.0</v>
      </c>
      <c r="AE307" s="87">
        <v>283.0</v>
      </c>
      <c r="AF307" s="87">
        <v>121.0</v>
      </c>
      <c r="AG307" s="87"/>
      <c r="AH307" s="87">
        <v>2111.0</v>
      </c>
      <c r="AI307" s="87">
        <v>3154.0</v>
      </c>
      <c r="AJ307" s="87">
        <v>1321.0</v>
      </c>
      <c r="AK307" s="87"/>
      <c r="AL307" s="87">
        <v>188.0</v>
      </c>
      <c r="AM307" s="87"/>
      <c r="AN307" s="87">
        <v>451.0</v>
      </c>
      <c r="AO307" s="87">
        <v>3640.0</v>
      </c>
      <c r="AP307" s="87">
        <v>8.0</v>
      </c>
      <c r="AQ307" s="87">
        <v>2299.0</v>
      </c>
      <c r="AR307" s="87"/>
      <c r="AS307" s="87">
        <v>374.0</v>
      </c>
      <c r="AT307" s="87">
        <v>34.0</v>
      </c>
      <c r="AU307" s="87">
        <v>6057.0</v>
      </c>
      <c r="AV307" s="87">
        <v>2.0</v>
      </c>
      <c r="AW307" s="87">
        <v>3.0</v>
      </c>
      <c r="AX307" s="87"/>
      <c r="AY307" s="87"/>
      <c r="AZ307" s="87"/>
      <c r="BA307" s="87">
        <v>116.0</v>
      </c>
      <c r="BB307" s="87"/>
      <c r="BC307" s="87"/>
      <c r="BD307" s="87"/>
      <c r="BE307" s="87"/>
      <c r="BF307" s="87">
        <v>5257.0</v>
      </c>
      <c r="BG307" s="87">
        <v>1329.0</v>
      </c>
      <c r="BH307" s="87"/>
      <c r="BI307" s="87">
        <v>44846.0</v>
      </c>
      <c r="BJ307" s="87">
        <v>2973.0</v>
      </c>
      <c r="BK307" s="87">
        <v>3604.0</v>
      </c>
      <c r="BL307" s="87">
        <v>8.0</v>
      </c>
      <c r="BM307" s="87"/>
      <c r="BN307" s="87"/>
      <c r="BO307" s="87">
        <v>1.0</v>
      </c>
      <c r="BP307" s="87">
        <v>5936.0</v>
      </c>
      <c r="BQ307" s="87">
        <v>81.0</v>
      </c>
      <c r="BR307" s="87">
        <v>1.0</v>
      </c>
      <c r="BS307" s="87">
        <v>82.0</v>
      </c>
      <c r="BT307" s="87">
        <v>9.0</v>
      </c>
      <c r="BU307" s="87">
        <v>6.0</v>
      </c>
      <c r="BV307" s="87">
        <v>464.0</v>
      </c>
      <c r="BW307" s="87">
        <v>1.0</v>
      </c>
      <c r="BX307" s="87"/>
      <c r="BY307" s="87"/>
      <c r="BZ307" s="87"/>
      <c r="CA307" s="87"/>
      <c r="CB307" s="87">
        <v>6.0</v>
      </c>
      <c r="CC307" s="87"/>
      <c r="CD307" s="87"/>
      <c r="CE307" s="87"/>
      <c r="CF307" s="87"/>
      <c r="CG307" s="87"/>
      <c r="CH307" s="87">
        <v>6586.0</v>
      </c>
      <c r="CI307" s="87"/>
      <c r="CJ307" s="87">
        <v>559.0</v>
      </c>
      <c r="CK307" s="87">
        <v>1512.0</v>
      </c>
      <c r="CL307" s="87">
        <v>3712.0</v>
      </c>
      <c r="CM307" s="87"/>
      <c r="CN307" s="87">
        <v>534.0</v>
      </c>
      <c r="CO307" s="87">
        <v>234.0</v>
      </c>
      <c r="CP307" s="87"/>
      <c r="CQ307" s="87">
        <v>34.0</v>
      </c>
      <c r="CR307" s="87"/>
      <c r="CS307" s="87">
        <v>1.0</v>
      </c>
      <c r="CT307" s="87"/>
      <c r="CU307" s="87"/>
      <c r="CV307" s="87"/>
      <c r="CW307" s="87"/>
      <c r="CX307" s="87">
        <v>6541.0</v>
      </c>
      <c r="CY307" s="87">
        <v>23.0</v>
      </c>
      <c r="CZ307" s="87"/>
      <c r="DA307" s="87">
        <v>1.0</v>
      </c>
      <c r="DB307" s="87"/>
      <c r="DC307" s="87">
        <v>3.0</v>
      </c>
      <c r="DD307" s="87">
        <v>1.0</v>
      </c>
      <c r="DE307" s="87"/>
      <c r="DF307" s="87"/>
      <c r="DG307" s="87"/>
      <c r="DH307" s="87">
        <v>14.0</v>
      </c>
      <c r="DI307" s="87"/>
      <c r="DJ307" s="87"/>
      <c r="DK307" s="87">
        <v>2.0</v>
      </c>
      <c r="DL307" s="87"/>
      <c r="DM307" s="87"/>
      <c r="DN307" s="87">
        <v>1.0</v>
      </c>
      <c r="DO307" s="87">
        <v>163.0</v>
      </c>
      <c r="DP307" s="87"/>
      <c r="DQ307" s="87"/>
      <c r="DR307" s="87"/>
      <c r="DS307" s="87"/>
      <c r="DT307" s="87"/>
      <c r="DU307" s="87"/>
      <c r="DV307" s="87"/>
      <c r="DW307" s="87"/>
      <c r="DX307" s="87"/>
      <c r="DY307" s="87"/>
      <c r="DZ307" s="87"/>
      <c r="EA307" s="87"/>
      <c r="EB307" s="87"/>
      <c r="EC307" s="87"/>
      <c r="ED307" s="87">
        <v>6423.0</v>
      </c>
      <c r="EE307" s="87"/>
      <c r="EF307" s="87">
        <v>5.0</v>
      </c>
      <c r="EG307" s="87">
        <v>393.0</v>
      </c>
      <c r="EH307" s="87"/>
      <c r="EI307" s="87">
        <v>83.0</v>
      </c>
      <c r="EJ307" s="87">
        <v>6105.0</v>
      </c>
      <c r="EK307" s="88"/>
      <c r="EL307" s="88"/>
      <c r="EM307" s="88"/>
      <c r="EN307" s="88"/>
      <c r="EO307" s="88"/>
      <c r="EP307" s="88"/>
      <c r="EQ307" s="90"/>
    </row>
    <row r="308" ht="12.0" customHeight="1">
      <c r="A308" s="89">
        <v>1.06364121E8</v>
      </c>
      <c r="B308" s="89" t="s">
        <v>2057</v>
      </c>
      <c r="C308" s="89" t="s">
        <v>1964</v>
      </c>
      <c r="D308" s="89" t="s">
        <v>2058</v>
      </c>
      <c r="E308" s="89" t="s">
        <v>2059</v>
      </c>
      <c r="F308" s="89" t="s">
        <v>1964</v>
      </c>
      <c r="G308" s="89" t="s">
        <v>2020</v>
      </c>
      <c r="H308" s="89" t="s">
        <v>475</v>
      </c>
      <c r="I308" s="89" t="s">
        <v>543</v>
      </c>
      <c r="J308" s="89" t="s">
        <v>463</v>
      </c>
      <c r="K308" s="89" t="s">
        <v>487</v>
      </c>
      <c r="L308" s="89" t="s">
        <v>1987</v>
      </c>
      <c r="M308" s="89" t="s">
        <v>2021</v>
      </c>
      <c r="N308" s="89" t="s">
        <v>441</v>
      </c>
      <c r="O308" s="87"/>
      <c r="P308" s="87"/>
      <c r="Q308" s="87"/>
      <c r="R308" s="87"/>
      <c r="S308" s="87">
        <v>868.0</v>
      </c>
      <c r="T308" s="87"/>
      <c r="U308" s="87">
        <v>533.0</v>
      </c>
      <c r="V308" s="87">
        <v>335.0</v>
      </c>
      <c r="W308" s="87"/>
      <c r="X308" s="87"/>
      <c r="Y308" s="87"/>
      <c r="Z308" s="87">
        <v>54.0</v>
      </c>
      <c r="AA308" s="87">
        <v>74.0</v>
      </c>
      <c r="AB308" s="87">
        <v>100.0</v>
      </c>
      <c r="AC308" s="87">
        <v>172.0</v>
      </c>
      <c r="AD308" s="87">
        <v>235.0</v>
      </c>
      <c r="AE308" s="87">
        <v>147.0</v>
      </c>
      <c r="AF308" s="87">
        <v>80.0</v>
      </c>
      <c r="AG308" s="87">
        <v>6.0</v>
      </c>
      <c r="AH308" s="87">
        <v>316.0</v>
      </c>
      <c r="AI308" s="87">
        <v>547.0</v>
      </c>
      <c r="AJ308" s="87">
        <v>5.0</v>
      </c>
      <c r="AK308" s="87"/>
      <c r="AL308" s="87">
        <v>21.0</v>
      </c>
      <c r="AM308" s="87"/>
      <c r="AN308" s="87">
        <v>116.0</v>
      </c>
      <c r="AO308" s="87">
        <v>692.0</v>
      </c>
      <c r="AP308" s="87">
        <v>39.0</v>
      </c>
      <c r="AQ308" s="87"/>
      <c r="AR308" s="87"/>
      <c r="AS308" s="87">
        <v>1.0</v>
      </c>
      <c r="AT308" s="87">
        <v>3.0</v>
      </c>
      <c r="AU308" s="87">
        <v>851.0</v>
      </c>
      <c r="AV308" s="87">
        <v>2.0</v>
      </c>
      <c r="AW308" s="87">
        <v>10.0</v>
      </c>
      <c r="AX308" s="87"/>
      <c r="AY308" s="87"/>
      <c r="AZ308" s="87">
        <v>1.0</v>
      </c>
      <c r="BA308" s="87"/>
      <c r="BB308" s="87"/>
      <c r="BC308" s="87"/>
      <c r="BD308" s="87"/>
      <c r="BE308" s="87"/>
      <c r="BF308" s="87"/>
      <c r="BG308" s="87">
        <v>868.0</v>
      </c>
      <c r="BH308" s="87"/>
      <c r="BI308" s="87">
        <v>13264.0</v>
      </c>
      <c r="BJ308" s="87"/>
      <c r="BK308" s="87"/>
      <c r="BL308" s="87">
        <v>868.0</v>
      </c>
      <c r="BM308" s="87"/>
      <c r="BN308" s="87"/>
      <c r="BO308" s="87"/>
      <c r="BP308" s="87">
        <v>499.0</v>
      </c>
      <c r="BQ308" s="87">
        <v>115.0</v>
      </c>
      <c r="BR308" s="87">
        <v>1.0</v>
      </c>
      <c r="BS308" s="87">
        <v>117.0</v>
      </c>
      <c r="BT308" s="87"/>
      <c r="BU308" s="87"/>
      <c r="BV308" s="87">
        <v>28.0</v>
      </c>
      <c r="BW308" s="87"/>
      <c r="BX308" s="87">
        <v>107.0</v>
      </c>
      <c r="BY308" s="87"/>
      <c r="BZ308" s="87"/>
      <c r="CA308" s="87"/>
      <c r="CB308" s="87"/>
      <c r="CC308" s="87"/>
      <c r="CD308" s="87">
        <v>1.0</v>
      </c>
      <c r="CE308" s="87"/>
      <c r="CF308" s="87"/>
      <c r="CG308" s="87"/>
      <c r="CH308" s="87">
        <v>868.0</v>
      </c>
      <c r="CI308" s="87"/>
      <c r="CJ308" s="87">
        <v>336.0</v>
      </c>
      <c r="CK308" s="87">
        <v>307.0</v>
      </c>
      <c r="CL308" s="87">
        <v>206.0</v>
      </c>
      <c r="CM308" s="87">
        <v>6.0</v>
      </c>
      <c r="CN308" s="87"/>
      <c r="CO308" s="87">
        <v>13.0</v>
      </c>
      <c r="CP308" s="87"/>
      <c r="CQ308" s="87"/>
      <c r="CR308" s="87"/>
      <c r="CS308" s="87"/>
      <c r="CT308" s="87">
        <v>1.0</v>
      </c>
      <c r="CU308" s="87"/>
      <c r="CV308" s="87"/>
      <c r="CW308" s="87">
        <v>2.0</v>
      </c>
      <c r="CX308" s="87"/>
      <c r="CY308" s="87">
        <v>92.0</v>
      </c>
      <c r="CZ308" s="87"/>
      <c r="DA308" s="87"/>
      <c r="DB308" s="87">
        <v>293.0</v>
      </c>
      <c r="DC308" s="87">
        <v>10.0</v>
      </c>
      <c r="DD308" s="87"/>
      <c r="DE308" s="87">
        <v>2.0</v>
      </c>
      <c r="DF308" s="87">
        <v>23.0</v>
      </c>
      <c r="DG308" s="87"/>
      <c r="DH308" s="87"/>
      <c r="DI308" s="87"/>
      <c r="DJ308" s="87"/>
      <c r="DK308" s="87">
        <v>96.0</v>
      </c>
      <c r="DL308" s="87">
        <v>245.0</v>
      </c>
      <c r="DM308" s="87">
        <v>104.0</v>
      </c>
      <c r="DN308" s="87"/>
      <c r="DO308" s="87">
        <v>20.0</v>
      </c>
      <c r="DP308" s="87"/>
      <c r="DQ308" s="87">
        <v>36.0</v>
      </c>
      <c r="DR308" s="87">
        <v>1.0</v>
      </c>
      <c r="DS308" s="87"/>
      <c r="DT308" s="87"/>
      <c r="DU308" s="87"/>
      <c r="DV308" s="87"/>
      <c r="DW308" s="87"/>
      <c r="DX308" s="87"/>
      <c r="DY308" s="87"/>
      <c r="DZ308" s="87"/>
      <c r="EA308" s="87"/>
      <c r="EB308" s="87">
        <v>1.0</v>
      </c>
      <c r="EC308" s="87"/>
      <c r="ED308" s="87">
        <v>810.0</v>
      </c>
      <c r="EE308" s="87"/>
      <c r="EF308" s="87"/>
      <c r="EG308" s="87"/>
      <c r="EH308" s="87"/>
      <c r="EI308" s="87">
        <v>3.0</v>
      </c>
      <c r="EJ308" s="87">
        <v>865.0</v>
      </c>
      <c r="EK308" s="88"/>
      <c r="EL308" s="88"/>
      <c r="EM308" s="88"/>
      <c r="EN308" s="88"/>
      <c r="EO308" s="88"/>
      <c r="EP308" s="88"/>
      <c r="EQ308" s="90"/>
    </row>
    <row r="309" ht="12.0" customHeight="1">
      <c r="A309" s="89">
        <v>1.06364144E8</v>
      </c>
      <c r="B309" s="89" t="s">
        <v>2060</v>
      </c>
      <c r="C309" s="89" t="s">
        <v>1964</v>
      </c>
      <c r="D309" s="89" t="s">
        <v>2061</v>
      </c>
      <c r="E309" s="89" t="s">
        <v>2062</v>
      </c>
      <c r="F309" s="89" t="s">
        <v>2036</v>
      </c>
      <c r="G309" s="89" t="s">
        <v>2037</v>
      </c>
      <c r="H309" s="89" t="s">
        <v>503</v>
      </c>
      <c r="I309" s="89" t="s">
        <v>543</v>
      </c>
      <c r="J309" s="89" t="s">
        <v>437</v>
      </c>
      <c r="K309" s="89" t="s">
        <v>884</v>
      </c>
      <c r="L309" s="89" t="s">
        <v>913</v>
      </c>
      <c r="M309" s="89" t="s">
        <v>2038</v>
      </c>
      <c r="N309" s="89" t="s">
        <v>441</v>
      </c>
      <c r="O309" s="87">
        <v>9594.0</v>
      </c>
      <c r="P309" s="87"/>
      <c r="Q309" s="87"/>
      <c r="R309" s="87"/>
      <c r="S309" s="87"/>
      <c r="T309" s="87"/>
      <c r="U309" s="87">
        <v>4526.0</v>
      </c>
      <c r="V309" s="87">
        <v>5068.0</v>
      </c>
      <c r="W309" s="87"/>
      <c r="X309" s="87">
        <v>479.0</v>
      </c>
      <c r="Y309" s="87">
        <v>93.0</v>
      </c>
      <c r="Z309" s="87">
        <v>701.0</v>
      </c>
      <c r="AA309" s="87">
        <v>837.0</v>
      </c>
      <c r="AB309" s="87">
        <v>1004.0</v>
      </c>
      <c r="AC309" s="87">
        <v>1413.0</v>
      </c>
      <c r="AD309" s="87">
        <v>1989.0</v>
      </c>
      <c r="AE309" s="87">
        <v>1690.0</v>
      </c>
      <c r="AF309" s="87">
        <v>1388.0</v>
      </c>
      <c r="AG309" s="87"/>
      <c r="AH309" s="87">
        <v>2773.0</v>
      </c>
      <c r="AI309" s="87">
        <v>6474.0</v>
      </c>
      <c r="AJ309" s="87">
        <v>347.0</v>
      </c>
      <c r="AK309" s="87">
        <v>23.0</v>
      </c>
      <c r="AL309" s="87">
        <v>135.0</v>
      </c>
      <c r="AM309" s="87">
        <v>29.0</v>
      </c>
      <c r="AN309" s="87">
        <v>1143.0</v>
      </c>
      <c r="AO309" s="87">
        <v>3096.0</v>
      </c>
      <c r="AP309" s="87">
        <v>131.0</v>
      </c>
      <c r="AQ309" s="87">
        <v>4671.0</v>
      </c>
      <c r="AR309" s="87">
        <v>366.0</v>
      </c>
      <c r="AS309" s="87">
        <v>8197.0</v>
      </c>
      <c r="AT309" s="87">
        <v>869.0</v>
      </c>
      <c r="AU309" s="87"/>
      <c r="AV309" s="87">
        <v>44.0</v>
      </c>
      <c r="AW309" s="87">
        <v>1.0</v>
      </c>
      <c r="AX309" s="87"/>
      <c r="AY309" s="87"/>
      <c r="AZ309" s="87"/>
      <c r="BA309" s="87"/>
      <c r="BB309" s="87">
        <v>4.0</v>
      </c>
      <c r="BC309" s="87">
        <v>479.0</v>
      </c>
      <c r="BD309" s="87"/>
      <c r="BE309" s="87">
        <v>8509.0</v>
      </c>
      <c r="BF309" s="87">
        <v>1.0</v>
      </c>
      <c r="BG309" s="87">
        <v>1084.0</v>
      </c>
      <c r="BH309" s="87"/>
      <c r="BI309" s="87">
        <v>40713.0</v>
      </c>
      <c r="BJ309" s="87">
        <v>850.0</v>
      </c>
      <c r="BK309" s="87">
        <v>8265.0</v>
      </c>
      <c r="BL309" s="87"/>
      <c r="BM309" s="87">
        <v>479.0</v>
      </c>
      <c r="BN309" s="87"/>
      <c r="BO309" s="87"/>
      <c r="BP309" s="87">
        <v>5935.0</v>
      </c>
      <c r="BQ309" s="87">
        <v>321.0</v>
      </c>
      <c r="BR309" s="87">
        <v>8.0</v>
      </c>
      <c r="BS309" s="87">
        <v>599.0</v>
      </c>
      <c r="BT309" s="87">
        <v>1.0</v>
      </c>
      <c r="BU309" s="87">
        <v>75.0</v>
      </c>
      <c r="BV309" s="87">
        <v>716.0</v>
      </c>
      <c r="BW309" s="87">
        <v>299.0</v>
      </c>
      <c r="BX309" s="87">
        <v>1325.0</v>
      </c>
      <c r="BY309" s="87"/>
      <c r="BZ309" s="87">
        <v>1.0</v>
      </c>
      <c r="CA309" s="87">
        <v>309.0</v>
      </c>
      <c r="CB309" s="87">
        <v>5.0</v>
      </c>
      <c r="CC309" s="87"/>
      <c r="CD309" s="87"/>
      <c r="CE309" s="87"/>
      <c r="CF309" s="87"/>
      <c r="CG309" s="87">
        <v>337.0</v>
      </c>
      <c r="CH309" s="87">
        <v>9257.0</v>
      </c>
      <c r="CI309" s="87"/>
      <c r="CJ309" s="87">
        <v>4191.0</v>
      </c>
      <c r="CK309" s="87">
        <v>3702.0</v>
      </c>
      <c r="CL309" s="87">
        <v>1428.0</v>
      </c>
      <c r="CM309" s="87">
        <v>12.0</v>
      </c>
      <c r="CN309" s="87"/>
      <c r="CO309" s="87">
        <v>171.0</v>
      </c>
      <c r="CP309" s="87"/>
      <c r="CQ309" s="87">
        <v>89.0</v>
      </c>
      <c r="CR309" s="87">
        <v>1.0</v>
      </c>
      <c r="CS309" s="87"/>
      <c r="CT309" s="87">
        <v>1696.0</v>
      </c>
      <c r="CU309" s="87">
        <v>109.0</v>
      </c>
      <c r="CV309" s="87">
        <v>87.0</v>
      </c>
      <c r="CW309" s="87">
        <v>427.0</v>
      </c>
      <c r="CX309" s="87">
        <v>29.0</v>
      </c>
      <c r="CY309" s="87">
        <v>387.0</v>
      </c>
      <c r="CZ309" s="87">
        <v>4.0</v>
      </c>
      <c r="DA309" s="87">
        <v>22.0</v>
      </c>
      <c r="DB309" s="87">
        <v>1965.0</v>
      </c>
      <c r="DC309" s="87">
        <v>796.0</v>
      </c>
      <c r="DD309" s="87">
        <v>1192.0</v>
      </c>
      <c r="DE309" s="87">
        <v>202.0</v>
      </c>
      <c r="DF309" s="87">
        <v>226.0</v>
      </c>
      <c r="DG309" s="87">
        <v>581.0</v>
      </c>
      <c r="DH309" s="87">
        <v>549.0</v>
      </c>
      <c r="DI309" s="87">
        <v>479.0</v>
      </c>
      <c r="DJ309" s="87">
        <v>1.0</v>
      </c>
      <c r="DK309" s="87">
        <v>256.0</v>
      </c>
      <c r="DL309" s="87">
        <v>582.0</v>
      </c>
      <c r="DM309" s="87">
        <v>4.0</v>
      </c>
      <c r="DN309" s="87"/>
      <c r="DO309" s="87">
        <v>1490.0</v>
      </c>
      <c r="DP309" s="87">
        <v>465.0</v>
      </c>
      <c r="DQ309" s="87">
        <v>1230.0</v>
      </c>
      <c r="DR309" s="87">
        <v>732.0</v>
      </c>
      <c r="DS309" s="87">
        <v>1.0</v>
      </c>
      <c r="DT309" s="87">
        <v>3.0</v>
      </c>
      <c r="DU309" s="87"/>
      <c r="DV309" s="87">
        <v>56.0</v>
      </c>
      <c r="DW309" s="87">
        <v>3.0</v>
      </c>
      <c r="DX309" s="87">
        <v>120.0</v>
      </c>
      <c r="DY309" s="87">
        <v>396.0</v>
      </c>
      <c r="DZ309" s="87">
        <v>20.0</v>
      </c>
      <c r="EA309" s="87">
        <v>6.0</v>
      </c>
      <c r="EB309" s="87">
        <v>101.0</v>
      </c>
      <c r="EC309" s="87">
        <v>121.0</v>
      </c>
      <c r="ED309" s="87">
        <v>4632.0</v>
      </c>
      <c r="EE309" s="87">
        <v>218.0</v>
      </c>
      <c r="EF309" s="87">
        <v>2.0</v>
      </c>
      <c r="EG309" s="87">
        <v>144.0</v>
      </c>
      <c r="EH309" s="87"/>
      <c r="EI309" s="87">
        <v>84.0</v>
      </c>
      <c r="EJ309" s="87">
        <v>9364.0</v>
      </c>
      <c r="EK309" s="88"/>
      <c r="EL309" s="88"/>
      <c r="EM309" s="88"/>
      <c r="EN309" s="88"/>
      <c r="EO309" s="88"/>
      <c r="EP309" s="88"/>
      <c r="EQ309" s="90"/>
    </row>
    <row r="310" ht="12.0" customHeight="1">
      <c r="A310" s="89">
        <v>1.06364188E8</v>
      </c>
      <c r="B310" s="89" t="s">
        <v>2063</v>
      </c>
      <c r="C310" s="89" t="s">
        <v>1964</v>
      </c>
      <c r="D310" s="89" t="s">
        <v>2064</v>
      </c>
      <c r="E310" s="89" t="s">
        <v>2065</v>
      </c>
      <c r="F310" s="89" t="s">
        <v>2066</v>
      </c>
      <c r="G310" s="89" t="s">
        <v>2067</v>
      </c>
      <c r="H310" s="89" t="s">
        <v>475</v>
      </c>
      <c r="I310" s="89" t="s">
        <v>543</v>
      </c>
      <c r="J310" s="89" t="s">
        <v>463</v>
      </c>
      <c r="K310" s="89" t="s">
        <v>662</v>
      </c>
      <c r="L310" s="89" t="s">
        <v>748</v>
      </c>
      <c r="M310" s="89" t="s">
        <v>2068</v>
      </c>
      <c r="N310" s="89" t="s">
        <v>441</v>
      </c>
      <c r="O310" s="87">
        <v>383.0</v>
      </c>
      <c r="P310" s="87"/>
      <c r="Q310" s="87"/>
      <c r="R310" s="87"/>
      <c r="S310" s="87"/>
      <c r="T310" s="87"/>
      <c r="U310" s="87">
        <v>207.0</v>
      </c>
      <c r="V310" s="87">
        <v>176.0</v>
      </c>
      <c r="W310" s="87"/>
      <c r="X310" s="87"/>
      <c r="Y310" s="87"/>
      <c r="Z310" s="87">
        <v>13.0</v>
      </c>
      <c r="AA310" s="87">
        <v>22.0</v>
      </c>
      <c r="AB310" s="87">
        <v>37.0</v>
      </c>
      <c r="AC310" s="87">
        <v>71.0</v>
      </c>
      <c r="AD310" s="87">
        <v>109.0</v>
      </c>
      <c r="AE310" s="87">
        <v>93.0</v>
      </c>
      <c r="AF310" s="87">
        <v>35.0</v>
      </c>
      <c r="AG310" s="87">
        <v>3.0</v>
      </c>
      <c r="AH310" s="87">
        <v>127.0</v>
      </c>
      <c r="AI310" s="87">
        <v>225.0</v>
      </c>
      <c r="AJ310" s="87">
        <v>31.0</v>
      </c>
      <c r="AK310" s="87"/>
      <c r="AL310" s="87"/>
      <c r="AM310" s="87"/>
      <c r="AN310" s="87">
        <v>64.0</v>
      </c>
      <c r="AO310" s="87">
        <v>143.0</v>
      </c>
      <c r="AP310" s="87">
        <v>17.0</v>
      </c>
      <c r="AQ310" s="87">
        <v>159.0</v>
      </c>
      <c r="AR310" s="87"/>
      <c r="AS310" s="87">
        <v>21.0</v>
      </c>
      <c r="AT310" s="87">
        <v>2.0</v>
      </c>
      <c r="AU310" s="87">
        <v>360.0</v>
      </c>
      <c r="AV310" s="87"/>
      <c r="AW310" s="87"/>
      <c r="AX310" s="87"/>
      <c r="AY310" s="87"/>
      <c r="AZ310" s="87"/>
      <c r="BA310" s="87"/>
      <c r="BB310" s="87"/>
      <c r="BC310" s="87"/>
      <c r="BD310" s="87"/>
      <c r="BE310" s="87"/>
      <c r="BF310" s="87"/>
      <c r="BG310" s="87">
        <v>383.0</v>
      </c>
      <c r="BH310" s="87"/>
      <c r="BI310" s="87">
        <v>13066.0</v>
      </c>
      <c r="BJ310" s="87"/>
      <c r="BK310" s="87"/>
      <c r="BL310" s="87">
        <v>383.0</v>
      </c>
      <c r="BM310" s="87"/>
      <c r="BN310" s="87"/>
      <c r="BO310" s="87"/>
      <c r="BP310" s="87">
        <v>39.0</v>
      </c>
      <c r="BQ310" s="87">
        <v>32.0</v>
      </c>
      <c r="BR310" s="87">
        <v>24.0</v>
      </c>
      <c r="BS310" s="87">
        <v>146.0</v>
      </c>
      <c r="BT310" s="87">
        <v>2.0</v>
      </c>
      <c r="BU310" s="87"/>
      <c r="BV310" s="87">
        <v>10.0</v>
      </c>
      <c r="BW310" s="87">
        <v>82.0</v>
      </c>
      <c r="BX310" s="87">
        <v>41.0</v>
      </c>
      <c r="BY310" s="87"/>
      <c r="BZ310" s="87"/>
      <c r="CA310" s="87">
        <v>6.0</v>
      </c>
      <c r="CB310" s="87">
        <v>1.0</v>
      </c>
      <c r="CC310" s="87"/>
      <c r="CD310" s="87"/>
      <c r="CE310" s="87"/>
      <c r="CF310" s="87"/>
      <c r="CG310" s="87"/>
      <c r="CH310" s="87">
        <v>383.0</v>
      </c>
      <c r="CI310" s="87"/>
      <c r="CJ310" s="87">
        <v>109.0</v>
      </c>
      <c r="CK310" s="87">
        <v>95.0</v>
      </c>
      <c r="CL310" s="87">
        <v>151.0</v>
      </c>
      <c r="CM310" s="87">
        <v>19.0</v>
      </c>
      <c r="CN310" s="87"/>
      <c r="CO310" s="87">
        <v>9.0</v>
      </c>
      <c r="CP310" s="87"/>
      <c r="CQ310" s="87"/>
      <c r="CR310" s="87"/>
      <c r="CS310" s="87"/>
      <c r="CT310" s="87">
        <v>35.0</v>
      </c>
      <c r="CU310" s="87">
        <v>1.0</v>
      </c>
      <c r="CV310" s="87"/>
      <c r="CW310" s="87">
        <v>10.0</v>
      </c>
      <c r="CX310" s="87"/>
      <c r="CY310" s="87">
        <v>10.0</v>
      </c>
      <c r="CZ310" s="87"/>
      <c r="DA310" s="87"/>
      <c r="DB310" s="87">
        <v>9.0</v>
      </c>
      <c r="DC310" s="87">
        <v>233.0</v>
      </c>
      <c r="DD310" s="87">
        <v>13.0</v>
      </c>
      <c r="DE310" s="87">
        <v>11.0</v>
      </c>
      <c r="DF310" s="87">
        <v>30.0</v>
      </c>
      <c r="DG310" s="87">
        <v>8.0</v>
      </c>
      <c r="DH310" s="87"/>
      <c r="DI310" s="87"/>
      <c r="DJ310" s="87"/>
      <c r="DK310" s="87">
        <v>1.0</v>
      </c>
      <c r="DL310" s="87">
        <v>18.0</v>
      </c>
      <c r="DM310" s="87">
        <v>4.0</v>
      </c>
      <c r="DN310" s="87"/>
      <c r="DO310" s="87">
        <v>145.0</v>
      </c>
      <c r="DP310" s="87"/>
      <c r="DQ310" s="87">
        <v>13.0</v>
      </c>
      <c r="DR310" s="87">
        <v>23.0</v>
      </c>
      <c r="DS310" s="87"/>
      <c r="DT310" s="87"/>
      <c r="DU310" s="87"/>
      <c r="DV310" s="87"/>
      <c r="DW310" s="87"/>
      <c r="DX310" s="87">
        <v>7.0</v>
      </c>
      <c r="DY310" s="87">
        <v>16.0</v>
      </c>
      <c r="DZ310" s="87">
        <v>6.0</v>
      </c>
      <c r="EA310" s="87"/>
      <c r="EB310" s="87">
        <v>8.0</v>
      </c>
      <c r="EC310" s="87"/>
      <c r="ED310" s="87">
        <v>149.0</v>
      </c>
      <c r="EE310" s="87">
        <v>16.0</v>
      </c>
      <c r="EF310" s="87"/>
      <c r="EG310" s="87">
        <v>4.0</v>
      </c>
      <c r="EH310" s="87"/>
      <c r="EI310" s="87">
        <v>1.0</v>
      </c>
      <c r="EJ310" s="87">
        <v>378.0</v>
      </c>
      <c r="EK310" s="88"/>
      <c r="EL310" s="88"/>
      <c r="EM310" s="88"/>
      <c r="EN310" s="88"/>
      <c r="EO310" s="88"/>
      <c r="EP310" s="88"/>
      <c r="EQ310" s="90"/>
    </row>
    <row r="311" ht="12.0" customHeight="1">
      <c r="A311" s="89">
        <v>1.06364231E8</v>
      </c>
      <c r="B311" s="89" t="s">
        <v>2069</v>
      </c>
      <c r="C311" s="89" t="s">
        <v>1964</v>
      </c>
      <c r="D311" s="89" t="s">
        <v>2070</v>
      </c>
      <c r="E311" s="89" t="s">
        <v>2071</v>
      </c>
      <c r="F311" s="89" t="s">
        <v>2072</v>
      </c>
      <c r="G311" s="89" t="s">
        <v>2073</v>
      </c>
      <c r="H311" s="89" t="s">
        <v>435</v>
      </c>
      <c r="I311" s="89" t="s">
        <v>456</v>
      </c>
      <c r="J311" s="89" t="s">
        <v>448</v>
      </c>
      <c r="K311" s="89" t="s">
        <v>487</v>
      </c>
      <c r="L311" s="89" t="s">
        <v>1987</v>
      </c>
      <c r="M311" s="89" t="s">
        <v>1988</v>
      </c>
      <c r="N311" s="89" t="s">
        <v>441</v>
      </c>
      <c r="O311" s="87">
        <v>17681.0</v>
      </c>
      <c r="P311" s="87"/>
      <c r="Q311" s="87">
        <v>3112.0</v>
      </c>
      <c r="R311" s="87"/>
      <c r="S311" s="87"/>
      <c r="T311" s="87"/>
      <c r="U311" s="87">
        <v>10503.0</v>
      </c>
      <c r="V311" s="87">
        <v>10290.0</v>
      </c>
      <c r="W311" s="87"/>
      <c r="X311" s="87">
        <v>2398.0</v>
      </c>
      <c r="Y311" s="87">
        <v>602.0</v>
      </c>
      <c r="Z311" s="87">
        <v>3336.0</v>
      </c>
      <c r="AA311" s="87">
        <v>3589.0</v>
      </c>
      <c r="AB311" s="87">
        <v>2678.0</v>
      </c>
      <c r="AC311" s="87">
        <v>2854.0</v>
      </c>
      <c r="AD311" s="87">
        <v>2732.0</v>
      </c>
      <c r="AE311" s="87">
        <v>1520.0</v>
      </c>
      <c r="AF311" s="87">
        <v>1084.0</v>
      </c>
      <c r="AG311" s="87"/>
      <c r="AH311" s="87">
        <v>12655.0</v>
      </c>
      <c r="AI311" s="87">
        <v>7489.0</v>
      </c>
      <c r="AJ311" s="87">
        <v>649.0</v>
      </c>
      <c r="AK311" s="87">
        <v>76.0</v>
      </c>
      <c r="AL311" s="87">
        <v>424.0</v>
      </c>
      <c r="AM311" s="87">
        <v>99.0</v>
      </c>
      <c r="AN311" s="87">
        <v>3037.0</v>
      </c>
      <c r="AO311" s="87">
        <v>6392.0</v>
      </c>
      <c r="AP311" s="87">
        <v>529.0</v>
      </c>
      <c r="AQ311" s="87">
        <v>10023.0</v>
      </c>
      <c r="AR311" s="87">
        <v>213.0</v>
      </c>
      <c r="AS311" s="87">
        <v>14849.0</v>
      </c>
      <c r="AT311" s="87">
        <v>690.0</v>
      </c>
      <c r="AU311" s="87">
        <v>462.0</v>
      </c>
      <c r="AV311" s="87">
        <v>391.0</v>
      </c>
      <c r="AW311" s="87">
        <v>761.0</v>
      </c>
      <c r="AX311" s="87">
        <v>3.0</v>
      </c>
      <c r="AY311" s="87"/>
      <c r="AZ311" s="87"/>
      <c r="BA311" s="87">
        <v>1418.0</v>
      </c>
      <c r="BB311" s="87">
        <v>150.0</v>
      </c>
      <c r="BC311" s="87">
        <v>2069.0</v>
      </c>
      <c r="BD311" s="87"/>
      <c r="BE311" s="87">
        <v>17321.0</v>
      </c>
      <c r="BF311" s="87">
        <v>4.0</v>
      </c>
      <c r="BG311" s="87">
        <v>3466.0</v>
      </c>
      <c r="BH311" s="87">
        <v>2.0</v>
      </c>
      <c r="BI311" s="87">
        <v>133351.0</v>
      </c>
      <c r="BJ311" s="87">
        <v>14797.0</v>
      </c>
      <c r="BK311" s="87">
        <v>1041.0</v>
      </c>
      <c r="BL311" s="87">
        <v>1196.0</v>
      </c>
      <c r="BM311" s="87">
        <v>2069.0</v>
      </c>
      <c r="BN311" s="87">
        <v>1683.0</v>
      </c>
      <c r="BO311" s="87">
        <v>7.0</v>
      </c>
      <c r="BP311" s="87">
        <v>16512.0</v>
      </c>
      <c r="BQ311" s="87">
        <v>219.0</v>
      </c>
      <c r="BR311" s="87">
        <v>289.0</v>
      </c>
      <c r="BS311" s="87">
        <v>1284.0</v>
      </c>
      <c r="BT311" s="87">
        <v>9.0</v>
      </c>
      <c r="BU311" s="87">
        <v>635.0</v>
      </c>
      <c r="BV311" s="87">
        <v>702.0</v>
      </c>
      <c r="BW311" s="87">
        <v>480.0</v>
      </c>
      <c r="BX311" s="87">
        <v>218.0</v>
      </c>
      <c r="BY311" s="87"/>
      <c r="BZ311" s="87"/>
      <c r="CA311" s="87">
        <v>101.0</v>
      </c>
      <c r="CB311" s="87">
        <v>100.0</v>
      </c>
      <c r="CC311" s="87"/>
      <c r="CD311" s="87">
        <v>238.0</v>
      </c>
      <c r="CE311" s="87">
        <v>2.0</v>
      </c>
      <c r="CF311" s="87">
        <v>4.0</v>
      </c>
      <c r="CG311" s="87">
        <v>375.0</v>
      </c>
      <c r="CH311" s="87">
        <v>20417.0</v>
      </c>
      <c r="CI311" s="87">
        <v>1.0</v>
      </c>
      <c r="CJ311" s="87">
        <v>4319.0</v>
      </c>
      <c r="CK311" s="87">
        <v>13924.0</v>
      </c>
      <c r="CL311" s="87">
        <v>953.0</v>
      </c>
      <c r="CM311" s="87">
        <v>64.0</v>
      </c>
      <c r="CN311" s="87"/>
      <c r="CO311" s="87">
        <v>871.0</v>
      </c>
      <c r="CP311" s="87">
        <v>37.0</v>
      </c>
      <c r="CQ311" s="87">
        <v>610.0</v>
      </c>
      <c r="CR311" s="87">
        <v>15.0</v>
      </c>
      <c r="CS311" s="87"/>
      <c r="CT311" s="87">
        <v>1953.0</v>
      </c>
      <c r="CU311" s="87">
        <v>534.0</v>
      </c>
      <c r="CV311" s="87">
        <v>137.0</v>
      </c>
      <c r="CW311" s="87">
        <v>692.0</v>
      </c>
      <c r="CX311" s="87">
        <v>3793.0</v>
      </c>
      <c r="CY311" s="87">
        <v>616.0</v>
      </c>
      <c r="CZ311" s="87">
        <v>34.0</v>
      </c>
      <c r="DA311" s="87">
        <v>16.0</v>
      </c>
      <c r="DB311" s="87">
        <v>1759.0</v>
      </c>
      <c r="DC311" s="87">
        <v>579.0</v>
      </c>
      <c r="DD311" s="87">
        <v>1443.0</v>
      </c>
      <c r="DE311" s="87">
        <v>244.0</v>
      </c>
      <c r="DF311" s="87">
        <v>321.0</v>
      </c>
      <c r="DG311" s="87">
        <v>652.0</v>
      </c>
      <c r="DH311" s="87">
        <v>2504.0</v>
      </c>
      <c r="DI311" s="87">
        <v>2113.0</v>
      </c>
      <c r="DJ311" s="87">
        <v>10.0</v>
      </c>
      <c r="DK311" s="87">
        <v>335.0</v>
      </c>
      <c r="DL311" s="87">
        <v>2997.0</v>
      </c>
      <c r="DM311" s="87">
        <v>58.0</v>
      </c>
      <c r="DN311" s="87">
        <v>3.0</v>
      </c>
      <c r="DO311" s="87">
        <v>2358.0</v>
      </c>
      <c r="DP311" s="87">
        <v>2133.0</v>
      </c>
      <c r="DQ311" s="87">
        <v>1076.0</v>
      </c>
      <c r="DR311" s="87">
        <v>1323.0</v>
      </c>
      <c r="DS311" s="87">
        <v>9.0</v>
      </c>
      <c r="DT311" s="87">
        <v>21.0</v>
      </c>
      <c r="DU311" s="87">
        <v>20.0</v>
      </c>
      <c r="DV311" s="87">
        <v>329.0</v>
      </c>
      <c r="DW311" s="87">
        <v>69.0</v>
      </c>
      <c r="DX311" s="87">
        <v>569.0</v>
      </c>
      <c r="DY311" s="87">
        <v>1308.0</v>
      </c>
      <c r="DZ311" s="87">
        <v>338.0</v>
      </c>
      <c r="EA311" s="87">
        <v>39.0</v>
      </c>
      <c r="EB311" s="87">
        <v>311.0</v>
      </c>
      <c r="EC311" s="87">
        <v>197.0</v>
      </c>
      <c r="ED311" s="87">
        <v>10495.0</v>
      </c>
      <c r="EE311" s="87">
        <v>198.0</v>
      </c>
      <c r="EF311" s="87">
        <v>29.0</v>
      </c>
      <c r="EG311" s="87">
        <v>2100.0</v>
      </c>
      <c r="EH311" s="87">
        <v>2.0</v>
      </c>
      <c r="EI311" s="87">
        <v>117.0</v>
      </c>
      <c r="EJ311" s="87">
        <v>18545.0</v>
      </c>
      <c r="EK311" s="88"/>
      <c r="EL311" s="88"/>
      <c r="EM311" s="88"/>
      <c r="EN311" s="88"/>
      <c r="EO311" s="88"/>
      <c r="EP311" s="88"/>
      <c r="EQ311" s="90"/>
    </row>
    <row r="312" ht="12.0" customHeight="1">
      <c r="A312" s="89">
        <v>1.0636443E8</v>
      </c>
      <c r="B312" s="89" t="s">
        <v>2074</v>
      </c>
      <c r="C312" s="89" t="s">
        <v>1964</v>
      </c>
      <c r="D312" s="89" t="s">
        <v>2075</v>
      </c>
      <c r="E312" s="89" t="s">
        <v>2076</v>
      </c>
      <c r="F312" s="89" t="s">
        <v>2077</v>
      </c>
      <c r="G312" s="89" t="s">
        <v>2078</v>
      </c>
      <c r="H312" s="89" t="s">
        <v>503</v>
      </c>
      <c r="I312" s="89" t="s">
        <v>456</v>
      </c>
      <c r="J312" s="89" t="s">
        <v>499</v>
      </c>
      <c r="K312" s="89" t="s">
        <v>512</v>
      </c>
      <c r="L312" s="89" t="s">
        <v>913</v>
      </c>
      <c r="M312" s="89" t="s">
        <v>2079</v>
      </c>
      <c r="N312" s="89" t="s">
        <v>547</v>
      </c>
      <c r="O312" s="87">
        <v>2064.0</v>
      </c>
      <c r="P312" s="87"/>
      <c r="Q312" s="87"/>
      <c r="R312" s="87"/>
      <c r="S312" s="87"/>
      <c r="T312" s="87"/>
      <c r="U312" s="87">
        <v>934.0</v>
      </c>
      <c r="V312" s="87">
        <v>1130.0</v>
      </c>
      <c r="W312" s="87"/>
      <c r="X312" s="87">
        <v>198.0</v>
      </c>
      <c r="Y312" s="87">
        <v>20.0</v>
      </c>
      <c r="Z312" s="87">
        <v>225.0</v>
      </c>
      <c r="AA312" s="87">
        <v>196.0</v>
      </c>
      <c r="AB312" s="87">
        <v>203.0</v>
      </c>
      <c r="AC312" s="87">
        <v>275.0</v>
      </c>
      <c r="AD312" s="87">
        <v>439.0</v>
      </c>
      <c r="AE312" s="87">
        <v>306.0</v>
      </c>
      <c r="AF312" s="87">
        <v>202.0</v>
      </c>
      <c r="AG312" s="87"/>
      <c r="AH312" s="87">
        <v>590.0</v>
      </c>
      <c r="AI312" s="87">
        <v>1410.0</v>
      </c>
      <c r="AJ312" s="87">
        <v>64.0</v>
      </c>
      <c r="AK312" s="87">
        <v>12.0</v>
      </c>
      <c r="AL312" s="87">
        <v>22.0</v>
      </c>
      <c r="AM312" s="87">
        <v>15.0</v>
      </c>
      <c r="AN312" s="87">
        <v>318.0</v>
      </c>
      <c r="AO312" s="87">
        <v>1604.0</v>
      </c>
      <c r="AP312" s="87">
        <v>70.0</v>
      </c>
      <c r="AQ312" s="87">
        <v>23.0</v>
      </c>
      <c r="AR312" s="87"/>
      <c r="AS312" s="87">
        <v>1852.0</v>
      </c>
      <c r="AT312" s="87">
        <v>6.0</v>
      </c>
      <c r="AU312" s="87">
        <v>1.0</v>
      </c>
      <c r="AV312" s="87"/>
      <c r="AW312" s="87"/>
      <c r="AX312" s="87">
        <v>1.0</v>
      </c>
      <c r="AY312" s="87">
        <v>1.0</v>
      </c>
      <c r="AZ312" s="87"/>
      <c r="BA312" s="87"/>
      <c r="BB312" s="87">
        <v>7.0</v>
      </c>
      <c r="BC312" s="87">
        <v>196.0</v>
      </c>
      <c r="BD312" s="87"/>
      <c r="BE312" s="87">
        <v>2059.0</v>
      </c>
      <c r="BF312" s="87"/>
      <c r="BG312" s="87">
        <v>5.0</v>
      </c>
      <c r="BH312" s="87"/>
      <c r="BI312" s="87">
        <v>7247.0</v>
      </c>
      <c r="BJ312" s="87">
        <v>1645.0</v>
      </c>
      <c r="BK312" s="87">
        <v>20.0</v>
      </c>
      <c r="BL312" s="87">
        <v>198.0</v>
      </c>
      <c r="BM312" s="87">
        <v>196.0</v>
      </c>
      <c r="BN312" s="87"/>
      <c r="BO312" s="87">
        <v>5.0</v>
      </c>
      <c r="BP312" s="87">
        <v>1117.0</v>
      </c>
      <c r="BQ312" s="87">
        <v>76.0</v>
      </c>
      <c r="BR312" s="87">
        <v>6.0</v>
      </c>
      <c r="BS312" s="87">
        <v>132.0</v>
      </c>
      <c r="BT312" s="87">
        <v>19.0</v>
      </c>
      <c r="BU312" s="87">
        <v>1.0</v>
      </c>
      <c r="BV312" s="87">
        <v>119.0</v>
      </c>
      <c r="BW312" s="87">
        <v>93.0</v>
      </c>
      <c r="BX312" s="87">
        <v>409.0</v>
      </c>
      <c r="BY312" s="87"/>
      <c r="BZ312" s="87">
        <v>1.0</v>
      </c>
      <c r="CA312" s="87">
        <v>88.0</v>
      </c>
      <c r="CB312" s="87">
        <v>2.0</v>
      </c>
      <c r="CC312" s="87">
        <v>1.0</v>
      </c>
      <c r="CD312" s="87"/>
      <c r="CE312" s="87"/>
      <c r="CF312" s="87"/>
      <c r="CG312" s="87">
        <v>92.0</v>
      </c>
      <c r="CH312" s="87">
        <v>1972.0</v>
      </c>
      <c r="CI312" s="87"/>
      <c r="CJ312" s="87">
        <v>740.0</v>
      </c>
      <c r="CK312" s="87">
        <v>967.0</v>
      </c>
      <c r="CL312" s="87">
        <v>291.0</v>
      </c>
      <c r="CM312" s="87">
        <v>3.0</v>
      </c>
      <c r="CN312" s="87"/>
      <c r="CO312" s="87">
        <v>19.0</v>
      </c>
      <c r="CP312" s="87"/>
      <c r="CQ312" s="87">
        <v>44.0</v>
      </c>
      <c r="CR312" s="87"/>
      <c r="CS312" s="87"/>
      <c r="CT312" s="87">
        <v>444.0</v>
      </c>
      <c r="CU312" s="87">
        <v>17.0</v>
      </c>
      <c r="CV312" s="87">
        <v>22.0</v>
      </c>
      <c r="CW312" s="87">
        <v>139.0</v>
      </c>
      <c r="CX312" s="87">
        <v>29.0</v>
      </c>
      <c r="CY312" s="87">
        <v>35.0</v>
      </c>
      <c r="CZ312" s="87"/>
      <c r="DA312" s="87">
        <v>1.0</v>
      </c>
      <c r="DB312" s="87">
        <v>222.0</v>
      </c>
      <c r="DC312" s="87">
        <v>165.0</v>
      </c>
      <c r="DD312" s="87">
        <v>262.0</v>
      </c>
      <c r="DE312" s="87">
        <v>31.0</v>
      </c>
      <c r="DF312" s="87">
        <v>25.0</v>
      </c>
      <c r="DG312" s="87">
        <v>94.0</v>
      </c>
      <c r="DH312" s="87">
        <v>219.0</v>
      </c>
      <c r="DI312" s="87">
        <v>198.0</v>
      </c>
      <c r="DJ312" s="87"/>
      <c r="DK312" s="87">
        <v>15.0</v>
      </c>
      <c r="DL312" s="87">
        <v>125.0</v>
      </c>
      <c r="DM312" s="87">
        <v>21.0</v>
      </c>
      <c r="DN312" s="87"/>
      <c r="DO312" s="87">
        <v>133.0</v>
      </c>
      <c r="DP312" s="87">
        <v>192.0</v>
      </c>
      <c r="DQ312" s="87">
        <v>118.0</v>
      </c>
      <c r="DR312" s="87">
        <v>209.0</v>
      </c>
      <c r="DS312" s="87">
        <v>2.0</v>
      </c>
      <c r="DT312" s="87"/>
      <c r="DU312" s="87"/>
      <c r="DV312" s="87">
        <v>18.0</v>
      </c>
      <c r="DW312" s="87">
        <v>1.0</v>
      </c>
      <c r="DX312" s="87">
        <v>36.0</v>
      </c>
      <c r="DY312" s="87">
        <v>75.0</v>
      </c>
      <c r="DZ312" s="87">
        <v>4.0</v>
      </c>
      <c r="EA312" s="87">
        <v>1.0</v>
      </c>
      <c r="EB312" s="87">
        <v>21.0</v>
      </c>
      <c r="EC312" s="87">
        <v>54.0</v>
      </c>
      <c r="ED312" s="87">
        <v>1135.0</v>
      </c>
      <c r="EE312" s="87">
        <v>65.0</v>
      </c>
      <c r="EF312" s="87">
        <v>1.0</v>
      </c>
      <c r="EG312" s="87">
        <v>34.0</v>
      </c>
      <c r="EH312" s="87">
        <v>1.0</v>
      </c>
      <c r="EI312" s="87">
        <v>41.0</v>
      </c>
      <c r="EJ312" s="87">
        <v>1987.0</v>
      </c>
      <c r="EK312" s="88"/>
      <c r="EL312" s="88"/>
      <c r="EM312" s="88"/>
      <c r="EN312" s="88"/>
      <c r="EO312" s="88"/>
      <c r="EP312" s="88"/>
      <c r="EQ312" s="90"/>
    </row>
    <row r="313" ht="12.0" customHeight="1">
      <c r="A313" s="89">
        <v>1.06364451E8</v>
      </c>
      <c r="B313" s="89" t="s">
        <v>2080</v>
      </c>
      <c r="C313" s="89" t="s">
        <v>1964</v>
      </c>
      <c r="D313" s="89" t="s">
        <v>2081</v>
      </c>
      <c r="E313" s="89" t="s">
        <v>2082</v>
      </c>
      <c r="F313" s="89" t="s">
        <v>1992</v>
      </c>
      <c r="G313" s="89" t="s">
        <v>1993</v>
      </c>
      <c r="H313" s="89" t="s">
        <v>503</v>
      </c>
      <c r="I313" s="89" t="s">
        <v>456</v>
      </c>
      <c r="J313" s="89" t="s">
        <v>463</v>
      </c>
      <c r="K313" s="89" t="s">
        <v>662</v>
      </c>
      <c r="L313" s="89" t="s">
        <v>748</v>
      </c>
      <c r="M313" s="89" t="s">
        <v>2026</v>
      </c>
      <c r="N313" s="89" t="s">
        <v>441</v>
      </c>
      <c r="O313" s="87"/>
      <c r="P313" s="87">
        <v>93.0</v>
      </c>
      <c r="Q313" s="87"/>
      <c r="R313" s="87"/>
      <c r="S313" s="87">
        <v>119.0</v>
      </c>
      <c r="T313" s="87"/>
      <c r="U313" s="87">
        <v>119.0</v>
      </c>
      <c r="V313" s="87">
        <v>93.0</v>
      </c>
      <c r="W313" s="87"/>
      <c r="X313" s="87">
        <v>115.0</v>
      </c>
      <c r="Y313" s="87">
        <v>86.0</v>
      </c>
      <c r="Z313" s="87">
        <v>11.0</v>
      </c>
      <c r="AA313" s="87"/>
      <c r="AB313" s="87"/>
      <c r="AC313" s="87"/>
      <c r="AD313" s="87"/>
      <c r="AE313" s="87"/>
      <c r="AF313" s="87"/>
      <c r="AG313" s="87"/>
      <c r="AH313" s="87">
        <v>146.0</v>
      </c>
      <c r="AI313" s="87">
        <v>66.0</v>
      </c>
      <c r="AJ313" s="87"/>
      <c r="AK313" s="87"/>
      <c r="AL313" s="87"/>
      <c r="AM313" s="87"/>
      <c r="AN313" s="87">
        <v>29.0</v>
      </c>
      <c r="AO313" s="87">
        <v>174.0</v>
      </c>
      <c r="AP313" s="87">
        <v>9.0</v>
      </c>
      <c r="AQ313" s="87"/>
      <c r="AR313" s="87"/>
      <c r="AS313" s="87"/>
      <c r="AT313" s="87">
        <v>9.0</v>
      </c>
      <c r="AU313" s="87">
        <v>202.0</v>
      </c>
      <c r="AV313" s="87"/>
      <c r="AW313" s="87"/>
      <c r="AX313" s="87">
        <v>1.0</v>
      </c>
      <c r="AY313" s="87"/>
      <c r="AZ313" s="87"/>
      <c r="BA313" s="87"/>
      <c r="BB313" s="87"/>
      <c r="BC313" s="87"/>
      <c r="BD313" s="87"/>
      <c r="BE313" s="87"/>
      <c r="BF313" s="87">
        <v>2.0</v>
      </c>
      <c r="BG313" s="87">
        <v>210.0</v>
      </c>
      <c r="BH313" s="87"/>
      <c r="BI313" s="87">
        <v>22979.0</v>
      </c>
      <c r="BJ313" s="87"/>
      <c r="BK313" s="87"/>
      <c r="BL313" s="87">
        <v>212.0</v>
      </c>
      <c r="BM313" s="87"/>
      <c r="BN313" s="87"/>
      <c r="BO313" s="87"/>
      <c r="BP313" s="87">
        <v>113.0</v>
      </c>
      <c r="BQ313" s="87">
        <v>94.0</v>
      </c>
      <c r="BR313" s="87">
        <v>5.0</v>
      </c>
      <c r="BS313" s="87"/>
      <c r="BT313" s="87"/>
      <c r="BU313" s="87"/>
      <c r="BV313" s="87"/>
      <c r="BW313" s="87"/>
      <c r="BX313" s="87"/>
      <c r="BY313" s="87"/>
      <c r="BZ313" s="87"/>
      <c r="CA313" s="87"/>
      <c r="CB313" s="87"/>
      <c r="CC313" s="87"/>
      <c r="CD313" s="87"/>
      <c r="CE313" s="87"/>
      <c r="CF313" s="87"/>
      <c r="CG313" s="87"/>
      <c r="CH313" s="87">
        <v>212.0</v>
      </c>
      <c r="CI313" s="87"/>
      <c r="CJ313" s="87"/>
      <c r="CK313" s="87">
        <v>112.0</v>
      </c>
      <c r="CL313" s="87">
        <v>30.0</v>
      </c>
      <c r="CM313" s="87"/>
      <c r="CN313" s="87"/>
      <c r="CO313" s="87">
        <v>70.0</v>
      </c>
      <c r="CP313" s="87"/>
      <c r="CQ313" s="87"/>
      <c r="CR313" s="87"/>
      <c r="CS313" s="87"/>
      <c r="CT313" s="87"/>
      <c r="CU313" s="87">
        <v>2.0</v>
      </c>
      <c r="CV313" s="87"/>
      <c r="CW313" s="87">
        <v>1.0</v>
      </c>
      <c r="CX313" s="87">
        <v>1.0</v>
      </c>
      <c r="CY313" s="87">
        <v>25.0</v>
      </c>
      <c r="CZ313" s="87">
        <v>3.0</v>
      </c>
      <c r="DA313" s="87"/>
      <c r="DB313" s="87">
        <v>5.0</v>
      </c>
      <c r="DC313" s="87">
        <v>57.0</v>
      </c>
      <c r="DD313" s="87">
        <v>3.0</v>
      </c>
      <c r="DE313" s="87"/>
      <c r="DF313" s="87">
        <v>3.0</v>
      </c>
      <c r="DG313" s="87">
        <v>1.0</v>
      </c>
      <c r="DH313" s="87"/>
      <c r="DI313" s="87">
        <v>37.0</v>
      </c>
      <c r="DJ313" s="87">
        <v>3.0</v>
      </c>
      <c r="DK313" s="87">
        <v>10.0</v>
      </c>
      <c r="DL313" s="87">
        <v>31.0</v>
      </c>
      <c r="DM313" s="87">
        <v>30.0</v>
      </c>
      <c r="DN313" s="87"/>
      <c r="DO313" s="87"/>
      <c r="DP313" s="87"/>
      <c r="DQ313" s="87"/>
      <c r="DR313" s="87"/>
      <c r="DS313" s="87"/>
      <c r="DT313" s="87"/>
      <c r="DU313" s="87"/>
      <c r="DV313" s="87"/>
      <c r="DW313" s="87"/>
      <c r="DX313" s="87"/>
      <c r="DY313" s="87"/>
      <c r="DZ313" s="87"/>
      <c r="EA313" s="87"/>
      <c r="EB313" s="87"/>
      <c r="EC313" s="87"/>
      <c r="ED313" s="87">
        <v>212.0</v>
      </c>
      <c r="EE313" s="87"/>
      <c r="EF313" s="87"/>
      <c r="EG313" s="87"/>
      <c r="EH313" s="87"/>
      <c r="EI313" s="87">
        <v>1.0</v>
      </c>
      <c r="EJ313" s="87">
        <v>211.0</v>
      </c>
      <c r="EK313" s="88"/>
      <c r="EL313" s="88"/>
      <c r="EM313" s="88"/>
      <c r="EN313" s="88"/>
      <c r="EO313" s="88"/>
      <c r="EP313" s="88"/>
      <c r="EQ313" s="90"/>
    </row>
    <row r="314" ht="12.0" customHeight="1">
      <c r="A314" s="89">
        <v>1.06364502E8</v>
      </c>
      <c r="B314" s="89" t="s">
        <v>2083</v>
      </c>
      <c r="C314" s="89" t="s">
        <v>1964</v>
      </c>
      <c r="D314" s="89" t="s">
        <v>2084</v>
      </c>
      <c r="E314" s="89" t="s">
        <v>1991</v>
      </c>
      <c r="F314" s="89" t="s">
        <v>1992</v>
      </c>
      <c r="G314" s="89" t="s">
        <v>1993</v>
      </c>
      <c r="H314" s="89" t="s">
        <v>447</v>
      </c>
      <c r="I314" s="89" t="s">
        <v>456</v>
      </c>
      <c r="J314" s="89" t="s">
        <v>448</v>
      </c>
      <c r="K314" s="89" t="s">
        <v>662</v>
      </c>
      <c r="L314" s="89" t="s">
        <v>748</v>
      </c>
      <c r="M314" s="89" t="s">
        <v>1994</v>
      </c>
      <c r="N314" s="89" t="s">
        <v>441</v>
      </c>
      <c r="O314" s="87">
        <v>20183.0</v>
      </c>
      <c r="P314" s="87"/>
      <c r="Q314" s="87"/>
      <c r="R314" s="87"/>
      <c r="S314" s="87"/>
      <c r="T314" s="87"/>
      <c r="U314" s="87">
        <v>8241.0</v>
      </c>
      <c r="V314" s="87">
        <v>11941.0</v>
      </c>
      <c r="W314" s="87">
        <v>1.0</v>
      </c>
      <c r="X314" s="87">
        <v>11248.0</v>
      </c>
      <c r="Y314" s="87">
        <v>4056.0</v>
      </c>
      <c r="Z314" s="87">
        <v>2345.0</v>
      </c>
      <c r="AA314" s="87">
        <v>2313.0</v>
      </c>
      <c r="AB314" s="87">
        <v>220.0</v>
      </c>
      <c r="AC314" s="87"/>
      <c r="AD314" s="87"/>
      <c r="AE314" s="87"/>
      <c r="AF314" s="87"/>
      <c r="AG314" s="87">
        <v>1.0</v>
      </c>
      <c r="AH314" s="87">
        <v>12516.0</v>
      </c>
      <c r="AI314" s="87">
        <v>7203.0</v>
      </c>
      <c r="AJ314" s="87">
        <v>464.0</v>
      </c>
      <c r="AK314" s="87"/>
      <c r="AL314" s="87">
        <v>829.0</v>
      </c>
      <c r="AM314" s="87">
        <v>177.0</v>
      </c>
      <c r="AN314" s="87">
        <v>2007.0</v>
      </c>
      <c r="AO314" s="87">
        <v>9046.0</v>
      </c>
      <c r="AP314" s="87">
        <v>601.0</v>
      </c>
      <c r="AQ314" s="87">
        <v>6365.0</v>
      </c>
      <c r="AR314" s="87">
        <v>1158.0</v>
      </c>
      <c r="AS314" s="87">
        <v>9689.0</v>
      </c>
      <c r="AT314" s="87">
        <v>2352.0</v>
      </c>
      <c r="AU314" s="87">
        <v>3976.0</v>
      </c>
      <c r="AV314" s="87">
        <v>62.0</v>
      </c>
      <c r="AW314" s="87">
        <v>80.0</v>
      </c>
      <c r="AX314" s="87">
        <v>4.0</v>
      </c>
      <c r="AY314" s="87">
        <v>5.0</v>
      </c>
      <c r="AZ314" s="87"/>
      <c r="BA314" s="87">
        <v>5.0</v>
      </c>
      <c r="BB314" s="87"/>
      <c r="BC314" s="87">
        <v>4010.0</v>
      </c>
      <c r="BD314" s="87"/>
      <c r="BE314" s="87">
        <v>6055.0</v>
      </c>
      <c r="BF314" s="87">
        <v>2394.0</v>
      </c>
      <c r="BG314" s="87">
        <v>11734.0</v>
      </c>
      <c r="BH314" s="87"/>
      <c r="BI314" s="87">
        <v>93424.0</v>
      </c>
      <c r="BJ314" s="87">
        <v>6675.0</v>
      </c>
      <c r="BK314" s="87">
        <v>6663.0</v>
      </c>
      <c r="BL314" s="87">
        <v>2166.0</v>
      </c>
      <c r="BM314" s="87">
        <v>4010.0</v>
      </c>
      <c r="BN314" s="87">
        <v>669.0</v>
      </c>
      <c r="BO314" s="87"/>
      <c r="BP314" s="87">
        <v>19161.0</v>
      </c>
      <c r="BQ314" s="87">
        <v>192.0</v>
      </c>
      <c r="BR314" s="87">
        <v>74.0</v>
      </c>
      <c r="BS314" s="87">
        <v>50.0</v>
      </c>
      <c r="BT314" s="87">
        <v>12.0</v>
      </c>
      <c r="BU314" s="87">
        <v>4.0</v>
      </c>
      <c r="BV314" s="87">
        <v>117.0</v>
      </c>
      <c r="BW314" s="87">
        <v>137.0</v>
      </c>
      <c r="BX314" s="87">
        <v>206.0</v>
      </c>
      <c r="BY314" s="87"/>
      <c r="BZ314" s="87">
        <v>37.0</v>
      </c>
      <c r="CA314" s="87">
        <v>10.0</v>
      </c>
      <c r="CB314" s="87">
        <v>175.0</v>
      </c>
      <c r="CC314" s="87"/>
      <c r="CD314" s="87">
        <v>7.0</v>
      </c>
      <c r="CE314" s="87"/>
      <c r="CF314" s="87">
        <v>1.0</v>
      </c>
      <c r="CG314" s="87">
        <v>131.0</v>
      </c>
      <c r="CH314" s="87">
        <v>20052.0</v>
      </c>
      <c r="CI314" s="87"/>
      <c r="CJ314" s="87">
        <v>38.0</v>
      </c>
      <c r="CK314" s="87">
        <v>8980.0</v>
      </c>
      <c r="CL314" s="87">
        <v>5541.0</v>
      </c>
      <c r="CM314" s="87"/>
      <c r="CN314" s="87"/>
      <c r="CO314" s="87">
        <v>4836.0</v>
      </c>
      <c r="CP314" s="87"/>
      <c r="CQ314" s="87">
        <v>786.0</v>
      </c>
      <c r="CR314" s="87">
        <v>1.0</v>
      </c>
      <c r="CS314" s="87">
        <v>1.0</v>
      </c>
      <c r="CT314" s="87">
        <v>672.0</v>
      </c>
      <c r="CU314" s="87">
        <v>291.0</v>
      </c>
      <c r="CV314" s="87">
        <v>314.0</v>
      </c>
      <c r="CW314" s="87">
        <v>889.0</v>
      </c>
      <c r="CX314" s="87">
        <v>295.0</v>
      </c>
      <c r="CY314" s="87">
        <v>959.0</v>
      </c>
      <c r="CZ314" s="87">
        <v>65.0</v>
      </c>
      <c r="DA314" s="87">
        <v>36.0</v>
      </c>
      <c r="DB314" s="87">
        <v>194.0</v>
      </c>
      <c r="DC314" s="87">
        <v>2390.0</v>
      </c>
      <c r="DD314" s="87">
        <v>1247.0</v>
      </c>
      <c r="DE314" s="87">
        <v>199.0</v>
      </c>
      <c r="DF314" s="87">
        <v>324.0</v>
      </c>
      <c r="DG314" s="87">
        <v>294.0</v>
      </c>
      <c r="DH314" s="87">
        <v>4944.0</v>
      </c>
      <c r="DI314" s="87">
        <v>4553.0</v>
      </c>
      <c r="DJ314" s="87">
        <v>525.0</v>
      </c>
      <c r="DK314" s="87">
        <v>394.0</v>
      </c>
      <c r="DL314" s="87">
        <v>1171.0</v>
      </c>
      <c r="DM314" s="87">
        <v>427.0</v>
      </c>
      <c r="DN314" s="87"/>
      <c r="DO314" s="87">
        <v>2748.0</v>
      </c>
      <c r="DP314" s="87">
        <v>3930.0</v>
      </c>
      <c r="DQ314" s="87">
        <v>535.0</v>
      </c>
      <c r="DR314" s="87">
        <v>883.0</v>
      </c>
      <c r="DS314" s="87">
        <v>45.0</v>
      </c>
      <c r="DT314" s="87">
        <v>11.0</v>
      </c>
      <c r="DU314" s="87">
        <v>15.0</v>
      </c>
      <c r="DV314" s="87">
        <v>216.0</v>
      </c>
      <c r="DW314" s="87">
        <v>73.0</v>
      </c>
      <c r="DX314" s="87">
        <v>219.0</v>
      </c>
      <c r="DY314" s="87">
        <v>524.0</v>
      </c>
      <c r="DZ314" s="87">
        <v>467.0</v>
      </c>
      <c r="EA314" s="87">
        <v>195.0</v>
      </c>
      <c r="EB314" s="87">
        <v>127.0</v>
      </c>
      <c r="EC314" s="87">
        <v>149.0</v>
      </c>
      <c r="ED314" s="87">
        <v>9041.0</v>
      </c>
      <c r="EE314" s="87">
        <v>1005.0</v>
      </c>
      <c r="EF314" s="87">
        <v>2.0</v>
      </c>
      <c r="EG314" s="87">
        <v>57.0</v>
      </c>
      <c r="EH314" s="87">
        <v>6.0</v>
      </c>
      <c r="EI314" s="87">
        <v>84.0</v>
      </c>
      <c r="EJ314" s="87">
        <v>20034.0</v>
      </c>
      <c r="EK314" s="88"/>
      <c r="EL314" s="88"/>
      <c r="EM314" s="88"/>
      <c r="EN314" s="88"/>
      <c r="EO314" s="88"/>
      <c r="EP314" s="88"/>
      <c r="EQ314" s="90"/>
    </row>
    <row r="315" ht="12.0" customHeight="1">
      <c r="A315" s="89">
        <v>1.06370033E8</v>
      </c>
      <c r="B315" s="89" t="s">
        <v>2085</v>
      </c>
      <c r="C315" s="89" t="s">
        <v>2086</v>
      </c>
      <c r="D315" s="89" t="s">
        <v>2087</v>
      </c>
      <c r="E315" s="89" t="s">
        <v>2088</v>
      </c>
      <c r="F315" s="89" t="s">
        <v>2089</v>
      </c>
      <c r="G315" s="89" t="s">
        <v>2090</v>
      </c>
      <c r="H315" s="89" t="s">
        <v>475</v>
      </c>
      <c r="I315" s="89" t="s">
        <v>456</v>
      </c>
      <c r="J315" s="89" t="s">
        <v>463</v>
      </c>
      <c r="K315" s="89" t="s">
        <v>1094</v>
      </c>
      <c r="L315" s="89" t="s">
        <v>2091</v>
      </c>
      <c r="M315" s="89" t="s">
        <v>2092</v>
      </c>
      <c r="N315" s="89" t="s">
        <v>441</v>
      </c>
      <c r="O315" s="87"/>
      <c r="P315" s="87"/>
      <c r="Q315" s="87"/>
      <c r="R315" s="87">
        <v>958.0</v>
      </c>
      <c r="S315" s="87"/>
      <c r="T315" s="87"/>
      <c r="U315" s="87">
        <v>518.0</v>
      </c>
      <c r="V315" s="87">
        <v>440.0</v>
      </c>
      <c r="W315" s="87"/>
      <c r="X315" s="87"/>
      <c r="Y315" s="87">
        <v>34.0</v>
      </c>
      <c r="Z315" s="87">
        <v>292.0</v>
      </c>
      <c r="AA315" s="87">
        <v>228.0</v>
      </c>
      <c r="AB315" s="87">
        <v>198.0</v>
      </c>
      <c r="AC315" s="87">
        <v>133.0</v>
      </c>
      <c r="AD315" s="87">
        <v>64.0</v>
      </c>
      <c r="AE315" s="87"/>
      <c r="AF315" s="87"/>
      <c r="AG315" s="87">
        <v>9.0</v>
      </c>
      <c r="AH315" s="87">
        <v>90.0</v>
      </c>
      <c r="AI315" s="87">
        <v>866.0</v>
      </c>
      <c r="AJ315" s="87">
        <v>2.0</v>
      </c>
      <c r="AK315" s="87"/>
      <c r="AL315" s="87"/>
      <c r="AM315" s="87"/>
      <c r="AN315" s="87">
        <v>14.0</v>
      </c>
      <c r="AO315" s="87">
        <v>835.0</v>
      </c>
      <c r="AP315" s="87">
        <v>28.0</v>
      </c>
      <c r="AQ315" s="87">
        <v>81.0</v>
      </c>
      <c r="AR315" s="87"/>
      <c r="AS315" s="87">
        <v>911.0</v>
      </c>
      <c r="AT315" s="87"/>
      <c r="AU315" s="87">
        <v>47.0</v>
      </c>
      <c r="AV315" s="87"/>
      <c r="AW315" s="87"/>
      <c r="AX315" s="87"/>
      <c r="AY315" s="87"/>
      <c r="AZ315" s="87"/>
      <c r="BA315" s="87"/>
      <c r="BB315" s="87"/>
      <c r="BC315" s="87"/>
      <c r="BD315" s="87"/>
      <c r="BE315" s="87"/>
      <c r="BF315" s="87"/>
      <c r="BG315" s="87">
        <v>958.0</v>
      </c>
      <c r="BH315" s="87"/>
      <c r="BI315" s="87">
        <v>21581.0</v>
      </c>
      <c r="BJ315" s="87"/>
      <c r="BK315" s="87"/>
      <c r="BL315" s="87">
        <v>958.0</v>
      </c>
      <c r="BM315" s="87"/>
      <c r="BN315" s="87"/>
      <c r="BO315" s="87"/>
      <c r="BP315" s="87">
        <v>668.0</v>
      </c>
      <c r="BQ315" s="87">
        <v>49.0</v>
      </c>
      <c r="BR315" s="87"/>
      <c r="BS315" s="87">
        <v>1.0</v>
      </c>
      <c r="BT315" s="87"/>
      <c r="BU315" s="87"/>
      <c r="BV315" s="87">
        <v>240.0</v>
      </c>
      <c r="BW315" s="87"/>
      <c r="BX315" s="87"/>
      <c r="BY315" s="87"/>
      <c r="BZ315" s="87"/>
      <c r="CA315" s="87"/>
      <c r="CB315" s="87"/>
      <c r="CC315" s="87"/>
      <c r="CD315" s="87"/>
      <c r="CE315" s="87"/>
      <c r="CF315" s="87"/>
      <c r="CG315" s="87"/>
      <c r="CH315" s="87">
        <v>958.0</v>
      </c>
      <c r="CI315" s="87"/>
      <c r="CJ315" s="87"/>
      <c r="CK315" s="87"/>
      <c r="CL315" s="87">
        <v>871.0</v>
      </c>
      <c r="CM315" s="87"/>
      <c r="CN315" s="87"/>
      <c r="CO315" s="87">
        <v>66.0</v>
      </c>
      <c r="CP315" s="87"/>
      <c r="CQ315" s="87">
        <v>21.0</v>
      </c>
      <c r="CR315" s="87"/>
      <c r="CS315" s="87"/>
      <c r="CT315" s="87"/>
      <c r="CU315" s="87"/>
      <c r="CV315" s="87"/>
      <c r="CW315" s="87"/>
      <c r="CX315" s="87">
        <v>958.0</v>
      </c>
      <c r="CY315" s="87"/>
      <c r="CZ315" s="87"/>
      <c r="DA315" s="87"/>
      <c r="DB315" s="87"/>
      <c r="DC315" s="87"/>
      <c r="DD315" s="87"/>
      <c r="DE315" s="87"/>
      <c r="DF315" s="87"/>
      <c r="DG315" s="87"/>
      <c r="DH315" s="87"/>
      <c r="DI315" s="87"/>
      <c r="DJ315" s="87"/>
      <c r="DK315" s="87"/>
      <c r="DL315" s="87"/>
      <c r="DM315" s="87"/>
      <c r="DN315" s="87"/>
      <c r="DO315" s="87">
        <v>200.0</v>
      </c>
      <c r="DP315" s="87"/>
      <c r="DQ315" s="87"/>
      <c r="DR315" s="87"/>
      <c r="DS315" s="87"/>
      <c r="DT315" s="87"/>
      <c r="DU315" s="87"/>
      <c r="DV315" s="87"/>
      <c r="DW315" s="87"/>
      <c r="DX315" s="87"/>
      <c r="DY315" s="87"/>
      <c r="DZ315" s="87"/>
      <c r="EA315" s="87"/>
      <c r="EB315" s="87"/>
      <c r="EC315" s="87"/>
      <c r="ED315" s="87">
        <v>758.0</v>
      </c>
      <c r="EE315" s="87"/>
      <c r="EF315" s="87">
        <v>1.0</v>
      </c>
      <c r="EG315" s="87"/>
      <c r="EH315" s="87"/>
      <c r="EI315" s="87">
        <v>131.0</v>
      </c>
      <c r="EJ315" s="87">
        <v>826.0</v>
      </c>
      <c r="EK315" s="88"/>
      <c r="EL315" s="88"/>
      <c r="EM315" s="88"/>
      <c r="EN315" s="88"/>
      <c r="EO315" s="88"/>
      <c r="EP315" s="88"/>
      <c r="EQ315" s="90"/>
    </row>
    <row r="316" ht="12.0" customHeight="1">
      <c r="A316" s="89">
        <v>1.06370652E8</v>
      </c>
      <c r="B316" s="89" t="s">
        <v>2093</v>
      </c>
      <c r="C316" s="89" t="s">
        <v>2086</v>
      </c>
      <c r="D316" s="89" t="s">
        <v>2094</v>
      </c>
      <c r="E316" s="89" t="s">
        <v>2095</v>
      </c>
      <c r="F316" s="89" t="s">
        <v>2086</v>
      </c>
      <c r="G316" s="89" t="s">
        <v>2096</v>
      </c>
      <c r="H316" s="89" t="s">
        <v>503</v>
      </c>
      <c r="I316" s="89" t="s">
        <v>456</v>
      </c>
      <c r="J316" s="89" t="s">
        <v>469</v>
      </c>
      <c r="K316" s="89" t="s">
        <v>1094</v>
      </c>
      <c r="L316" s="89" t="s">
        <v>2097</v>
      </c>
      <c r="M316" s="89" t="s">
        <v>2098</v>
      </c>
      <c r="N316" s="89" t="s">
        <v>441</v>
      </c>
      <c r="O316" s="87">
        <v>5184.0</v>
      </c>
      <c r="P316" s="87"/>
      <c r="Q316" s="87">
        <v>300.0</v>
      </c>
      <c r="R316" s="87"/>
      <c r="S316" s="87"/>
      <c r="T316" s="87"/>
      <c r="U316" s="87">
        <v>3064.0</v>
      </c>
      <c r="V316" s="87">
        <v>2420.0</v>
      </c>
      <c r="W316" s="87"/>
      <c r="X316" s="87"/>
      <c r="Y316" s="87">
        <v>20.0</v>
      </c>
      <c r="Z316" s="87">
        <v>250.0</v>
      </c>
      <c r="AA316" s="87">
        <v>454.0</v>
      </c>
      <c r="AB316" s="87">
        <v>541.0</v>
      </c>
      <c r="AC316" s="87">
        <v>1029.0</v>
      </c>
      <c r="AD316" s="87">
        <v>1428.0</v>
      </c>
      <c r="AE316" s="87">
        <v>1011.0</v>
      </c>
      <c r="AF316" s="87">
        <v>750.0</v>
      </c>
      <c r="AG316" s="87">
        <v>1.0</v>
      </c>
      <c r="AH316" s="87">
        <v>1037.0</v>
      </c>
      <c r="AI316" s="87">
        <v>4260.0</v>
      </c>
      <c r="AJ316" s="87">
        <v>187.0</v>
      </c>
      <c r="AK316" s="87">
        <v>14.0</v>
      </c>
      <c r="AL316" s="87">
        <v>291.0</v>
      </c>
      <c r="AM316" s="87">
        <v>14.0</v>
      </c>
      <c r="AN316" s="87">
        <v>772.0</v>
      </c>
      <c r="AO316" s="87">
        <v>3716.0</v>
      </c>
      <c r="AP316" s="87">
        <v>185.0</v>
      </c>
      <c r="AQ316" s="87">
        <v>412.0</v>
      </c>
      <c r="AR316" s="87">
        <v>80.0</v>
      </c>
      <c r="AS316" s="87">
        <v>4158.0</v>
      </c>
      <c r="AT316" s="87">
        <v>1.0</v>
      </c>
      <c r="AU316" s="87">
        <v>14.0</v>
      </c>
      <c r="AV316" s="87">
        <v>903.0</v>
      </c>
      <c r="AW316" s="87">
        <v>8.0</v>
      </c>
      <c r="AX316" s="87">
        <v>248.0</v>
      </c>
      <c r="AY316" s="87"/>
      <c r="AZ316" s="87"/>
      <c r="BA316" s="87">
        <v>107.0</v>
      </c>
      <c r="BB316" s="87">
        <v>45.0</v>
      </c>
      <c r="BC316" s="87"/>
      <c r="BD316" s="87"/>
      <c r="BE316" s="87">
        <v>4858.0</v>
      </c>
      <c r="BF316" s="87">
        <v>30.0</v>
      </c>
      <c r="BG316" s="87">
        <v>596.0</v>
      </c>
      <c r="BH316" s="87"/>
      <c r="BI316" s="87">
        <v>32128.0</v>
      </c>
      <c r="BJ316" s="87">
        <v>4858.0</v>
      </c>
      <c r="BK316" s="87">
        <v>99.0</v>
      </c>
      <c r="BL316" s="87">
        <v>518.0</v>
      </c>
      <c r="BM316" s="87"/>
      <c r="BN316" s="87"/>
      <c r="BO316" s="87">
        <v>9.0</v>
      </c>
      <c r="BP316" s="87">
        <v>2372.0</v>
      </c>
      <c r="BQ316" s="87">
        <v>285.0</v>
      </c>
      <c r="BR316" s="87">
        <v>6.0</v>
      </c>
      <c r="BS316" s="87">
        <v>1181.0</v>
      </c>
      <c r="BT316" s="87">
        <v>70.0</v>
      </c>
      <c r="BU316" s="87">
        <v>266.0</v>
      </c>
      <c r="BV316" s="87">
        <v>525.0</v>
      </c>
      <c r="BW316" s="87">
        <v>181.0</v>
      </c>
      <c r="BX316" s="87">
        <v>475.0</v>
      </c>
      <c r="BY316" s="87"/>
      <c r="BZ316" s="87"/>
      <c r="CA316" s="87">
        <v>62.0</v>
      </c>
      <c r="CB316" s="87">
        <v>61.0</v>
      </c>
      <c r="CC316" s="87"/>
      <c r="CD316" s="87"/>
      <c r="CE316" s="87"/>
      <c r="CF316" s="87"/>
      <c r="CG316" s="87">
        <v>258.0</v>
      </c>
      <c r="CH316" s="87">
        <v>5226.0</v>
      </c>
      <c r="CI316" s="87"/>
      <c r="CJ316" s="87">
        <v>2682.0</v>
      </c>
      <c r="CK316" s="87">
        <v>1894.0</v>
      </c>
      <c r="CL316" s="87">
        <v>288.0</v>
      </c>
      <c r="CM316" s="87">
        <v>12.0</v>
      </c>
      <c r="CN316" s="87"/>
      <c r="CO316" s="87">
        <v>351.0</v>
      </c>
      <c r="CP316" s="87"/>
      <c r="CQ316" s="87">
        <v>196.0</v>
      </c>
      <c r="CR316" s="87">
        <v>61.0</v>
      </c>
      <c r="CS316" s="87"/>
      <c r="CT316" s="87">
        <v>1196.0</v>
      </c>
      <c r="CU316" s="87">
        <v>52.0</v>
      </c>
      <c r="CV316" s="87">
        <v>79.0</v>
      </c>
      <c r="CW316" s="87">
        <v>427.0</v>
      </c>
      <c r="CX316" s="87">
        <v>372.0</v>
      </c>
      <c r="CY316" s="87">
        <v>280.0</v>
      </c>
      <c r="CZ316" s="87">
        <v>3.0</v>
      </c>
      <c r="DA316" s="87">
        <v>9.0</v>
      </c>
      <c r="DB316" s="87">
        <v>714.0</v>
      </c>
      <c r="DC316" s="87">
        <v>411.0</v>
      </c>
      <c r="DD316" s="87">
        <v>588.0</v>
      </c>
      <c r="DE316" s="87">
        <v>223.0</v>
      </c>
      <c r="DF316" s="87">
        <v>334.0</v>
      </c>
      <c r="DG316" s="87">
        <v>319.0</v>
      </c>
      <c r="DH316" s="87"/>
      <c r="DI316" s="87"/>
      <c r="DJ316" s="87"/>
      <c r="DK316" s="87">
        <v>124.0</v>
      </c>
      <c r="DL316" s="87">
        <v>342.0</v>
      </c>
      <c r="DM316" s="87">
        <v>8.0</v>
      </c>
      <c r="DN316" s="87">
        <v>3.0</v>
      </c>
      <c r="DO316" s="87">
        <v>1018.0</v>
      </c>
      <c r="DP316" s="87"/>
      <c r="DQ316" s="87">
        <v>498.0</v>
      </c>
      <c r="DR316" s="87">
        <v>424.0</v>
      </c>
      <c r="DS316" s="87">
        <v>2.0</v>
      </c>
      <c r="DT316" s="87">
        <v>5.0</v>
      </c>
      <c r="DU316" s="87">
        <v>1.0</v>
      </c>
      <c r="DV316" s="87">
        <v>6.0</v>
      </c>
      <c r="DW316" s="87">
        <v>4.0</v>
      </c>
      <c r="DX316" s="87">
        <v>91.0</v>
      </c>
      <c r="DY316" s="87">
        <v>297.0</v>
      </c>
      <c r="DZ316" s="87">
        <v>59.0</v>
      </c>
      <c r="EA316" s="87">
        <v>5.0</v>
      </c>
      <c r="EB316" s="87">
        <v>66.0</v>
      </c>
      <c r="EC316" s="87">
        <v>35.0</v>
      </c>
      <c r="ED316" s="87">
        <v>2841.0</v>
      </c>
      <c r="EE316" s="87">
        <v>132.0</v>
      </c>
      <c r="EF316" s="87">
        <v>41.0</v>
      </c>
      <c r="EG316" s="87">
        <v>376.0</v>
      </c>
      <c r="EH316" s="87"/>
      <c r="EI316" s="87">
        <v>73.0</v>
      </c>
      <c r="EJ316" s="87">
        <v>4994.0</v>
      </c>
      <c r="EK316" s="88"/>
      <c r="EL316" s="88"/>
      <c r="EM316" s="88"/>
      <c r="EN316" s="88"/>
      <c r="EO316" s="88"/>
      <c r="EP316" s="88"/>
      <c r="EQ316" s="90"/>
    </row>
    <row r="317" ht="12.0" customHeight="1">
      <c r="A317" s="89">
        <v>1.06370673E8</v>
      </c>
      <c r="B317" s="89" t="s">
        <v>2099</v>
      </c>
      <c r="C317" s="89" t="s">
        <v>2086</v>
      </c>
      <c r="D317" s="89" t="s">
        <v>2100</v>
      </c>
      <c r="E317" s="89" t="s">
        <v>2101</v>
      </c>
      <c r="F317" s="89" t="s">
        <v>2086</v>
      </c>
      <c r="G317" s="89" t="s">
        <v>2102</v>
      </c>
      <c r="H317" s="89" t="s">
        <v>447</v>
      </c>
      <c r="I317" s="89" t="s">
        <v>456</v>
      </c>
      <c r="J317" s="89" t="s">
        <v>605</v>
      </c>
      <c r="K317" s="89" t="s">
        <v>1094</v>
      </c>
      <c r="L317" s="89" t="s">
        <v>2097</v>
      </c>
      <c r="M317" s="89" t="s">
        <v>2103</v>
      </c>
      <c r="N317" s="89" t="s">
        <v>441</v>
      </c>
      <c r="O317" s="87">
        <v>19170.0</v>
      </c>
      <c r="P317" s="87">
        <v>57.0</v>
      </c>
      <c r="Q317" s="87">
        <v>915.0</v>
      </c>
      <c r="R317" s="87"/>
      <c r="S317" s="87">
        <v>95.0</v>
      </c>
      <c r="T317" s="87"/>
      <c r="U317" s="87">
        <v>10767.0</v>
      </c>
      <c r="V317" s="87">
        <v>9467.0</v>
      </c>
      <c r="W317" s="87">
        <v>3.0</v>
      </c>
      <c r="X317" s="87">
        <v>13440.0</v>
      </c>
      <c r="Y317" s="87">
        <v>6508.0</v>
      </c>
      <c r="Z317" s="87">
        <v>284.0</v>
      </c>
      <c r="AA317" s="87"/>
      <c r="AB317" s="87"/>
      <c r="AC317" s="87"/>
      <c r="AD317" s="87"/>
      <c r="AE317" s="87"/>
      <c r="AF317" s="87"/>
      <c r="AG317" s="87">
        <v>5.0</v>
      </c>
      <c r="AH317" s="87">
        <v>9751.0</v>
      </c>
      <c r="AI317" s="87">
        <v>10260.0</v>
      </c>
      <c r="AJ317" s="87">
        <v>226.0</v>
      </c>
      <c r="AK317" s="87">
        <v>98.0</v>
      </c>
      <c r="AL317" s="87">
        <v>1348.0</v>
      </c>
      <c r="AM317" s="87">
        <v>166.0</v>
      </c>
      <c r="AN317" s="87">
        <v>1237.0</v>
      </c>
      <c r="AO317" s="87">
        <v>15525.0</v>
      </c>
      <c r="AP317" s="87">
        <v>487.0</v>
      </c>
      <c r="AQ317" s="87">
        <v>25.0</v>
      </c>
      <c r="AR317" s="87">
        <v>1351.0</v>
      </c>
      <c r="AS317" s="87">
        <v>13441.0</v>
      </c>
      <c r="AT317" s="87">
        <v>1785.0</v>
      </c>
      <c r="AU317" s="87">
        <v>4492.0</v>
      </c>
      <c r="AV317" s="87">
        <v>47.0</v>
      </c>
      <c r="AW317" s="87">
        <v>246.0</v>
      </c>
      <c r="AX317" s="87">
        <v>216.0</v>
      </c>
      <c r="AY317" s="87">
        <v>3.0</v>
      </c>
      <c r="AZ317" s="87">
        <v>2.0</v>
      </c>
      <c r="BA317" s="87">
        <v>5.0</v>
      </c>
      <c r="BB317" s="87"/>
      <c r="BC317" s="87"/>
      <c r="BD317" s="87"/>
      <c r="BE317" s="87">
        <v>9889.0</v>
      </c>
      <c r="BF317" s="87">
        <v>2604.0</v>
      </c>
      <c r="BG317" s="87">
        <v>7744.0</v>
      </c>
      <c r="BH317" s="87"/>
      <c r="BI317" s="87">
        <v>116509.0</v>
      </c>
      <c r="BJ317" s="87">
        <v>11364.0</v>
      </c>
      <c r="BK317" s="87">
        <v>4814.0</v>
      </c>
      <c r="BL317" s="87">
        <v>3688.0</v>
      </c>
      <c r="BM317" s="87"/>
      <c r="BN317" s="87">
        <v>333.0</v>
      </c>
      <c r="BO317" s="87">
        <v>38.0</v>
      </c>
      <c r="BP317" s="87">
        <v>19386.0</v>
      </c>
      <c r="BQ317" s="87">
        <v>281.0</v>
      </c>
      <c r="BR317" s="87">
        <v>27.0</v>
      </c>
      <c r="BS317" s="87">
        <v>47.0</v>
      </c>
      <c r="BT317" s="87">
        <v>25.0</v>
      </c>
      <c r="BU317" s="87">
        <v>17.0</v>
      </c>
      <c r="BV317" s="87"/>
      <c r="BW317" s="87">
        <v>84.0</v>
      </c>
      <c r="BX317" s="87">
        <v>163.0</v>
      </c>
      <c r="BY317" s="87"/>
      <c r="BZ317" s="87"/>
      <c r="CA317" s="87">
        <v>3.0</v>
      </c>
      <c r="CB317" s="87">
        <v>136.0</v>
      </c>
      <c r="CC317" s="87"/>
      <c r="CD317" s="87">
        <v>2.0</v>
      </c>
      <c r="CE317" s="87">
        <v>66.0</v>
      </c>
      <c r="CF317" s="87"/>
      <c r="CG317" s="87">
        <v>80.0</v>
      </c>
      <c r="CH317" s="87">
        <v>20157.0</v>
      </c>
      <c r="CI317" s="87"/>
      <c r="CJ317" s="87">
        <v>86.0</v>
      </c>
      <c r="CK317" s="87">
        <v>6632.0</v>
      </c>
      <c r="CL317" s="87">
        <v>7589.0</v>
      </c>
      <c r="CM317" s="87"/>
      <c r="CN317" s="87"/>
      <c r="CO317" s="87">
        <v>5281.0</v>
      </c>
      <c r="CP317" s="87"/>
      <c r="CQ317" s="87">
        <v>633.0</v>
      </c>
      <c r="CR317" s="87">
        <v>16.0</v>
      </c>
      <c r="CS317" s="87"/>
      <c r="CT317" s="87">
        <v>784.0</v>
      </c>
      <c r="CU317" s="87">
        <v>477.0</v>
      </c>
      <c r="CV317" s="87">
        <v>281.0</v>
      </c>
      <c r="CW317" s="87">
        <v>1444.0</v>
      </c>
      <c r="CX317" s="87">
        <v>1187.0</v>
      </c>
      <c r="CY317" s="87">
        <v>1350.0</v>
      </c>
      <c r="CZ317" s="87">
        <v>88.0</v>
      </c>
      <c r="DA317" s="87">
        <v>52.0</v>
      </c>
      <c r="DB317" s="87">
        <v>250.0</v>
      </c>
      <c r="DC317" s="87">
        <v>4667.0</v>
      </c>
      <c r="DD317" s="87">
        <v>2009.0</v>
      </c>
      <c r="DE317" s="87">
        <v>318.0</v>
      </c>
      <c r="DF317" s="87">
        <v>704.0</v>
      </c>
      <c r="DG317" s="87">
        <v>529.0</v>
      </c>
      <c r="DH317" s="87"/>
      <c r="DI317" s="87">
        <v>2232.0</v>
      </c>
      <c r="DJ317" s="87">
        <v>984.0</v>
      </c>
      <c r="DK317" s="87">
        <v>612.0</v>
      </c>
      <c r="DL317" s="87">
        <v>1626.0</v>
      </c>
      <c r="DM317" s="87">
        <v>642.0</v>
      </c>
      <c r="DN317" s="87">
        <v>1.0</v>
      </c>
      <c r="DO317" s="87">
        <v>5016.0</v>
      </c>
      <c r="DP317" s="87"/>
      <c r="DQ317" s="87">
        <v>618.0</v>
      </c>
      <c r="DR317" s="87">
        <v>1561.0</v>
      </c>
      <c r="DS317" s="87">
        <v>71.0</v>
      </c>
      <c r="DT317" s="87">
        <v>26.0</v>
      </c>
      <c r="DU317" s="87">
        <v>36.0</v>
      </c>
      <c r="DV317" s="87">
        <v>119.0</v>
      </c>
      <c r="DW317" s="87">
        <v>87.0</v>
      </c>
      <c r="DX317" s="87">
        <v>283.0</v>
      </c>
      <c r="DY317" s="87">
        <v>1365.0</v>
      </c>
      <c r="DZ317" s="87">
        <v>608.0</v>
      </c>
      <c r="EA317" s="87">
        <v>542.0</v>
      </c>
      <c r="EB317" s="87">
        <v>210.0</v>
      </c>
      <c r="EC317" s="87">
        <v>121.0</v>
      </c>
      <c r="ED317" s="87">
        <v>7811.0</v>
      </c>
      <c r="EE317" s="87">
        <v>1763.0</v>
      </c>
      <c r="EF317" s="87">
        <v>4.0</v>
      </c>
      <c r="EG317" s="87">
        <v>61.0</v>
      </c>
      <c r="EH317" s="87">
        <v>118.0</v>
      </c>
      <c r="EI317" s="87">
        <v>371.0</v>
      </c>
      <c r="EJ317" s="87">
        <v>19683.0</v>
      </c>
      <c r="EK317" s="88"/>
      <c r="EL317" s="88"/>
      <c r="EM317" s="88"/>
      <c r="EN317" s="88"/>
      <c r="EO317" s="88"/>
      <c r="EP317" s="88"/>
      <c r="EQ317" s="90"/>
    </row>
    <row r="318" ht="12.0" customHeight="1">
      <c r="A318" s="89">
        <v>1.06370689E8</v>
      </c>
      <c r="B318" s="89" t="s">
        <v>2104</v>
      </c>
      <c r="C318" s="89" t="s">
        <v>2086</v>
      </c>
      <c r="D318" s="89" t="s">
        <v>2105</v>
      </c>
      <c r="E318" s="89" t="s">
        <v>2106</v>
      </c>
      <c r="F318" s="89" t="s">
        <v>2107</v>
      </c>
      <c r="G318" s="89" t="s">
        <v>2108</v>
      </c>
      <c r="H318" s="89" t="s">
        <v>447</v>
      </c>
      <c r="I318" s="89" t="s">
        <v>456</v>
      </c>
      <c r="J318" s="89" t="s">
        <v>463</v>
      </c>
      <c r="K318" s="89" t="s">
        <v>1094</v>
      </c>
      <c r="L318" s="89" t="s">
        <v>2109</v>
      </c>
      <c r="M318" s="89" t="s">
        <v>2110</v>
      </c>
      <c r="N318" s="89" t="s">
        <v>441</v>
      </c>
      <c r="O318" s="87">
        <v>2706.0</v>
      </c>
      <c r="P318" s="87">
        <v>231.0</v>
      </c>
      <c r="Q318" s="87"/>
      <c r="R318" s="87"/>
      <c r="S318" s="87"/>
      <c r="T318" s="87"/>
      <c r="U318" s="87">
        <v>1413.0</v>
      </c>
      <c r="V318" s="87">
        <v>1524.0</v>
      </c>
      <c r="W318" s="87"/>
      <c r="X318" s="87"/>
      <c r="Y318" s="87">
        <v>18.0</v>
      </c>
      <c r="Z318" s="87">
        <v>149.0</v>
      </c>
      <c r="AA318" s="87">
        <v>276.0</v>
      </c>
      <c r="AB318" s="87">
        <v>286.0</v>
      </c>
      <c r="AC318" s="87">
        <v>416.0</v>
      </c>
      <c r="AD318" s="87">
        <v>558.0</v>
      </c>
      <c r="AE318" s="87">
        <v>552.0</v>
      </c>
      <c r="AF318" s="87">
        <v>682.0</v>
      </c>
      <c r="AG318" s="87"/>
      <c r="AH318" s="87">
        <v>1032.0</v>
      </c>
      <c r="AI318" s="87">
        <v>1891.0</v>
      </c>
      <c r="AJ318" s="87">
        <v>14.0</v>
      </c>
      <c r="AK318" s="87"/>
      <c r="AL318" s="87">
        <v>132.0</v>
      </c>
      <c r="AM318" s="87">
        <v>19.0</v>
      </c>
      <c r="AN318" s="87">
        <v>144.0</v>
      </c>
      <c r="AO318" s="87">
        <v>2179.0</v>
      </c>
      <c r="AP318" s="87">
        <v>29.0</v>
      </c>
      <c r="AQ318" s="87">
        <v>434.0</v>
      </c>
      <c r="AR318" s="87"/>
      <c r="AS318" s="87">
        <v>2458.0</v>
      </c>
      <c r="AT318" s="87">
        <v>108.0</v>
      </c>
      <c r="AU318" s="87">
        <v>137.0</v>
      </c>
      <c r="AV318" s="87">
        <v>75.0</v>
      </c>
      <c r="AW318" s="87">
        <v>10.0</v>
      </c>
      <c r="AX318" s="87">
        <v>79.0</v>
      </c>
      <c r="AY318" s="87">
        <v>8.0</v>
      </c>
      <c r="AZ318" s="87">
        <v>39.0</v>
      </c>
      <c r="BA318" s="87">
        <v>21.0</v>
      </c>
      <c r="BB318" s="87">
        <v>2.0</v>
      </c>
      <c r="BC318" s="87"/>
      <c r="BD318" s="87"/>
      <c r="BE318" s="87">
        <v>2360.0</v>
      </c>
      <c r="BF318" s="87">
        <v>10.0</v>
      </c>
      <c r="BG318" s="87">
        <v>567.0</v>
      </c>
      <c r="BH318" s="87"/>
      <c r="BI318" s="87">
        <v>36878.0</v>
      </c>
      <c r="BJ318" s="87">
        <v>373.0</v>
      </c>
      <c r="BK318" s="87">
        <v>2099.0</v>
      </c>
      <c r="BL318" s="87">
        <v>465.0</v>
      </c>
      <c r="BM318" s="87"/>
      <c r="BN318" s="87"/>
      <c r="BO318" s="87"/>
      <c r="BP318" s="87">
        <v>1536.0</v>
      </c>
      <c r="BQ318" s="87">
        <v>182.0</v>
      </c>
      <c r="BR318" s="87">
        <v>11.0</v>
      </c>
      <c r="BS318" s="87">
        <v>333.0</v>
      </c>
      <c r="BT318" s="87">
        <v>29.0</v>
      </c>
      <c r="BU318" s="87">
        <v>11.0</v>
      </c>
      <c r="BV318" s="87">
        <v>147.0</v>
      </c>
      <c r="BW318" s="87">
        <v>57.0</v>
      </c>
      <c r="BX318" s="87">
        <v>515.0</v>
      </c>
      <c r="BY318" s="87"/>
      <c r="BZ318" s="87"/>
      <c r="CA318" s="87">
        <v>97.0</v>
      </c>
      <c r="CB318" s="87">
        <v>12.0</v>
      </c>
      <c r="CC318" s="87"/>
      <c r="CD318" s="87">
        <v>1.0</v>
      </c>
      <c r="CE318" s="87">
        <v>4.0</v>
      </c>
      <c r="CF318" s="87">
        <v>2.0</v>
      </c>
      <c r="CG318" s="87">
        <v>360.0</v>
      </c>
      <c r="CH318" s="87">
        <v>2577.0</v>
      </c>
      <c r="CI318" s="87"/>
      <c r="CJ318" s="87">
        <v>1453.0</v>
      </c>
      <c r="CK318" s="87">
        <v>913.0</v>
      </c>
      <c r="CL318" s="87">
        <v>419.0</v>
      </c>
      <c r="CM318" s="87">
        <v>13.0</v>
      </c>
      <c r="CN318" s="87"/>
      <c r="CO318" s="87">
        <v>104.0</v>
      </c>
      <c r="CP318" s="87"/>
      <c r="CQ318" s="87">
        <v>35.0</v>
      </c>
      <c r="CR318" s="87"/>
      <c r="CS318" s="87"/>
      <c r="CT318" s="87">
        <v>405.0</v>
      </c>
      <c r="CU318" s="87">
        <v>29.0</v>
      </c>
      <c r="CV318" s="87">
        <v>20.0</v>
      </c>
      <c r="CW318" s="87">
        <v>211.0</v>
      </c>
      <c r="CX318" s="87">
        <v>72.0</v>
      </c>
      <c r="CY318" s="87">
        <v>116.0</v>
      </c>
      <c r="CZ318" s="87">
        <v>2.0</v>
      </c>
      <c r="DA318" s="87">
        <v>3.0</v>
      </c>
      <c r="DB318" s="87">
        <v>307.0</v>
      </c>
      <c r="DC318" s="87">
        <v>264.0</v>
      </c>
      <c r="DD318" s="87">
        <v>536.0</v>
      </c>
      <c r="DE318" s="87">
        <v>113.0</v>
      </c>
      <c r="DF318" s="87">
        <v>239.0</v>
      </c>
      <c r="DG318" s="87">
        <v>157.0</v>
      </c>
      <c r="DH318" s="87"/>
      <c r="DI318" s="87"/>
      <c r="DJ318" s="87"/>
      <c r="DK318" s="87">
        <v>103.0</v>
      </c>
      <c r="DL318" s="87">
        <v>291.0</v>
      </c>
      <c r="DM318" s="87">
        <v>65.0</v>
      </c>
      <c r="DN318" s="87">
        <v>4.0</v>
      </c>
      <c r="DO318" s="87">
        <v>264.0</v>
      </c>
      <c r="DP318" s="87"/>
      <c r="DQ318" s="87">
        <v>110.0</v>
      </c>
      <c r="DR318" s="87">
        <v>379.0</v>
      </c>
      <c r="DS318" s="87">
        <v>3.0</v>
      </c>
      <c r="DT318" s="87"/>
      <c r="DU318" s="87">
        <v>1.0</v>
      </c>
      <c r="DV318" s="87">
        <v>1.0</v>
      </c>
      <c r="DW318" s="87"/>
      <c r="DX318" s="87">
        <v>62.0</v>
      </c>
      <c r="DY318" s="87">
        <v>319.0</v>
      </c>
      <c r="DZ318" s="87">
        <v>13.0</v>
      </c>
      <c r="EA318" s="87">
        <v>3.0</v>
      </c>
      <c r="EB318" s="87">
        <v>40.0</v>
      </c>
      <c r="EC318" s="87">
        <v>14.0</v>
      </c>
      <c r="ED318" s="87">
        <v>1545.0</v>
      </c>
      <c r="EE318" s="87">
        <v>183.0</v>
      </c>
      <c r="EF318" s="87">
        <v>14.0</v>
      </c>
      <c r="EG318" s="87">
        <v>111.0</v>
      </c>
      <c r="EH318" s="87">
        <v>1.0</v>
      </c>
      <c r="EI318" s="87">
        <v>99.0</v>
      </c>
      <c r="EJ318" s="87">
        <v>2712.0</v>
      </c>
      <c r="EK318" s="88"/>
      <c r="EL318" s="88"/>
      <c r="EM318" s="88"/>
      <c r="EN318" s="88"/>
      <c r="EO318" s="88"/>
      <c r="EP318" s="88"/>
      <c r="EQ318" s="90"/>
    </row>
    <row r="319" ht="12.0" customHeight="1">
      <c r="A319" s="89">
        <v>1.06370694E8</v>
      </c>
      <c r="B319" s="89" t="s">
        <v>2111</v>
      </c>
      <c r="C319" s="89" t="s">
        <v>2086</v>
      </c>
      <c r="D319" s="89" t="s">
        <v>2112</v>
      </c>
      <c r="E319" s="89" t="s">
        <v>2113</v>
      </c>
      <c r="F319" s="89" t="s">
        <v>2086</v>
      </c>
      <c r="G319" s="89" t="s">
        <v>2102</v>
      </c>
      <c r="H319" s="89" t="s">
        <v>447</v>
      </c>
      <c r="I319" s="89" t="s">
        <v>456</v>
      </c>
      <c r="J319" s="89" t="s">
        <v>605</v>
      </c>
      <c r="K319" s="89" t="s">
        <v>1094</v>
      </c>
      <c r="L319" s="89" t="s">
        <v>2097</v>
      </c>
      <c r="M319" s="89" t="s">
        <v>2103</v>
      </c>
      <c r="N319" s="89" t="s">
        <v>441</v>
      </c>
      <c r="O319" s="87">
        <v>22007.0</v>
      </c>
      <c r="P319" s="87"/>
      <c r="Q319" s="87"/>
      <c r="R319" s="87"/>
      <c r="S319" s="87">
        <v>434.0</v>
      </c>
      <c r="T319" s="87"/>
      <c r="U319" s="87">
        <v>11466.0</v>
      </c>
      <c r="V319" s="87">
        <v>10975.0</v>
      </c>
      <c r="W319" s="87"/>
      <c r="X319" s="87"/>
      <c r="Y319" s="87">
        <v>155.0</v>
      </c>
      <c r="Z319" s="87">
        <v>1112.0</v>
      </c>
      <c r="AA319" s="87">
        <v>1783.0</v>
      </c>
      <c r="AB319" s="87">
        <v>2215.0</v>
      </c>
      <c r="AC319" s="87">
        <v>3438.0</v>
      </c>
      <c r="AD319" s="87">
        <v>4858.0</v>
      </c>
      <c r="AE319" s="87">
        <v>4479.0</v>
      </c>
      <c r="AF319" s="87">
        <v>4401.0</v>
      </c>
      <c r="AG319" s="87"/>
      <c r="AH319" s="87">
        <v>5078.0</v>
      </c>
      <c r="AI319" s="87">
        <v>16858.0</v>
      </c>
      <c r="AJ319" s="87">
        <v>505.0</v>
      </c>
      <c r="AK319" s="87">
        <v>81.0</v>
      </c>
      <c r="AL319" s="87">
        <v>2252.0</v>
      </c>
      <c r="AM319" s="87">
        <v>137.0</v>
      </c>
      <c r="AN319" s="87">
        <v>1513.0</v>
      </c>
      <c r="AO319" s="87">
        <v>11714.0</v>
      </c>
      <c r="AP319" s="87">
        <v>589.0</v>
      </c>
      <c r="AQ319" s="87">
        <v>6122.0</v>
      </c>
      <c r="AR319" s="87">
        <v>33.0</v>
      </c>
      <c r="AS319" s="87">
        <v>18470.0</v>
      </c>
      <c r="AT319" s="87">
        <v>1455.0</v>
      </c>
      <c r="AU319" s="87">
        <v>1380.0</v>
      </c>
      <c r="AV319" s="87">
        <v>768.0</v>
      </c>
      <c r="AW319" s="87">
        <v>135.0</v>
      </c>
      <c r="AX319" s="87">
        <v>134.0</v>
      </c>
      <c r="AY319" s="87">
        <v>64.0</v>
      </c>
      <c r="AZ319" s="87">
        <v>7.0</v>
      </c>
      <c r="BA319" s="87">
        <v>20.0</v>
      </c>
      <c r="BB319" s="87">
        <v>8.0</v>
      </c>
      <c r="BC319" s="87"/>
      <c r="BD319" s="87"/>
      <c r="BE319" s="87">
        <v>17287.0</v>
      </c>
      <c r="BF319" s="87">
        <v>393.0</v>
      </c>
      <c r="BG319" s="87">
        <v>4761.0</v>
      </c>
      <c r="BH319" s="87"/>
      <c r="BI319" s="87">
        <v>114463.0</v>
      </c>
      <c r="BJ319" s="87">
        <v>1465.0</v>
      </c>
      <c r="BK319" s="87">
        <v>15595.0</v>
      </c>
      <c r="BL319" s="87">
        <v>3691.0</v>
      </c>
      <c r="BM319" s="87"/>
      <c r="BN319" s="87">
        <v>1686.0</v>
      </c>
      <c r="BO319" s="87">
        <v>4.0</v>
      </c>
      <c r="BP319" s="87">
        <v>13189.0</v>
      </c>
      <c r="BQ319" s="87">
        <v>388.0</v>
      </c>
      <c r="BR319" s="87">
        <v>147.0</v>
      </c>
      <c r="BS319" s="87">
        <v>3078.0</v>
      </c>
      <c r="BT319" s="87">
        <v>93.0</v>
      </c>
      <c r="BU319" s="87">
        <v>27.0</v>
      </c>
      <c r="BV319" s="87">
        <v>418.0</v>
      </c>
      <c r="BW319" s="87">
        <v>762.0</v>
      </c>
      <c r="BX319" s="87">
        <v>3779.0</v>
      </c>
      <c r="BY319" s="87"/>
      <c r="BZ319" s="87"/>
      <c r="CA319" s="87">
        <v>434.0</v>
      </c>
      <c r="CB319" s="87">
        <v>108.0</v>
      </c>
      <c r="CC319" s="87"/>
      <c r="CD319" s="87">
        <v>18.0</v>
      </c>
      <c r="CE319" s="87"/>
      <c r="CF319" s="87"/>
      <c r="CG319" s="87">
        <v>2295.0</v>
      </c>
      <c r="CH319" s="87">
        <v>20146.0</v>
      </c>
      <c r="CI319" s="87"/>
      <c r="CJ319" s="87">
        <v>10819.0</v>
      </c>
      <c r="CK319" s="87">
        <v>5083.0</v>
      </c>
      <c r="CL319" s="87">
        <v>5563.0</v>
      </c>
      <c r="CM319" s="87">
        <v>118.0</v>
      </c>
      <c r="CN319" s="87">
        <v>9.0</v>
      </c>
      <c r="CO319" s="87">
        <v>651.0</v>
      </c>
      <c r="CP319" s="87"/>
      <c r="CQ319" s="87">
        <v>160.0</v>
      </c>
      <c r="CR319" s="87">
        <v>38.0</v>
      </c>
      <c r="CS319" s="87"/>
      <c r="CT319" s="87">
        <v>2613.0</v>
      </c>
      <c r="CU319" s="87">
        <v>1434.0</v>
      </c>
      <c r="CV319" s="87">
        <v>207.0</v>
      </c>
      <c r="CW319" s="87">
        <v>1463.0</v>
      </c>
      <c r="CX319" s="87">
        <v>367.0</v>
      </c>
      <c r="CY319" s="87">
        <v>764.0</v>
      </c>
      <c r="CZ319" s="87">
        <v>38.0</v>
      </c>
      <c r="DA319" s="87">
        <v>39.0</v>
      </c>
      <c r="DB319" s="87">
        <v>3989.0</v>
      </c>
      <c r="DC319" s="87">
        <v>1120.0</v>
      </c>
      <c r="DD319" s="87">
        <v>2868.0</v>
      </c>
      <c r="DE319" s="87">
        <v>464.0</v>
      </c>
      <c r="DF319" s="87">
        <v>1235.0</v>
      </c>
      <c r="DG319" s="87">
        <v>1194.0</v>
      </c>
      <c r="DH319" s="87">
        <v>85.0</v>
      </c>
      <c r="DI319" s="87"/>
      <c r="DJ319" s="87">
        <v>40.0</v>
      </c>
      <c r="DK319" s="87">
        <v>409.0</v>
      </c>
      <c r="DL319" s="87">
        <v>3755.0</v>
      </c>
      <c r="DM319" s="87">
        <v>357.0</v>
      </c>
      <c r="DN319" s="87"/>
      <c r="DO319" s="87">
        <v>2325.0</v>
      </c>
      <c r="DP319" s="87">
        <v>7.0</v>
      </c>
      <c r="DQ319" s="87">
        <v>2704.0</v>
      </c>
      <c r="DR319" s="87">
        <v>3006.0</v>
      </c>
      <c r="DS319" s="87">
        <v>16.0</v>
      </c>
      <c r="DT319" s="87">
        <v>45.0</v>
      </c>
      <c r="DU319" s="87">
        <v>20.0</v>
      </c>
      <c r="DV319" s="87">
        <v>266.0</v>
      </c>
      <c r="DW319" s="87">
        <v>129.0</v>
      </c>
      <c r="DX319" s="87">
        <v>726.0</v>
      </c>
      <c r="DY319" s="87">
        <v>2169.0</v>
      </c>
      <c r="DZ319" s="87">
        <v>562.0</v>
      </c>
      <c r="EA319" s="87">
        <v>104.0</v>
      </c>
      <c r="EB319" s="87">
        <v>545.0</v>
      </c>
      <c r="EC319" s="87">
        <v>620.0</v>
      </c>
      <c r="ED319" s="87">
        <v>8229.0</v>
      </c>
      <c r="EE319" s="87">
        <v>968.0</v>
      </c>
      <c r="EF319" s="87">
        <v>91.0</v>
      </c>
      <c r="EG319" s="87">
        <v>398.0</v>
      </c>
      <c r="EH319" s="87">
        <v>6.0</v>
      </c>
      <c r="EI319" s="87">
        <v>349.0</v>
      </c>
      <c r="EJ319" s="87">
        <v>21597.0</v>
      </c>
      <c r="EK319" s="88"/>
      <c r="EL319" s="88"/>
      <c r="EM319" s="88"/>
      <c r="EN319" s="88"/>
      <c r="EO319" s="88"/>
      <c r="EP319" s="88"/>
      <c r="EQ319" s="90"/>
    </row>
    <row r="320" ht="12.0" customHeight="1">
      <c r="A320" s="89">
        <v>1.06370695E8</v>
      </c>
      <c r="B320" s="89" t="s">
        <v>2114</v>
      </c>
      <c r="C320" s="89" t="s">
        <v>2086</v>
      </c>
      <c r="D320" s="89" t="s">
        <v>2115</v>
      </c>
      <c r="E320" s="89" t="s">
        <v>2116</v>
      </c>
      <c r="F320" s="89" t="s">
        <v>2086</v>
      </c>
      <c r="G320" s="89" t="s">
        <v>2102</v>
      </c>
      <c r="H320" s="89" t="s">
        <v>447</v>
      </c>
      <c r="I320" s="89" t="s">
        <v>456</v>
      </c>
      <c r="J320" s="89" t="s">
        <v>469</v>
      </c>
      <c r="K320" s="89" t="s">
        <v>1094</v>
      </c>
      <c r="L320" s="89" t="s">
        <v>2097</v>
      </c>
      <c r="M320" s="89" t="s">
        <v>2103</v>
      </c>
      <c r="N320" s="89" t="s">
        <v>441</v>
      </c>
      <c r="O320" s="87">
        <v>15399.0</v>
      </c>
      <c r="P320" s="87"/>
      <c r="Q320" s="87"/>
      <c r="R320" s="87"/>
      <c r="S320" s="87"/>
      <c r="T320" s="87"/>
      <c r="U320" s="87">
        <v>3802.0</v>
      </c>
      <c r="V320" s="87">
        <v>11597.0</v>
      </c>
      <c r="W320" s="87"/>
      <c r="X320" s="87">
        <v>7401.0</v>
      </c>
      <c r="Y320" s="87">
        <v>112.0</v>
      </c>
      <c r="Z320" s="87">
        <v>2459.0</v>
      </c>
      <c r="AA320" s="87">
        <v>4805.0</v>
      </c>
      <c r="AB320" s="87">
        <v>543.0</v>
      </c>
      <c r="AC320" s="87">
        <v>42.0</v>
      </c>
      <c r="AD320" s="87">
        <v>21.0</v>
      </c>
      <c r="AE320" s="87"/>
      <c r="AF320" s="87"/>
      <c r="AG320" s="87">
        <v>16.0</v>
      </c>
      <c r="AH320" s="87">
        <v>5674.0</v>
      </c>
      <c r="AI320" s="87">
        <v>9639.0</v>
      </c>
      <c r="AJ320" s="87">
        <v>86.0</v>
      </c>
      <c r="AK320" s="87">
        <v>56.0</v>
      </c>
      <c r="AL320" s="87">
        <v>2063.0</v>
      </c>
      <c r="AM320" s="87">
        <v>156.0</v>
      </c>
      <c r="AN320" s="87">
        <v>729.0</v>
      </c>
      <c r="AO320" s="87">
        <v>6726.0</v>
      </c>
      <c r="AP320" s="87">
        <v>125.0</v>
      </c>
      <c r="AQ320" s="87">
        <v>5484.0</v>
      </c>
      <c r="AR320" s="87">
        <v>60.0</v>
      </c>
      <c r="AS320" s="87">
        <v>7675.0</v>
      </c>
      <c r="AT320" s="87">
        <v>178.0</v>
      </c>
      <c r="AU320" s="87">
        <v>259.0</v>
      </c>
      <c r="AV320" s="87"/>
      <c r="AW320" s="87"/>
      <c r="AX320" s="87">
        <v>1.0</v>
      </c>
      <c r="AY320" s="87">
        <v>3.0</v>
      </c>
      <c r="AZ320" s="87"/>
      <c r="BA320" s="87">
        <v>1.0</v>
      </c>
      <c r="BB320" s="87"/>
      <c r="BC320" s="87">
        <v>7282.0</v>
      </c>
      <c r="BD320" s="87"/>
      <c r="BE320" s="87"/>
      <c r="BF320" s="87">
        <v>179.0</v>
      </c>
      <c r="BG320" s="87">
        <v>15220.0</v>
      </c>
      <c r="BH320" s="87"/>
      <c r="BI320" s="87">
        <v>58116.0</v>
      </c>
      <c r="BJ320" s="87">
        <v>1.0</v>
      </c>
      <c r="BK320" s="87">
        <v>5628.0</v>
      </c>
      <c r="BL320" s="87">
        <v>2488.0</v>
      </c>
      <c r="BM320" s="87">
        <v>7282.0</v>
      </c>
      <c r="BN320" s="87"/>
      <c r="BO320" s="87"/>
      <c r="BP320" s="87">
        <v>15139.0</v>
      </c>
      <c r="BQ320" s="87">
        <v>21.0</v>
      </c>
      <c r="BR320" s="87"/>
      <c r="BS320" s="87">
        <v>1.0</v>
      </c>
      <c r="BT320" s="87">
        <v>8.0</v>
      </c>
      <c r="BU320" s="87">
        <v>2.0</v>
      </c>
      <c r="BV320" s="87">
        <v>41.0</v>
      </c>
      <c r="BW320" s="87">
        <v>34.0</v>
      </c>
      <c r="BX320" s="87">
        <v>39.0</v>
      </c>
      <c r="BY320" s="87"/>
      <c r="BZ320" s="87">
        <v>111.0</v>
      </c>
      <c r="CA320" s="87">
        <v>1.0</v>
      </c>
      <c r="CB320" s="87">
        <v>1.0</v>
      </c>
      <c r="CC320" s="87"/>
      <c r="CD320" s="87">
        <v>1.0</v>
      </c>
      <c r="CE320" s="87"/>
      <c r="CF320" s="87"/>
      <c r="CG320" s="87">
        <v>13.0</v>
      </c>
      <c r="CH320" s="87">
        <v>15386.0</v>
      </c>
      <c r="CI320" s="87"/>
      <c r="CJ320" s="87">
        <v>29.0</v>
      </c>
      <c r="CK320" s="87">
        <v>3348.0</v>
      </c>
      <c r="CL320" s="87">
        <v>10062.0</v>
      </c>
      <c r="CM320" s="87">
        <v>1.0</v>
      </c>
      <c r="CN320" s="87"/>
      <c r="CO320" s="87">
        <v>1422.0</v>
      </c>
      <c r="CP320" s="87"/>
      <c r="CQ320" s="87">
        <v>537.0</v>
      </c>
      <c r="CR320" s="87"/>
      <c r="CS320" s="87"/>
      <c r="CT320" s="87">
        <v>2.0</v>
      </c>
      <c r="CU320" s="87">
        <v>122.0</v>
      </c>
      <c r="CV320" s="87">
        <v>2.0</v>
      </c>
      <c r="CW320" s="87">
        <v>1.0</v>
      </c>
      <c r="CX320" s="87"/>
      <c r="CY320" s="87"/>
      <c r="CZ320" s="87"/>
      <c r="DA320" s="87"/>
      <c r="DB320" s="87">
        <v>1.0</v>
      </c>
      <c r="DC320" s="87"/>
      <c r="DD320" s="87">
        <v>6.0</v>
      </c>
      <c r="DE320" s="87"/>
      <c r="DF320" s="87">
        <v>1.0</v>
      </c>
      <c r="DG320" s="87">
        <v>64.0</v>
      </c>
      <c r="DH320" s="87">
        <v>7785.0</v>
      </c>
      <c r="DI320" s="87">
        <v>7390.0</v>
      </c>
      <c r="DJ320" s="87">
        <v>8.0</v>
      </c>
      <c r="DK320" s="87">
        <v>6.0</v>
      </c>
      <c r="DL320" s="87">
        <v>8.0</v>
      </c>
      <c r="DM320" s="87">
        <v>3.0</v>
      </c>
      <c r="DN320" s="87"/>
      <c r="DO320" s="87">
        <v>4330.0</v>
      </c>
      <c r="DP320" s="87">
        <v>7125.0</v>
      </c>
      <c r="DQ320" s="87">
        <v>70.0</v>
      </c>
      <c r="DR320" s="87">
        <v>37.0</v>
      </c>
      <c r="DS320" s="87"/>
      <c r="DT320" s="87"/>
      <c r="DU320" s="87"/>
      <c r="DV320" s="87">
        <v>175.0</v>
      </c>
      <c r="DW320" s="87">
        <v>2.0</v>
      </c>
      <c r="DX320" s="87">
        <v>10.0</v>
      </c>
      <c r="DY320" s="87">
        <v>12.0</v>
      </c>
      <c r="DZ320" s="87">
        <v>14.0</v>
      </c>
      <c r="EA320" s="87">
        <v>8.0</v>
      </c>
      <c r="EB320" s="87">
        <v>25.0</v>
      </c>
      <c r="EC320" s="87">
        <v>5.0</v>
      </c>
      <c r="ED320" s="87">
        <v>3573.0</v>
      </c>
      <c r="EE320" s="87">
        <v>13.0</v>
      </c>
      <c r="EF320" s="87">
        <v>42.0</v>
      </c>
      <c r="EG320" s="87">
        <v>8.0</v>
      </c>
      <c r="EH320" s="87">
        <v>361.0</v>
      </c>
      <c r="EI320" s="87">
        <v>101.0</v>
      </c>
      <c r="EJ320" s="87">
        <v>14887.0</v>
      </c>
      <c r="EK320" s="88"/>
      <c r="EL320" s="88"/>
      <c r="EM320" s="88"/>
      <c r="EN320" s="88"/>
      <c r="EO320" s="88"/>
      <c r="EP320" s="88"/>
      <c r="EQ320" s="90"/>
    </row>
    <row r="321" ht="12.0" customHeight="1">
      <c r="A321" s="89">
        <v>1.06370714E8</v>
      </c>
      <c r="B321" s="89" t="s">
        <v>2117</v>
      </c>
      <c r="C321" s="89" t="s">
        <v>2086</v>
      </c>
      <c r="D321" s="89" t="s">
        <v>2118</v>
      </c>
      <c r="E321" s="89" t="s">
        <v>2119</v>
      </c>
      <c r="F321" s="89" t="s">
        <v>2120</v>
      </c>
      <c r="G321" s="89" t="s">
        <v>2121</v>
      </c>
      <c r="H321" s="89" t="s">
        <v>447</v>
      </c>
      <c r="I321" s="89" t="s">
        <v>456</v>
      </c>
      <c r="J321" s="89" t="s">
        <v>605</v>
      </c>
      <c r="K321" s="89" t="s">
        <v>1331</v>
      </c>
      <c r="L321" s="89" t="s">
        <v>2097</v>
      </c>
      <c r="M321" s="89" t="s">
        <v>2122</v>
      </c>
      <c r="N321" s="89" t="s">
        <v>441</v>
      </c>
      <c r="O321" s="87">
        <v>28614.0</v>
      </c>
      <c r="P321" s="87">
        <v>393.0</v>
      </c>
      <c r="Q321" s="87">
        <v>1307.0</v>
      </c>
      <c r="R321" s="87"/>
      <c r="S321" s="87">
        <v>184.0</v>
      </c>
      <c r="T321" s="87"/>
      <c r="U321" s="87">
        <v>13635.0</v>
      </c>
      <c r="V321" s="87">
        <v>16863.0</v>
      </c>
      <c r="W321" s="87"/>
      <c r="X321" s="87">
        <v>2932.0</v>
      </c>
      <c r="Y321" s="87">
        <v>302.0</v>
      </c>
      <c r="Z321" s="87">
        <v>2937.0</v>
      </c>
      <c r="AA321" s="87">
        <v>3422.0</v>
      </c>
      <c r="AB321" s="87">
        <v>2484.0</v>
      </c>
      <c r="AC321" s="87">
        <v>3804.0</v>
      </c>
      <c r="AD321" s="87">
        <v>5644.0</v>
      </c>
      <c r="AE321" s="87">
        <v>4460.0</v>
      </c>
      <c r="AF321" s="87">
        <v>4513.0</v>
      </c>
      <c r="AG321" s="87"/>
      <c r="AH321" s="87">
        <v>7915.0</v>
      </c>
      <c r="AI321" s="87">
        <v>22129.0</v>
      </c>
      <c r="AJ321" s="87">
        <v>454.0</v>
      </c>
      <c r="AK321" s="87">
        <v>118.0</v>
      </c>
      <c r="AL321" s="87">
        <v>1002.0</v>
      </c>
      <c r="AM321" s="87">
        <v>164.0</v>
      </c>
      <c r="AN321" s="87">
        <v>2550.0</v>
      </c>
      <c r="AO321" s="87">
        <v>15270.0</v>
      </c>
      <c r="AP321" s="87">
        <v>514.0</v>
      </c>
      <c r="AQ321" s="87">
        <v>10830.0</v>
      </c>
      <c r="AR321" s="87">
        <v>50.0</v>
      </c>
      <c r="AS321" s="87">
        <v>22594.0</v>
      </c>
      <c r="AT321" s="87">
        <v>936.0</v>
      </c>
      <c r="AU321" s="87">
        <v>648.0</v>
      </c>
      <c r="AV321" s="87">
        <v>1566.0</v>
      </c>
      <c r="AW321" s="87">
        <v>251.0</v>
      </c>
      <c r="AX321" s="87">
        <v>1397.0</v>
      </c>
      <c r="AY321" s="87">
        <v>54.0</v>
      </c>
      <c r="AZ321" s="87">
        <v>3.0</v>
      </c>
      <c r="BA321" s="87">
        <v>81.0</v>
      </c>
      <c r="BB321" s="87">
        <v>36.0</v>
      </c>
      <c r="BC321" s="87">
        <v>2932.0</v>
      </c>
      <c r="BD321" s="87"/>
      <c r="BE321" s="87">
        <v>20564.0</v>
      </c>
      <c r="BF321" s="87">
        <v>296.0</v>
      </c>
      <c r="BG321" s="87">
        <v>9638.0</v>
      </c>
      <c r="BH321" s="87"/>
      <c r="BI321" s="87">
        <v>147541.0</v>
      </c>
      <c r="BJ321" s="87">
        <v>2111.0</v>
      </c>
      <c r="BK321" s="87">
        <v>22654.0</v>
      </c>
      <c r="BL321" s="87">
        <v>2800.0</v>
      </c>
      <c r="BM321" s="87">
        <v>2932.0</v>
      </c>
      <c r="BN321" s="87"/>
      <c r="BO321" s="87">
        <v>1.0</v>
      </c>
      <c r="BP321" s="87">
        <v>19979.0</v>
      </c>
      <c r="BQ321" s="87">
        <v>578.0</v>
      </c>
      <c r="BR321" s="87">
        <v>156.0</v>
      </c>
      <c r="BS321" s="87">
        <v>4048.0</v>
      </c>
      <c r="BT321" s="87">
        <v>220.0</v>
      </c>
      <c r="BU321" s="87">
        <v>40.0</v>
      </c>
      <c r="BV321" s="87">
        <v>881.0</v>
      </c>
      <c r="BW321" s="87">
        <v>947.0</v>
      </c>
      <c r="BX321" s="87">
        <v>3039.0</v>
      </c>
      <c r="BY321" s="87"/>
      <c r="BZ321" s="87">
        <v>7.0</v>
      </c>
      <c r="CA321" s="87">
        <v>486.0</v>
      </c>
      <c r="CB321" s="87">
        <v>109.0</v>
      </c>
      <c r="CC321" s="87"/>
      <c r="CD321" s="87">
        <v>6.0</v>
      </c>
      <c r="CE321" s="87"/>
      <c r="CF321" s="87">
        <v>2.0</v>
      </c>
      <c r="CG321" s="87">
        <v>2019.0</v>
      </c>
      <c r="CH321" s="87">
        <v>28479.0</v>
      </c>
      <c r="CI321" s="87"/>
      <c r="CJ321" s="87">
        <v>11522.0</v>
      </c>
      <c r="CK321" s="87">
        <v>13740.0</v>
      </c>
      <c r="CL321" s="87">
        <v>3712.0</v>
      </c>
      <c r="CM321" s="87">
        <v>136.0</v>
      </c>
      <c r="CN321" s="87">
        <v>2.0</v>
      </c>
      <c r="CO321" s="87">
        <v>1073.0</v>
      </c>
      <c r="CP321" s="87"/>
      <c r="CQ321" s="87">
        <v>313.0</v>
      </c>
      <c r="CR321" s="87"/>
      <c r="CS321" s="87"/>
      <c r="CT321" s="87">
        <v>3278.0</v>
      </c>
      <c r="CU321" s="87">
        <v>737.0</v>
      </c>
      <c r="CV321" s="87">
        <v>171.0</v>
      </c>
      <c r="CW321" s="87">
        <v>1354.0</v>
      </c>
      <c r="CX321" s="87">
        <v>2081.0</v>
      </c>
      <c r="CY321" s="87">
        <v>975.0</v>
      </c>
      <c r="CZ321" s="87">
        <v>30.0</v>
      </c>
      <c r="DA321" s="87">
        <v>82.0</v>
      </c>
      <c r="DB321" s="87">
        <v>4838.0</v>
      </c>
      <c r="DC321" s="87">
        <v>1736.0</v>
      </c>
      <c r="DD321" s="87">
        <v>3040.0</v>
      </c>
      <c r="DE321" s="87">
        <v>617.0</v>
      </c>
      <c r="DF321" s="87">
        <v>1204.0</v>
      </c>
      <c r="DG321" s="87">
        <v>1362.0</v>
      </c>
      <c r="DH321" s="87">
        <v>3214.0</v>
      </c>
      <c r="DI321" s="87">
        <v>2932.0</v>
      </c>
      <c r="DJ321" s="87">
        <v>17.0</v>
      </c>
      <c r="DK321" s="87">
        <v>655.0</v>
      </c>
      <c r="DL321" s="87">
        <v>2023.0</v>
      </c>
      <c r="DM321" s="87">
        <v>152.0</v>
      </c>
      <c r="DN321" s="87"/>
      <c r="DO321" s="87">
        <v>5441.0</v>
      </c>
      <c r="DP321" s="87">
        <v>2914.0</v>
      </c>
      <c r="DQ321" s="87">
        <v>2640.0</v>
      </c>
      <c r="DR321" s="87">
        <v>2582.0</v>
      </c>
      <c r="DS321" s="87">
        <v>11.0</v>
      </c>
      <c r="DT321" s="87">
        <v>15.0</v>
      </c>
      <c r="DU321" s="87">
        <v>9.0</v>
      </c>
      <c r="DV321" s="87">
        <v>142.0</v>
      </c>
      <c r="DW321" s="87">
        <v>71.0</v>
      </c>
      <c r="DX321" s="87">
        <v>462.0</v>
      </c>
      <c r="DY321" s="87">
        <v>1291.0</v>
      </c>
      <c r="DZ321" s="87">
        <v>418.0</v>
      </c>
      <c r="EA321" s="87">
        <v>52.0</v>
      </c>
      <c r="EB321" s="87">
        <v>563.0</v>
      </c>
      <c r="EC321" s="87">
        <v>377.0</v>
      </c>
      <c r="ED321" s="87">
        <v>12471.0</v>
      </c>
      <c r="EE321" s="87">
        <v>1039.0</v>
      </c>
      <c r="EF321" s="87">
        <v>123.0</v>
      </c>
      <c r="EG321" s="87">
        <v>1080.0</v>
      </c>
      <c r="EH321" s="87">
        <v>7.0</v>
      </c>
      <c r="EI321" s="87">
        <v>321.0</v>
      </c>
      <c r="EJ321" s="87">
        <v>28967.0</v>
      </c>
      <c r="EK321" s="88"/>
      <c r="EL321" s="88"/>
      <c r="EM321" s="88"/>
      <c r="EN321" s="88"/>
      <c r="EO321" s="88"/>
      <c r="EP321" s="88"/>
      <c r="EQ321" s="90"/>
    </row>
    <row r="322" ht="12.0" customHeight="1">
      <c r="A322" s="89">
        <v>1.06370721E8</v>
      </c>
      <c r="B322" s="89" t="s">
        <v>2123</v>
      </c>
      <c r="C322" s="89" t="s">
        <v>2086</v>
      </c>
      <c r="D322" s="89" t="s">
        <v>2124</v>
      </c>
      <c r="E322" s="89" t="s">
        <v>2125</v>
      </c>
      <c r="F322" s="89" t="s">
        <v>2086</v>
      </c>
      <c r="G322" s="89" t="s">
        <v>2126</v>
      </c>
      <c r="H322" s="89" t="s">
        <v>475</v>
      </c>
      <c r="I322" s="89" t="s">
        <v>456</v>
      </c>
      <c r="J322" s="89" t="s">
        <v>463</v>
      </c>
      <c r="K322" s="89" t="s">
        <v>1094</v>
      </c>
      <c r="L322" s="89" t="s">
        <v>2109</v>
      </c>
      <c r="M322" s="89" t="s">
        <v>2103</v>
      </c>
      <c r="N322" s="89" t="s">
        <v>441</v>
      </c>
      <c r="O322" s="87">
        <v>391.0</v>
      </c>
      <c r="P322" s="87"/>
      <c r="Q322" s="87"/>
      <c r="R322" s="87"/>
      <c r="S322" s="87"/>
      <c r="T322" s="87"/>
      <c r="U322" s="87">
        <v>234.0</v>
      </c>
      <c r="V322" s="87">
        <v>157.0</v>
      </c>
      <c r="W322" s="87"/>
      <c r="X322" s="87"/>
      <c r="Y322" s="87"/>
      <c r="Z322" s="87">
        <v>14.0</v>
      </c>
      <c r="AA322" s="87">
        <v>24.0</v>
      </c>
      <c r="AB322" s="87">
        <v>36.0</v>
      </c>
      <c r="AC322" s="87">
        <v>53.0</v>
      </c>
      <c r="AD322" s="87">
        <v>116.0</v>
      </c>
      <c r="AE322" s="87">
        <v>102.0</v>
      </c>
      <c r="AF322" s="87">
        <v>45.0</v>
      </c>
      <c r="AG322" s="87">
        <v>1.0</v>
      </c>
      <c r="AH322" s="87">
        <v>69.0</v>
      </c>
      <c r="AI322" s="87">
        <v>320.0</v>
      </c>
      <c r="AJ322" s="87">
        <v>2.0</v>
      </c>
      <c r="AK322" s="87"/>
      <c r="AL322" s="87">
        <v>24.0</v>
      </c>
      <c r="AM322" s="87"/>
      <c r="AN322" s="87">
        <v>47.0</v>
      </c>
      <c r="AO322" s="87">
        <v>251.0</v>
      </c>
      <c r="AP322" s="87">
        <v>19.0</v>
      </c>
      <c r="AQ322" s="87">
        <v>50.0</v>
      </c>
      <c r="AR322" s="87"/>
      <c r="AS322" s="87">
        <v>1.0</v>
      </c>
      <c r="AT322" s="87"/>
      <c r="AU322" s="87">
        <v>385.0</v>
      </c>
      <c r="AV322" s="87"/>
      <c r="AW322" s="87">
        <v>5.0</v>
      </c>
      <c r="AX322" s="87"/>
      <c r="AY322" s="87"/>
      <c r="AZ322" s="87"/>
      <c r="BA322" s="87"/>
      <c r="BB322" s="87"/>
      <c r="BC322" s="87"/>
      <c r="BD322" s="87"/>
      <c r="BE322" s="87"/>
      <c r="BF322" s="87"/>
      <c r="BG322" s="87">
        <v>391.0</v>
      </c>
      <c r="BH322" s="87"/>
      <c r="BI322" s="87">
        <v>17657.0</v>
      </c>
      <c r="BJ322" s="87"/>
      <c r="BK322" s="87"/>
      <c r="BL322" s="87">
        <v>391.0</v>
      </c>
      <c r="BM322" s="87"/>
      <c r="BN322" s="87"/>
      <c r="BO322" s="87"/>
      <c r="BP322" s="87">
        <v>37.0</v>
      </c>
      <c r="BQ322" s="87">
        <v>90.0</v>
      </c>
      <c r="BR322" s="87">
        <v>9.0</v>
      </c>
      <c r="BS322" s="87">
        <v>141.0</v>
      </c>
      <c r="BT322" s="87">
        <v>2.0</v>
      </c>
      <c r="BU322" s="87">
        <v>2.0</v>
      </c>
      <c r="BV322" s="87">
        <v>5.0</v>
      </c>
      <c r="BW322" s="87">
        <v>48.0</v>
      </c>
      <c r="BX322" s="87">
        <v>49.0</v>
      </c>
      <c r="BY322" s="87"/>
      <c r="BZ322" s="87"/>
      <c r="CA322" s="87">
        <v>8.0</v>
      </c>
      <c r="CB322" s="87"/>
      <c r="CC322" s="87"/>
      <c r="CD322" s="87"/>
      <c r="CE322" s="87"/>
      <c r="CF322" s="87"/>
      <c r="CG322" s="87"/>
      <c r="CH322" s="87">
        <v>391.0</v>
      </c>
      <c r="CI322" s="87"/>
      <c r="CJ322" s="87">
        <v>179.0</v>
      </c>
      <c r="CK322" s="87">
        <v>86.0</v>
      </c>
      <c r="CL322" s="87">
        <v>94.0</v>
      </c>
      <c r="CM322" s="87">
        <v>4.0</v>
      </c>
      <c r="CN322" s="87"/>
      <c r="CO322" s="87">
        <v>28.0</v>
      </c>
      <c r="CP322" s="87"/>
      <c r="CQ322" s="87"/>
      <c r="CR322" s="87"/>
      <c r="CS322" s="87"/>
      <c r="CT322" s="87">
        <v>12.0</v>
      </c>
      <c r="CU322" s="87">
        <v>1.0</v>
      </c>
      <c r="CV322" s="87">
        <v>2.0</v>
      </c>
      <c r="CW322" s="87">
        <v>8.0</v>
      </c>
      <c r="CX322" s="87"/>
      <c r="CY322" s="87">
        <v>11.0</v>
      </c>
      <c r="CZ322" s="87"/>
      <c r="DA322" s="87"/>
      <c r="DB322" s="87">
        <v>22.0</v>
      </c>
      <c r="DC322" s="87">
        <v>222.0</v>
      </c>
      <c r="DD322" s="87">
        <v>15.0</v>
      </c>
      <c r="DE322" s="87">
        <v>19.0</v>
      </c>
      <c r="DF322" s="87">
        <v>9.0</v>
      </c>
      <c r="DG322" s="87">
        <v>24.0</v>
      </c>
      <c r="DH322" s="87"/>
      <c r="DI322" s="87"/>
      <c r="DJ322" s="87"/>
      <c r="DK322" s="87"/>
      <c r="DL322" s="87">
        <v>33.0</v>
      </c>
      <c r="DM322" s="87">
        <v>13.0</v>
      </c>
      <c r="DN322" s="87"/>
      <c r="DO322" s="87">
        <v>142.0</v>
      </c>
      <c r="DP322" s="87"/>
      <c r="DQ322" s="87">
        <v>55.0</v>
      </c>
      <c r="DR322" s="87">
        <v>28.0</v>
      </c>
      <c r="DS322" s="87"/>
      <c r="DT322" s="87"/>
      <c r="DU322" s="87"/>
      <c r="DV322" s="87"/>
      <c r="DW322" s="87"/>
      <c r="DX322" s="87">
        <v>3.0</v>
      </c>
      <c r="DY322" s="87"/>
      <c r="DZ322" s="87"/>
      <c r="EA322" s="87">
        <v>1.0</v>
      </c>
      <c r="EB322" s="87">
        <v>12.0</v>
      </c>
      <c r="EC322" s="87"/>
      <c r="ED322" s="87">
        <v>142.0</v>
      </c>
      <c r="EE322" s="87">
        <v>8.0</v>
      </c>
      <c r="EF322" s="87"/>
      <c r="EG322" s="87">
        <v>6.0</v>
      </c>
      <c r="EH322" s="87"/>
      <c r="EI322" s="87">
        <v>7.0</v>
      </c>
      <c r="EJ322" s="87">
        <v>378.0</v>
      </c>
      <c r="EK322" s="88"/>
      <c r="EL322" s="88"/>
      <c r="EM322" s="88"/>
      <c r="EN322" s="88"/>
      <c r="EO322" s="88"/>
      <c r="EP322" s="88"/>
      <c r="EQ322" s="90"/>
    </row>
    <row r="323" ht="12.0" customHeight="1">
      <c r="A323" s="89">
        <v>1.0637073E8</v>
      </c>
      <c r="B323" s="89" t="s">
        <v>2127</v>
      </c>
      <c r="C323" s="89" t="s">
        <v>2086</v>
      </c>
      <c r="D323" s="89" t="s">
        <v>2128</v>
      </c>
      <c r="E323" s="89" t="s">
        <v>2129</v>
      </c>
      <c r="F323" s="89" t="s">
        <v>2086</v>
      </c>
      <c r="G323" s="89" t="s">
        <v>2096</v>
      </c>
      <c r="H323" s="89" t="s">
        <v>447</v>
      </c>
      <c r="I323" s="89" t="s">
        <v>456</v>
      </c>
      <c r="J323" s="89" t="s">
        <v>448</v>
      </c>
      <c r="K323" s="89" t="s">
        <v>1094</v>
      </c>
      <c r="L323" s="89" t="s">
        <v>2097</v>
      </c>
      <c r="M323" s="89" t="s">
        <v>2130</v>
      </c>
      <c r="N323" s="89" t="s">
        <v>441</v>
      </c>
      <c r="O323" s="87">
        <v>29453.0</v>
      </c>
      <c r="P323" s="87"/>
      <c r="Q323" s="87"/>
      <c r="R323" s="87"/>
      <c r="S323" s="87"/>
      <c r="T323" s="87"/>
      <c r="U323" s="87">
        <v>12326.0</v>
      </c>
      <c r="V323" s="87">
        <v>17125.0</v>
      </c>
      <c r="W323" s="87">
        <v>2.0</v>
      </c>
      <c r="X323" s="87">
        <v>5694.0</v>
      </c>
      <c r="Y323" s="87">
        <v>418.0</v>
      </c>
      <c r="Z323" s="87">
        <v>2179.0</v>
      </c>
      <c r="AA323" s="87">
        <v>4307.0</v>
      </c>
      <c r="AB323" s="87">
        <v>1629.0</v>
      </c>
      <c r="AC323" s="87">
        <v>2379.0</v>
      </c>
      <c r="AD323" s="87">
        <v>3758.0</v>
      </c>
      <c r="AE323" s="87">
        <v>4596.0</v>
      </c>
      <c r="AF323" s="87">
        <v>4492.0</v>
      </c>
      <c r="AG323" s="87">
        <v>1.0</v>
      </c>
      <c r="AH323" s="87">
        <v>8893.0</v>
      </c>
      <c r="AI323" s="87">
        <v>20462.0</v>
      </c>
      <c r="AJ323" s="87">
        <v>98.0</v>
      </c>
      <c r="AK323" s="87">
        <v>61.0</v>
      </c>
      <c r="AL323" s="87">
        <v>2876.0</v>
      </c>
      <c r="AM323" s="87">
        <v>255.0</v>
      </c>
      <c r="AN323" s="87">
        <v>1966.0</v>
      </c>
      <c r="AO323" s="87">
        <v>15369.0</v>
      </c>
      <c r="AP323" s="87">
        <v>189.0</v>
      </c>
      <c r="AQ323" s="87">
        <v>8423.0</v>
      </c>
      <c r="AR323" s="87">
        <v>314.0</v>
      </c>
      <c r="AS323" s="87">
        <v>20502.0</v>
      </c>
      <c r="AT323" s="87">
        <v>1390.0</v>
      </c>
      <c r="AU323" s="87">
        <v>2101.0</v>
      </c>
      <c r="AV323" s="87">
        <v>274.0</v>
      </c>
      <c r="AW323" s="87">
        <v>159.0</v>
      </c>
      <c r="AX323" s="87"/>
      <c r="AY323" s="87">
        <v>10.0</v>
      </c>
      <c r="AZ323" s="87">
        <v>2.0</v>
      </c>
      <c r="BA323" s="87"/>
      <c r="BB323" s="87">
        <v>14.0</v>
      </c>
      <c r="BC323" s="87">
        <v>4999.0</v>
      </c>
      <c r="BD323" s="87">
        <v>2.0</v>
      </c>
      <c r="BE323" s="87">
        <v>14232.0</v>
      </c>
      <c r="BF323" s="87">
        <v>620.0</v>
      </c>
      <c r="BG323" s="87">
        <v>14601.0</v>
      </c>
      <c r="BH323" s="87"/>
      <c r="BI323" s="87">
        <v>110236.0</v>
      </c>
      <c r="BJ323" s="87">
        <v>14309.0</v>
      </c>
      <c r="BK323" s="87">
        <v>5928.0</v>
      </c>
      <c r="BL323" s="87">
        <v>4193.0</v>
      </c>
      <c r="BM323" s="87">
        <v>4999.0</v>
      </c>
      <c r="BN323" s="87">
        <v>22.0</v>
      </c>
      <c r="BO323" s="87">
        <v>2.0</v>
      </c>
      <c r="BP323" s="87">
        <v>18633.0</v>
      </c>
      <c r="BQ323" s="87">
        <v>576.0</v>
      </c>
      <c r="BR323" s="87">
        <v>53.0</v>
      </c>
      <c r="BS323" s="87">
        <v>2182.0</v>
      </c>
      <c r="BT323" s="87">
        <v>4.0</v>
      </c>
      <c r="BU323" s="87">
        <v>3.0</v>
      </c>
      <c r="BV323" s="87">
        <v>124.0</v>
      </c>
      <c r="BW323" s="87">
        <v>544.0</v>
      </c>
      <c r="BX323" s="87">
        <v>6497.0</v>
      </c>
      <c r="BY323" s="87">
        <v>1.0</v>
      </c>
      <c r="BZ323" s="87">
        <v>31.0</v>
      </c>
      <c r="CA323" s="87">
        <v>757.0</v>
      </c>
      <c r="CB323" s="87">
        <v>27.0</v>
      </c>
      <c r="CC323" s="87">
        <v>2.0</v>
      </c>
      <c r="CD323" s="87">
        <v>5.0</v>
      </c>
      <c r="CE323" s="87">
        <v>14.0</v>
      </c>
      <c r="CF323" s="87"/>
      <c r="CG323" s="87">
        <v>3476.0</v>
      </c>
      <c r="CH323" s="87">
        <v>25977.0</v>
      </c>
      <c r="CI323" s="87"/>
      <c r="CJ323" s="87">
        <v>11125.0</v>
      </c>
      <c r="CK323" s="87">
        <v>2500.0</v>
      </c>
      <c r="CL323" s="87">
        <v>15565.0</v>
      </c>
      <c r="CM323" s="87">
        <v>14.0</v>
      </c>
      <c r="CN323" s="87">
        <v>1.0</v>
      </c>
      <c r="CO323" s="87">
        <v>9.0</v>
      </c>
      <c r="CP323" s="87"/>
      <c r="CQ323" s="87">
        <v>229.0</v>
      </c>
      <c r="CR323" s="87">
        <v>10.0</v>
      </c>
      <c r="CS323" s="87"/>
      <c r="CT323" s="87">
        <v>3530.0</v>
      </c>
      <c r="CU323" s="87">
        <v>1172.0</v>
      </c>
      <c r="CV323" s="87">
        <v>193.0</v>
      </c>
      <c r="CW323" s="87">
        <v>1001.0</v>
      </c>
      <c r="CX323" s="87">
        <v>269.0</v>
      </c>
      <c r="CY323" s="87">
        <v>571.0</v>
      </c>
      <c r="CZ323" s="87">
        <v>18.0</v>
      </c>
      <c r="DA323" s="87">
        <v>20.0</v>
      </c>
      <c r="DB323" s="87">
        <v>2920.0</v>
      </c>
      <c r="DC323" s="87">
        <v>1084.0</v>
      </c>
      <c r="DD323" s="87">
        <v>2967.0</v>
      </c>
      <c r="DE323" s="87">
        <v>371.0</v>
      </c>
      <c r="DF323" s="87">
        <v>1274.0</v>
      </c>
      <c r="DG323" s="87">
        <v>827.0</v>
      </c>
      <c r="DH323" s="87">
        <v>5267.0</v>
      </c>
      <c r="DI323" s="87">
        <v>5087.0</v>
      </c>
      <c r="DJ323" s="87">
        <v>58.0</v>
      </c>
      <c r="DK323" s="87">
        <v>395.0</v>
      </c>
      <c r="DL323" s="87">
        <v>2190.0</v>
      </c>
      <c r="DM323" s="87">
        <v>239.0</v>
      </c>
      <c r="DN323" s="87"/>
      <c r="DO323" s="87">
        <v>2898.0</v>
      </c>
      <c r="DP323" s="87">
        <v>4854.0</v>
      </c>
      <c r="DQ323" s="87">
        <v>1356.0</v>
      </c>
      <c r="DR323" s="87">
        <v>3026.0</v>
      </c>
      <c r="DS323" s="87">
        <v>29.0</v>
      </c>
      <c r="DT323" s="87">
        <v>39.0</v>
      </c>
      <c r="DU323" s="87">
        <v>5.0</v>
      </c>
      <c r="DV323" s="87">
        <v>230.0</v>
      </c>
      <c r="DW323" s="87">
        <v>115.0</v>
      </c>
      <c r="DX323" s="87">
        <v>632.0</v>
      </c>
      <c r="DY323" s="87">
        <v>2507.0</v>
      </c>
      <c r="DZ323" s="87">
        <v>562.0</v>
      </c>
      <c r="EA323" s="87">
        <v>205.0</v>
      </c>
      <c r="EB323" s="87">
        <v>523.0</v>
      </c>
      <c r="EC323" s="87">
        <v>846.0</v>
      </c>
      <c r="ED323" s="87">
        <v>11168.0</v>
      </c>
      <c r="EE323" s="87">
        <v>458.0</v>
      </c>
      <c r="EF323" s="87">
        <v>4.0</v>
      </c>
      <c r="EG323" s="87">
        <v>123.0</v>
      </c>
      <c r="EH323" s="87">
        <v>25.0</v>
      </c>
      <c r="EI323" s="87">
        <v>98.0</v>
      </c>
      <c r="EJ323" s="87">
        <v>29203.0</v>
      </c>
      <c r="EK323" s="88"/>
      <c r="EL323" s="88"/>
      <c r="EM323" s="88"/>
      <c r="EN323" s="88"/>
      <c r="EO323" s="88"/>
      <c r="EP323" s="88"/>
      <c r="EQ323" s="90"/>
    </row>
    <row r="324" ht="12.0" customHeight="1">
      <c r="A324" s="89">
        <v>1.06370744E8</v>
      </c>
      <c r="B324" s="89" t="s">
        <v>2131</v>
      </c>
      <c r="C324" s="89" t="s">
        <v>2086</v>
      </c>
      <c r="D324" s="89" t="s">
        <v>2132</v>
      </c>
      <c r="E324" s="89" t="s">
        <v>2133</v>
      </c>
      <c r="F324" s="89" t="s">
        <v>2086</v>
      </c>
      <c r="G324" s="89" t="s">
        <v>2134</v>
      </c>
      <c r="H324" s="89" t="s">
        <v>447</v>
      </c>
      <c r="I324" s="89" t="s">
        <v>456</v>
      </c>
      <c r="J324" s="89" t="s">
        <v>448</v>
      </c>
      <c r="K324" s="89" t="s">
        <v>1094</v>
      </c>
      <c r="L324" s="89" t="s">
        <v>2109</v>
      </c>
      <c r="M324" s="89" t="s">
        <v>2103</v>
      </c>
      <c r="N324" s="89" t="s">
        <v>441</v>
      </c>
      <c r="O324" s="87">
        <v>31900.0</v>
      </c>
      <c r="P324" s="87">
        <v>2.0</v>
      </c>
      <c r="Q324" s="87">
        <v>772.0</v>
      </c>
      <c r="R324" s="87"/>
      <c r="S324" s="87"/>
      <c r="T324" s="87"/>
      <c r="U324" s="87">
        <v>14749.0</v>
      </c>
      <c r="V324" s="87">
        <v>17919.0</v>
      </c>
      <c r="W324" s="87">
        <v>6.0</v>
      </c>
      <c r="X324" s="87">
        <v>4168.0</v>
      </c>
      <c r="Y324" s="87">
        <v>411.0</v>
      </c>
      <c r="Z324" s="87">
        <v>3719.0</v>
      </c>
      <c r="AA324" s="87">
        <v>4171.0</v>
      </c>
      <c r="AB324" s="87">
        <v>2681.0</v>
      </c>
      <c r="AC324" s="87">
        <v>3625.0</v>
      </c>
      <c r="AD324" s="87">
        <v>5005.0</v>
      </c>
      <c r="AE324" s="87">
        <v>4646.0</v>
      </c>
      <c r="AF324" s="87">
        <v>4247.0</v>
      </c>
      <c r="AG324" s="87">
        <v>1.0</v>
      </c>
      <c r="AH324" s="87">
        <v>16642.0</v>
      </c>
      <c r="AI324" s="87">
        <v>15645.0</v>
      </c>
      <c r="AJ324" s="87">
        <v>387.0</v>
      </c>
      <c r="AK324" s="87">
        <v>61.0</v>
      </c>
      <c r="AL324" s="87">
        <v>1843.0</v>
      </c>
      <c r="AM324" s="87">
        <v>151.0</v>
      </c>
      <c r="AN324" s="87">
        <v>2838.0</v>
      </c>
      <c r="AO324" s="87">
        <v>22981.0</v>
      </c>
      <c r="AP324" s="87">
        <v>478.0</v>
      </c>
      <c r="AQ324" s="87">
        <v>3562.0</v>
      </c>
      <c r="AR324" s="87">
        <v>760.0</v>
      </c>
      <c r="AS324" s="87">
        <v>24979.0</v>
      </c>
      <c r="AT324" s="87">
        <v>1179.0</v>
      </c>
      <c r="AU324" s="87">
        <v>1396.0</v>
      </c>
      <c r="AV324" s="87">
        <v>278.0</v>
      </c>
      <c r="AW324" s="87">
        <v>158.0</v>
      </c>
      <c r="AX324" s="87">
        <v>459.0</v>
      </c>
      <c r="AY324" s="87"/>
      <c r="AZ324" s="87"/>
      <c r="BA324" s="87">
        <v>17.0</v>
      </c>
      <c r="BB324" s="87">
        <v>65.0</v>
      </c>
      <c r="BC324" s="87">
        <v>4143.0</v>
      </c>
      <c r="BD324" s="87"/>
      <c r="BE324" s="87">
        <v>20004.0</v>
      </c>
      <c r="BF324" s="87">
        <v>1174.0</v>
      </c>
      <c r="BG324" s="87">
        <v>11486.0</v>
      </c>
      <c r="BH324" s="87">
        <v>10.0</v>
      </c>
      <c r="BI324" s="87">
        <v>162234.0</v>
      </c>
      <c r="BJ324" s="87">
        <v>19524.0</v>
      </c>
      <c r="BK324" s="87">
        <v>5237.0</v>
      </c>
      <c r="BL324" s="87">
        <v>3718.0</v>
      </c>
      <c r="BM324" s="87">
        <v>4143.0</v>
      </c>
      <c r="BN324" s="87">
        <v>44.0</v>
      </c>
      <c r="BO324" s="87">
        <v>8.0</v>
      </c>
      <c r="BP324" s="87">
        <v>22601.0</v>
      </c>
      <c r="BQ324" s="87">
        <v>585.0</v>
      </c>
      <c r="BR324" s="87">
        <v>178.0</v>
      </c>
      <c r="BS324" s="87">
        <v>3784.0</v>
      </c>
      <c r="BT324" s="87">
        <v>63.0</v>
      </c>
      <c r="BU324" s="87">
        <v>123.0</v>
      </c>
      <c r="BV324" s="87"/>
      <c r="BW324" s="87">
        <v>800.0</v>
      </c>
      <c r="BX324" s="87">
        <v>3353.0</v>
      </c>
      <c r="BY324" s="87">
        <v>49.0</v>
      </c>
      <c r="BZ324" s="87">
        <v>324.0</v>
      </c>
      <c r="CA324" s="87">
        <v>638.0</v>
      </c>
      <c r="CB324" s="87">
        <v>137.0</v>
      </c>
      <c r="CC324" s="87"/>
      <c r="CD324" s="87">
        <v>37.0</v>
      </c>
      <c r="CE324" s="87"/>
      <c r="CF324" s="87">
        <v>2.0</v>
      </c>
      <c r="CG324" s="87">
        <v>2663.0</v>
      </c>
      <c r="CH324" s="87">
        <v>30011.0</v>
      </c>
      <c r="CI324" s="87"/>
      <c r="CJ324" s="87">
        <v>12182.0</v>
      </c>
      <c r="CK324" s="87">
        <v>12376.0</v>
      </c>
      <c r="CL324" s="87">
        <v>4514.0</v>
      </c>
      <c r="CM324" s="87">
        <v>274.0</v>
      </c>
      <c r="CN324" s="87"/>
      <c r="CO324" s="87">
        <v>1040.0</v>
      </c>
      <c r="CP324" s="87"/>
      <c r="CQ324" s="87">
        <v>2288.0</v>
      </c>
      <c r="CR324" s="87"/>
      <c r="CS324" s="87"/>
      <c r="CT324" s="87">
        <v>3857.0</v>
      </c>
      <c r="CU324" s="87">
        <v>965.0</v>
      </c>
      <c r="CV324" s="87">
        <v>165.0</v>
      </c>
      <c r="CW324" s="87">
        <v>2335.0</v>
      </c>
      <c r="CX324" s="87">
        <v>1284.0</v>
      </c>
      <c r="CY324" s="87">
        <v>743.0</v>
      </c>
      <c r="CZ324" s="87">
        <v>30.0</v>
      </c>
      <c r="DA324" s="87">
        <v>47.0</v>
      </c>
      <c r="DB324" s="87">
        <v>3741.0</v>
      </c>
      <c r="DC324" s="87">
        <v>1119.0</v>
      </c>
      <c r="DD324" s="87">
        <v>2927.0</v>
      </c>
      <c r="DE324" s="87">
        <v>606.0</v>
      </c>
      <c r="DF324" s="87">
        <v>1060.0</v>
      </c>
      <c r="DG324" s="87">
        <v>1118.0</v>
      </c>
      <c r="DH324" s="87">
        <v>4391.0</v>
      </c>
      <c r="DI324" s="87">
        <v>4162.0</v>
      </c>
      <c r="DJ324" s="87">
        <v>37.0</v>
      </c>
      <c r="DK324" s="87">
        <v>349.0</v>
      </c>
      <c r="DL324" s="87">
        <v>3609.0</v>
      </c>
      <c r="DM324" s="87">
        <v>126.0</v>
      </c>
      <c r="DN324" s="87">
        <v>3.0</v>
      </c>
      <c r="DO324" s="87">
        <v>4770.0</v>
      </c>
      <c r="DP324" s="87">
        <v>4107.0</v>
      </c>
      <c r="DQ324" s="87">
        <v>2087.0</v>
      </c>
      <c r="DR324" s="87">
        <v>3882.0</v>
      </c>
      <c r="DS324" s="87">
        <v>22.0</v>
      </c>
      <c r="DT324" s="87">
        <v>37.0</v>
      </c>
      <c r="DU324" s="87">
        <v>17.0</v>
      </c>
      <c r="DV324" s="87">
        <v>223.0</v>
      </c>
      <c r="DW324" s="87">
        <v>105.0</v>
      </c>
      <c r="DX324" s="87">
        <v>802.0</v>
      </c>
      <c r="DY324" s="87">
        <v>2545.0</v>
      </c>
      <c r="DZ324" s="87">
        <v>277.0</v>
      </c>
      <c r="EA324" s="87">
        <v>89.0</v>
      </c>
      <c r="EB324" s="87">
        <v>796.0</v>
      </c>
      <c r="EC324" s="87">
        <v>431.0</v>
      </c>
      <c r="ED324" s="87">
        <v>12208.0</v>
      </c>
      <c r="EE324" s="87">
        <v>276.0</v>
      </c>
      <c r="EF324" s="87">
        <v>230.0</v>
      </c>
      <c r="EG324" s="87">
        <v>2282.0</v>
      </c>
      <c r="EH324" s="87">
        <v>943.0</v>
      </c>
      <c r="EI324" s="87">
        <v>430.0</v>
      </c>
      <c r="EJ324" s="87">
        <v>28789.0</v>
      </c>
      <c r="EK324" s="88"/>
      <c r="EL324" s="88"/>
      <c r="EM324" s="88"/>
      <c r="EN324" s="88"/>
      <c r="EO324" s="88"/>
      <c r="EP324" s="88"/>
      <c r="EQ324" s="90"/>
    </row>
    <row r="325" ht="12.0" customHeight="1">
      <c r="A325" s="89">
        <v>1.06370745E8</v>
      </c>
      <c r="B325" s="89" t="s">
        <v>2135</v>
      </c>
      <c r="C325" s="89" t="s">
        <v>2086</v>
      </c>
      <c r="D325" s="89" t="s">
        <v>2136</v>
      </c>
      <c r="E325" s="89" t="s">
        <v>2137</v>
      </c>
      <c r="F325" s="89" t="s">
        <v>2086</v>
      </c>
      <c r="G325" s="89" t="s">
        <v>2102</v>
      </c>
      <c r="H325" s="89" t="s">
        <v>447</v>
      </c>
      <c r="I325" s="89" t="s">
        <v>456</v>
      </c>
      <c r="J325" s="89" t="s">
        <v>457</v>
      </c>
      <c r="K325" s="89" t="s">
        <v>1094</v>
      </c>
      <c r="L325" s="89" t="s">
        <v>2097</v>
      </c>
      <c r="M325" s="89" t="s">
        <v>2103</v>
      </c>
      <c r="N325" s="89" t="s">
        <v>441</v>
      </c>
      <c r="O325" s="87"/>
      <c r="P325" s="87"/>
      <c r="Q325" s="87">
        <v>3737.0</v>
      </c>
      <c r="R325" s="87"/>
      <c r="S325" s="87"/>
      <c r="T325" s="87"/>
      <c r="U325" s="87">
        <v>1712.0</v>
      </c>
      <c r="V325" s="87">
        <v>2025.0</v>
      </c>
      <c r="W325" s="87"/>
      <c r="X325" s="87"/>
      <c r="Y325" s="87">
        <v>662.0</v>
      </c>
      <c r="Z325" s="87">
        <v>815.0</v>
      </c>
      <c r="AA325" s="87">
        <v>700.0</v>
      </c>
      <c r="AB325" s="87">
        <v>500.0</v>
      </c>
      <c r="AC325" s="87">
        <v>487.0</v>
      </c>
      <c r="AD325" s="87">
        <v>371.0</v>
      </c>
      <c r="AE325" s="87">
        <v>162.0</v>
      </c>
      <c r="AF325" s="87">
        <v>39.0</v>
      </c>
      <c r="AG325" s="87">
        <v>1.0</v>
      </c>
      <c r="AH325" s="87">
        <v>862.0</v>
      </c>
      <c r="AI325" s="87">
        <v>2824.0</v>
      </c>
      <c r="AJ325" s="87">
        <v>51.0</v>
      </c>
      <c r="AK325" s="87">
        <v>18.0</v>
      </c>
      <c r="AL325" s="87">
        <v>181.0</v>
      </c>
      <c r="AM325" s="87">
        <v>25.0</v>
      </c>
      <c r="AN325" s="87">
        <v>304.0</v>
      </c>
      <c r="AO325" s="87">
        <v>2258.0</v>
      </c>
      <c r="AP325" s="87">
        <v>82.0</v>
      </c>
      <c r="AQ325" s="87">
        <v>844.0</v>
      </c>
      <c r="AR325" s="87">
        <v>25.0</v>
      </c>
      <c r="AS325" s="87">
        <v>835.0</v>
      </c>
      <c r="AT325" s="87"/>
      <c r="AU325" s="87">
        <v>2880.0</v>
      </c>
      <c r="AV325" s="87"/>
      <c r="AW325" s="87">
        <v>12.0</v>
      </c>
      <c r="AX325" s="87">
        <v>3.0</v>
      </c>
      <c r="AY325" s="87"/>
      <c r="AZ325" s="87"/>
      <c r="BA325" s="87">
        <v>3.0</v>
      </c>
      <c r="BB325" s="87">
        <v>4.0</v>
      </c>
      <c r="BC325" s="87"/>
      <c r="BD325" s="87"/>
      <c r="BE325" s="87"/>
      <c r="BF325" s="87">
        <v>2822.0</v>
      </c>
      <c r="BG325" s="87">
        <v>915.0</v>
      </c>
      <c r="BH325" s="87"/>
      <c r="BI325" s="87">
        <v>32990.0</v>
      </c>
      <c r="BJ325" s="87">
        <v>9.0</v>
      </c>
      <c r="BK325" s="87">
        <v>3724.0</v>
      </c>
      <c r="BL325" s="87">
        <v>2.0</v>
      </c>
      <c r="BM325" s="87"/>
      <c r="BN325" s="87"/>
      <c r="BO325" s="87">
        <v>2.0</v>
      </c>
      <c r="BP325" s="87">
        <v>3171.0</v>
      </c>
      <c r="BQ325" s="87">
        <v>73.0</v>
      </c>
      <c r="BR325" s="87">
        <v>125.0</v>
      </c>
      <c r="BS325" s="87">
        <v>82.0</v>
      </c>
      <c r="BT325" s="87">
        <v>88.0</v>
      </c>
      <c r="BU325" s="87">
        <v>8.0</v>
      </c>
      <c r="BV325" s="87">
        <v>177.0</v>
      </c>
      <c r="BW325" s="87"/>
      <c r="BX325" s="87">
        <v>4.0</v>
      </c>
      <c r="BY325" s="87"/>
      <c r="BZ325" s="87"/>
      <c r="CA325" s="87"/>
      <c r="CB325" s="87">
        <v>8.0</v>
      </c>
      <c r="CC325" s="87"/>
      <c r="CD325" s="87">
        <v>1.0</v>
      </c>
      <c r="CE325" s="87"/>
      <c r="CF325" s="87"/>
      <c r="CG325" s="87">
        <v>14.0</v>
      </c>
      <c r="CH325" s="87">
        <v>3723.0</v>
      </c>
      <c r="CI325" s="87"/>
      <c r="CJ325" s="87">
        <v>810.0</v>
      </c>
      <c r="CK325" s="87">
        <v>254.0</v>
      </c>
      <c r="CL325" s="87">
        <v>1360.0</v>
      </c>
      <c r="CM325" s="87">
        <v>1.0</v>
      </c>
      <c r="CN325" s="87">
        <v>1060.0</v>
      </c>
      <c r="CO325" s="87">
        <v>221.0</v>
      </c>
      <c r="CP325" s="87"/>
      <c r="CQ325" s="87">
        <v>31.0</v>
      </c>
      <c r="CR325" s="87"/>
      <c r="CS325" s="87"/>
      <c r="CT325" s="87"/>
      <c r="CU325" s="87"/>
      <c r="CV325" s="87"/>
      <c r="CW325" s="87"/>
      <c r="CX325" s="87">
        <v>3708.0</v>
      </c>
      <c r="CY325" s="87">
        <v>16.0</v>
      </c>
      <c r="CZ325" s="87"/>
      <c r="DA325" s="87"/>
      <c r="DB325" s="87"/>
      <c r="DC325" s="87"/>
      <c r="DD325" s="87"/>
      <c r="DE325" s="87"/>
      <c r="DF325" s="87"/>
      <c r="DG325" s="87"/>
      <c r="DH325" s="87">
        <v>13.0</v>
      </c>
      <c r="DI325" s="87"/>
      <c r="DJ325" s="87"/>
      <c r="DK325" s="87"/>
      <c r="DL325" s="87"/>
      <c r="DM325" s="87"/>
      <c r="DN325" s="87"/>
      <c r="DO325" s="87">
        <v>3435.0</v>
      </c>
      <c r="DP325" s="87"/>
      <c r="DQ325" s="87"/>
      <c r="DR325" s="87"/>
      <c r="DS325" s="87"/>
      <c r="DT325" s="87"/>
      <c r="DU325" s="87"/>
      <c r="DV325" s="87"/>
      <c r="DW325" s="87"/>
      <c r="DX325" s="87"/>
      <c r="DY325" s="87"/>
      <c r="DZ325" s="87"/>
      <c r="EA325" s="87"/>
      <c r="EB325" s="87"/>
      <c r="EC325" s="87"/>
      <c r="ED325" s="87">
        <v>298.0</v>
      </c>
      <c r="EE325" s="87">
        <v>4.0</v>
      </c>
      <c r="EF325" s="87">
        <v>14.0</v>
      </c>
      <c r="EG325" s="87">
        <v>569.0</v>
      </c>
      <c r="EH325" s="87"/>
      <c r="EI325" s="87">
        <v>53.0</v>
      </c>
      <c r="EJ325" s="87">
        <v>3101.0</v>
      </c>
      <c r="EK325" s="88"/>
      <c r="EL325" s="88"/>
      <c r="EM325" s="88"/>
      <c r="EN325" s="88"/>
      <c r="EO325" s="88"/>
      <c r="EP325" s="88"/>
      <c r="EQ325" s="90"/>
    </row>
    <row r="326" ht="12.0" customHeight="1">
      <c r="A326" s="89">
        <v>1.06370749E8</v>
      </c>
      <c r="B326" s="89" t="s">
        <v>2138</v>
      </c>
      <c r="C326" s="89" t="s">
        <v>2086</v>
      </c>
      <c r="D326" s="89" t="s">
        <v>2139</v>
      </c>
      <c r="E326" s="89" t="s">
        <v>2140</v>
      </c>
      <c r="F326" s="89" t="s">
        <v>2120</v>
      </c>
      <c r="G326" s="89" t="s">
        <v>2121</v>
      </c>
      <c r="H326" s="89" t="s">
        <v>475</v>
      </c>
      <c r="I326" s="89" t="s">
        <v>456</v>
      </c>
      <c r="J326" s="89" t="s">
        <v>463</v>
      </c>
      <c r="K326" s="89" t="s">
        <v>1331</v>
      </c>
      <c r="L326" s="89" t="s">
        <v>2097</v>
      </c>
      <c r="M326" s="89" t="s">
        <v>2122</v>
      </c>
      <c r="N326" s="89" t="s">
        <v>441</v>
      </c>
      <c r="O326" s="87"/>
      <c r="P326" s="87"/>
      <c r="Q326" s="87">
        <v>1842.0</v>
      </c>
      <c r="R326" s="87">
        <v>319.0</v>
      </c>
      <c r="S326" s="87"/>
      <c r="T326" s="87"/>
      <c r="U326" s="87">
        <v>1253.0</v>
      </c>
      <c r="V326" s="87">
        <v>908.0</v>
      </c>
      <c r="W326" s="87"/>
      <c r="X326" s="87"/>
      <c r="Y326" s="87">
        <v>127.0</v>
      </c>
      <c r="Z326" s="87">
        <v>600.0</v>
      </c>
      <c r="AA326" s="87">
        <v>470.0</v>
      </c>
      <c r="AB326" s="87">
        <v>375.0</v>
      </c>
      <c r="AC326" s="87">
        <v>317.0</v>
      </c>
      <c r="AD326" s="87">
        <v>207.0</v>
      </c>
      <c r="AE326" s="87">
        <v>57.0</v>
      </c>
      <c r="AF326" s="87"/>
      <c r="AG326" s="87">
        <v>8.0</v>
      </c>
      <c r="AH326" s="87">
        <v>457.0</v>
      </c>
      <c r="AI326" s="87">
        <v>1703.0</v>
      </c>
      <c r="AJ326" s="87">
        <v>1.0</v>
      </c>
      <c r="AK326" s="87">
        <v>14.0</v>
      </c>
      <c r="AL326" s="87">
        <v>91.0</v>
      </c>
      <c r="AM326" s="87"/>
      <c r="AN326" s="87">
        <v>223.0</v>
      </c>
      <c r="AO326" s="87">
        <v>1578.0</v>
      </c>
      <c r="AP326" s="87">
        <v>9.0</v>
      </c>
      <c r="AQ326" s="87"/>
      <c r="AR326" s="87">
        <v>246.0</v>
      </c>
      <c r="AS326" s="87">
        <v>787.0</v>
      </c>
      <c r="AT326" s="87">
        <v>50.0</v>
      </c>
      <c r="AU326" s="87">
        <v>1232.0</v>
      </c>
      <c r="AV326" s="87"/>
      <c r="AW326" s="87">
        <v>90.0</v>
      </c>
      <c r="AX326" s="87"/>
      <c r="AY326" s="87"/>
      <c r="AZ326" s="87"/>
      <c r="BA326" s="87">
        <v>2.0</v>
      </c>
      <c r="BB326" s="87"/>
      <c r="BC326" s="87"/>
      <c r="BD326" s="87"/>
      <c r="BE326" s="87"/>
      <c r="BF326" s="87">
        <v>1229.0</v>
      </c>
      <c r="BG326" s="87">
        <v>932.0</v>
      </c>
      <c r="BH326" s="87"/>
      <c r="BI326" s="87">
        <v>20323.0</v>
      </c>
      <c r="BJ326" s="87"/>
      <c r="BK326" s="87">
        <v>2154.0</v>
      </c>
      <c r="BL326" s="87">
        <v>7.0</v>
      </c>
      <c r="BM326" s="87"/>
      <c r="BN326" s="87"/>
      <c r="BO326" s="87"/>
      <c r="BP326" s="87">
        <v>1867.0</v>
      </c>
      <c r="BQ326" s="87">
        <v>40.0</v>
      </c>
      <c r="BR326" s="87"/>
      <c r="BS326" s="87">
        <v>20.0</v>
      </c>
      <c r="BT326" s="87">
        <v>15.0</v>
      </c>
      <c r="BU326" s="87">
        <v>2.0</v>
      </c>
      <c r="BV326" s="87">
        <v>194.0</v>
      </c>
      <c r="BW326" s="87"/>
      <c r="BX326" s="87"/>
      <c r="BY326" s="87"/>
      <c r="BZ326" s="87"/>
      <c r="CA326" s="87"/>
      <c r="CB326" s="87">
        <v>23.0</v>
      </c>
      <c r="CC326" s="87"/>
      <c r="CD326" s="87"/>
      <c r="CE326" s="87"/>
      <c r="CF326" s="87"/>
      <c r="CG326" s="87"/>
      <c r="CH326" s="87">
        <v>2161.0</v>
      </c>
      <c r="CI326" s="87"/>
      <c r="CJ326" s="87">
        <v>520.0</v>
      </c>
      <c r="CK326" s="87">
        <v>461.0</v>
      </c>
      <c r="CL326" s="87">
        <v>1021.0</v>
      </c>
      <c r="CM326" s="87"/>
      <c r="CN326" s="87"/>
      <c r="CO326" s="87">
        <v>159.0</v>
      </c>
      <c r="CP326" s="87"/>
      <c r="CQ326" s="87"/>
      <c r="CR326" s="87"/>
      <c r="CS326" s="87"/>
      <c r="CT326" s="87"/>
      <c r="CU326" s="87"/>
      <c r="CV326" s="87"/>
      <c r="CW326" s="87"/>
      <c r="CX326" s="87">
        <v>2154.0</v>
      </c>
      <c r="CY326" s="87">
        <v>1.0</v>
      </c>
      <c r="CZ326" s="87"/>
      <c r="DA326" s="87"/>
      <c r="DB326" s="87"/>
      <c r="DC326" s="87"/>
      <c r="DD326" s="87"/>
      <c r="DE326" s="87"/>
      <c r="DF326" s="87"/>
      <c r="DG326" s="87"/>
      <c r="DH326" s="87"/>
      <c r="DI326" s="87"/>
      <c r="DJ326" s="87"/>
      <c r="DK326" s="87">
        <v>1.0</v>
      </c>
      <c r="DL326" s="87"/>
      <c r="DM326" s="87"/>
      <c r="DN326" s="87">
        <v>5.0</v>
      </c>
      <c r="DO326" s="87">
        <v>400.0</v>
      </c>
      <c r="DP326" s="87"/>
      <c r="DQ326" s="87"/>
      <c r="DR326" s="87"/>
      <c r="DS326" s="87"/>
      <c r="DT326" s="87"/>
      <c r="DU326" s="87"/>
      <c r="DV326" s="87"/>
      <c r="DW326" s="87"/>
      <c r="DX326" s="87"/>
      <c r="DY326" s="87"/>
      <c r="DZ326" s="87"/>
      <c r="EA326" s="87"/>
      <c r="EB326" s="87"/>
      <c r="EC326" s="87"/>
      <c r="ED326" s="87">
        <v>1761.0</v>
      </c>
      <c r="EE326" s="87"/>
      <c r="EF326" s="87"/>
      <c r="EG326" s="87">
        <v>317.0</v>
      </c>
      <c r="EH326" s="87"/>
      <c r="EI326" s="87">
        <v>32.0</v>
      </c>
      <c r="EJ326" s="87">
        <v>1812.0</v>
      </c>
      <c r="EK326" s="88"/>
      <c r="EL326" s="88"/>
      <c r="EM326" s="88"/>
      <c r="EN326" s="88"/>
      <c r="EO326" s="88"/>
      <c r="EP326" s="88"/>
      <c r="EQ326" s="90"/>
    </row>
    <row r="327" ht="12.0" customHeight="1">
      <c r="A327" s="89">
        <v>1.06370759E8</v>
      </c>
      <c r="B327" s="89" t="s">
        <v>2141</v>
      </c>
      <c r="C327" s="89" t="s">
        <v>2086</v>
      </c>
      <c r="D327" s="89" t="s">
        <v>2142</v>
      </c>
      <c r="E327" s="89" t="s">
        <v>2143</v>
      </c>
      <c r="F327" s="89" t="s">
        <v>2144</v>
      </c>
      <c r="G327" s="89" t="s">
        <v>2145</v>
      </c>
      <c r="H327" s="89" t="s">
        <v>475</v>
      </c>
      <c r="I327" s="89" t="s">
        <v>456</v>
      </c>
      <c r="J327" s="89" t="s">
        <v>469</v>
      </c>
      <c r="K327" s="89" t="s">
        <v>748</v>
      </c>
      <c r="L327" s="89" t="s">
        <v>2097</v>
      </c>
      <c r="M327" s="89" t="s">
        <v>2146</v>
      </c>
      <c r="N327" s="89" t="s">
        <v>441</v>
      </c>
      <c r="O327" s="87">
        <v>3896.0</v>
      </c>
      <c r="P327" s="87"/>
      <c r="Q327" s="87">
        <v>1378.0</v>
      </c>
      <c r="R327" s="87"/>
      <c r="S327" s="87">
        <v>134.0</v>
      </c>
      <c r="T327" s="87"/>
      <c r="U327" s="87">
        <v>3294.0</v>
      </c>
      <c r="V327" s="87">
        <v>2114.0</v>
      </c>
      <c r="W327" s="87"/>
      <c r="X327" s="87"/>
      <c r="Y327" s="87">
        <v>107.0</v>
      </c>
      <c r="Z327" s="87">
        <v>714.0</v>
      </c>
      <c r="AA327" s="87">
        <v>881.0</v>
      </c>
      <c r="AB327" s="87">
        <v>747.0</v>
      </c>
      <c r="AC327" s="87">
        <v>973.0</v>
      </c>
      <c r="AD327" s="87">
        <v>939.0</v>
      </c>
      <c r="AE327" s="87">
        <v>605.0</v>
      </c>
      <c r="AF327" s="87">
        <v>442.0</v>
      </c>
      <c r="AG327" s="87"/>
      <c r="AH327" s="87">
        <v>2178.0</v>
      </c>
      <c r="AI327" s="87">
        <v>2928.0</v>
      </c>
      <c r="AJ327" s="87">
        <v>302.0</v>
      </c>
      <c r="AK327" s="87">
        <v>11.0</v>
      </c>
      <c r="AL327" s="87">
        <v>606.0</v>
      </c>
      <c r="AM327" s="87">
        <v>31.0</v>
      </c>
      <c r="AN327" s="87">
        <v>926.0</v>
      </c>
      <c r="AO327" s="87">
        <v>2665.0</v>
      </c>
      <c r="AP327" s="87">
        <v>108.0</v>
      </c>
      <c r="AQ327" s="87">
        <v>789.0</v>
      </c>
      <c r="AR327" s="87">
        <v>272.0</v>
      </c>
      <c r="AS327" s="87">
        <v>4967.0</v>
      </c>
      <c r="AT327" s="87">
        <v>3.0</v>
      </c>
      <c r="AU327" s="87">
        <v>94.0</v>
      </c>
      <c r="AV327" s="87">
        <v>20.0</v>
      </c>
      <c r="AW327" s="87">
        <v>41.0</v>
      </c>
      <c r="AX327" s="87"/>
      <c r="AY327" s="87"/>
      <c r="AZ327" s="87"/>
      <c r="BA327" s="87">
        <v>225.0</v>
      </c>
      <c r="BB327" s="87">
        <v>58.0</v>
      </c>
      <c r="BC327" s="87"/>
      <c r="BD327" s="87"/>
      <c r="BE327" s="87">
        <v>4949.0</v>
      </c>
      <c r="BF327" s="87">
        <v>83.0</v>
      </c>
      <c r="BG327" s="87">
        <v>376.0</v>
      </c>
      <c r="BH327" s="87"/>
      <c r="BI327" s="87">
        <v>33748.0</v>
      </c>
      <c r="BJ327" s="87">
        <v>4483.0</v>
      </c>
      <c r="BK327" s="87">
        <v>713.0</v>
      </c>
      <c r="BL327" s="87">
        <v>212.0</v>
      </c>
      <c r="BM327" s="87"/>
      <c r="BN327" s="87"/>
      <c r="BO327" s="87"/>
      <c r="BP327" s="87">
        <v>3334.0</v>
      </c>
      <c r="BQ327" s="87">
        <v>174.0</v>
      </c>
      <c r="BR327" s="87">
        <v>25.0</v>
      </c>
      <c r="BS327" s="87">
        <v>443.0</v>
      </c>
      <c r="BT327" s="87"/>
      <c r="BU327" s="87">
        <v>495.0</v>
      </c>
      <c r="BV327" s="87">
        <v>436.0</v>
      </c>
      <c r="BW327" s="87">
        <v>123.0</v>
      </c>
      <c r="BX327" s="87">
        <v>278.0</v>
      </c>
      <c r="BY327" s="87"/>
      <c r="BZ327" s="87"/>
      <c r="CA327" s="87">
        <v>48.0</v>
      </c>
      <c r="CB327" s="87">
        <v>51.0</v>
      </c>
      <c r="CC327" s="87">
        <v>1.0</v>
      </c>
      <c r="CD327" s="87"/>
      <c r="CE327" s="87"/>
      <c r="CF327" s="87"/>
      <c r="CG327" s="87">
        <v>185.0</v>
      </c>
      <c r="CH327" s="87">
        <v>5223.0</v>
      </c>
      <c r="CI327" s="87"/>
      <c r="CJ327" s="87">
        <v>1513.0</v>
      </c>
      <c r="CK327" s="87">
        <v>2912.0</v>
      </c>
      <c r="CL327" s="87">
        <v>870.0</v>
      </c>
      <c r="CM327" s="87">
        <v>8.0</v>
      </c>
      <c r="CN327" s="87"/>
      <c r="CO327" s="87">
        <v>74.0</v>
      </c>
      <c r="CP327" s="87">
        <v>6.0</v>
      </c>
      <c r="CQ327" s="87">
        <v>24.0</v>
      </c>
      <c r="CR327" s="87">
        <v>1.0</v>
      </c>
      <c r="CS327" s="87"/>
      <c r="CT327" s="87">
        <v>579.0</v>
      </c>
      <c r="CU327" s="87">
        <v>29.0</v>
      </c>
      <c r="CV327" s="87">
        <v>22.0</v>
      </c>
      <c r="CW327" s="87">
        <v>281.0</v>
      </c>
      <c r="CX327" s="87">
        <v>1686.0</v>
      </c>
      <c r="CY327" s="87">
        <v>344.0</v>
      </c>
      <c r="CZ327" s="87">
        <v>3.0</v>
      </c>
      <c r="DA327" s="87">
        <v>4.0</v>
      </c>
      <c r="DB327" s="87">
        <v>773.0</v>
      </c>
      <c r="DC327" s="87">
        <v>254.0</v>
      </c>
      <c r="DD327" s="87">
        <v>449.0</v>
      </c>
      <c r="DE327" s="87">
        <v>154.0</v>
      </c>
      <c r="DF327" s="87">
        <v>123.0</v>
      </c>
      <c r="DG327" s="87">
        <v>245.0</v>
      </c>
      <c r="DH327" s="87"/>
      <c r="DI327" s="87"/>
      <c r="DJ327" s="87"/>
      <c r="DK327" s="87">
        <v>144.0</v>
      </c>
      <c r="DL327" s="87">
        <v>300.0</v>
      </c>
      <c r="DM327" s="87">
        <v>9.0</v>
      </c>
      <c r="DN327" s="87">
        <v>9.0</v>
      </c>
      <c r="DO327" s="87">
        <v>528.0</v>
      </c>
      <c r="DP327" s="87"/>
      <c r="DQ327" s="87">
        <v>395.0</v>
      </c>
      <c r="DR327" s="87">
        <v>315.0</v>
      </c>
      <c r="DS327" s="87"/>
      <c r="DT327" s="87"/>
      <c r="DU327" s="87"/>
      <c r="DV327" s="87">
        <v>4.0</v>
      </c>
      <c r="DW327" s="87">
        <v>1.0</v>
      </c>
      <c r="DX327" s="87">
        <v>62.0</v>
      </c>
      <c r="DY327" s="87">
        <v>163.0</v>
      </c>
      <c r="DZ327" s="87">
        <v>22.0</v>
      </c>
      <c r="EA327" s="87">
        <v>1.0</v>
      </c>
      <c r="EB327" s="87">
        <v>32.0</v>
      </c>
      <c r="EC327" s="87">
        <v>27.0</v>
      </c>
      <c r="ED327" s="87">
        <v>3750.0</v>
      </c>
      <c r="EE327" s="87">
        <v>108.0</v>
      </c>
      <c r="EF327" s="87">
        <v>15.0</v>
      </c>
      <c r="EG327" s="87">
        <v>726.0</v>
      </c>
      <c r="EH327" s="87">
        <v>2.0</v>
      </c>
      <c r="EI327" s="87">
        <v>153.0</v>
      </c>
      <c r="EJ327" s="87">
        <v>4512.0</v>
      </c>
      <c r="EK327" s="88"/>
      <c r="EL327" s="88"/>
      <c r="EM327" s="88"/>
      <c r="EN327" s="88"/>
      <c r="EO327" s="88"/>
      <c r="EP327" s="88"/>
      <c r="EQ327" s="90"/>
    </row>
    <row r="328" ht="12.0" customHeight="1">
      <c r="A328" s="89">
        <v>1.06370771E8</v>
      </c>
      <c r="B328" s="89" t="s">
        <v>2147</v>
      </c>
      <c r="C328" s="89" t="s">
        <v>2086</v>
      </c>
      <c r="D328" s="89" t="s">
        <v>2148</v>
      </c>
      <c r="E328" s="89" t="s">
        <v>2149</v>
      </c>
      <c r="F328" s="89" t="s">
        <v>2150</v>
      </c>
      <c r="G328" s="89" t="s">
        <v>2151</v>
      </c>
      <c r="H328" s="89" t="s">
        <v>447</v>
      </c>
      <c r="I328" s="89" t="s">
        <v>456</v>
      </c>
      <c r="J328" s="89" t="s">
        <v>448</v>
      </c>
      <c r="K328" s="89" t="s">
        <v>1094</v>
      </c>
      <c r="L328" s="89" t="s">
        <v>2109</v>
      </c>
      <c r="M328" s="89" t="s">
        <v>2152</v>
      </c>
      <c r="N328" s="89" t="s">
        <v>441</v>
      </c>
      <c r="O328" s="87">
        <v>24848.0</v>
      </c>
      <c r="P328" s="87"/>
      <c r="Q328" s="87"/>
      <c r="R328" s="87"/>
      <c r="S328" s="87">
        <v>1.0</v>
      </c>
      <c r="T328" s="87"/>
      <c r="U328" s="87">
        <v>11138.0</v>
      </c>
      <c r="V328" s="87">
        <v>13705.0</v>
      </c>
      <c r="W328" s="87">
        <v>6.0</v>
      </c>
      <c r="X328" s="87">
        <v>3593.0</v>
      </c>
      <c r="Y328" s="87">
        <v>164.0</v>
      </c>
      <c r="Z328" s="87">
        <v>1437.0</v>
      </c>
      <c r="AA328" s="87">
        <v>3530.0</v>
      </c>
      <c r="AB328" s="87">
        <v>1451.0</v>
      </c>
      <c r="AC328" s="87">
        <v>1976.0</v>
      </c>
      <c r="AD328" s="87">
        <v>3237.0</v>
      </c>
      <c r="AE328" s="87">
        <v>4343.0</v>
      </c>
      <c r="AF328" s="87">
        <v>5117.0</v>
      </c>
      <c r="AG328" s="87">
        <v>1.0</v>
      </c>
      <c r="AH328" s="87">
        <v>3780.0</v>
      </c>
      <c r="AI328" s="87">
        <v>20857.0</v>
      </c>
      <c r="AJ328" s="87">
        <v>212.0</v>
      </c>
      <c r="AK328" s="87">
        <v>79.0</v>
      </c>
      <c r="AL328" s="87">
        <v>2529.0</v>
      </c>
      <c r="AM328" s="87">
        <v>93.0</v>
      </c>
      <c r="AN328" s="87">
        <v>697.0</v>
      </c>
      <c r="AO328" s="87">
        <v>18711.0</v>
      </c>
      <c r="AP328" s="87">
        <v>142.0</v>
      </c>
      <c r="AQ328" s="87">
        <v>2177.0</v>
      </c>
      <c r="AR328" s="87">
        <v>421.0</v>
      </c>
      <c r="AS328" s="87">
        <v>18999.0</v>
      </c>
      <c r="AT328" s="87">
        <v>574.0</v>
      </c>
      <c r="AU328" s="87">
        <v>1571.0</v>
      </c>
      <c r="AV328" s="87">
        <v>82.0</v>
      </c>
      <c r="AW328" s="87">
        <v>66.0</v>
      </c>
      <c r="AX328" s="87"/>
      <c r="AY328" s="87">
        <v>3.0</v>
      </c>
      <c r="AZ328" s="87"/>
      <c r="BA328" s="87">
        <v>2.0</v>
      </c>
      <c r="BB328" s="87">
        <v>26.0</v>
      </c>
      <c r="BC328" s="87">
        <v>3524.0</v>
      </c>
      <c r="BD328" s="87">
        <v>2.0</v>
      </c>
      <c r="BE328" s="87">
        <v>12410.0</v>
      </c>
      <c r="BF328" s="87">
        <v>1053.0</v>
      </c>
      <c r="BG328" s="87">
        <v>11369.0</v>
      </c>
      <c r="BH328" s="87">
        <v>17.0</v>
      </c>
      <c r="BI328" s="87">
        <v>115052.0</v>
      </c>
      <c r="BJ328" s="87">
        <v>12410.0</v>
      </c>
      <c r="BK328" s="87">
        <v>3476.0</v>
      </c>
      <c r="BL328" s="87">
        <v>5414.0</v>
      </c>
      <c r="BM328" s="87">
        <v>3524.0</v>
      </c>
      <c r="BN328" s="87">
        <v>11.0</v>
      </c>
      <c r="BO328" s="87">
        <v>14.0</v>
      </c>
      <c r="BP328" s="87">
        <v>17181.0</v>
      </c>
      <c r="BQ328" s="87">
        <v>383.0</v>
      </c>
      <c r="BR328" s="87">
        <v>176.0</v>
      </c>
      <c r="BS328" s="87">
        <v>2344.0</v>
      </c>
      <c r="BT328" s="87">
        <v>51.0</v>
      </c>
      <c r="BU328" s="87">
        <v>7.0</v>
      </c>
      <c r="BV328" s="87"/>
      <c r="BW328" s="87">
        <v>651.0</v>
      </c>
      <c r="BX328" s="87">
        <v>3168.0</v>
      </c>
      <c r="BY328" s="87">
        <v>11.0</v>
      </c>
      <c r="BZ328" s="87">
        <v>435.0</v>
      </c>
      <c r="CA328" s="87">
        <v>371.0</v>
      </c>
      <c r="CB328" s="87">
        <v>44.0</v>
      </c>
      <c r="CC328" s="87"/>
      <c r="CD328" s="87">
        <v>26.0</v>
      </c>
      <c r="CE328" s="87"/>
      <c r="CF328" s="87">
        <v>1.0</v>
      </c>
      <c r="CG328" s="87">
        <v>2114.0</v>
      </c>
      <c r="CH328" s="87">
        <v>22735.0</v>
      </c>
      <c r="CI328" s="87"/>
      <c r="CJ328" s="87">
        <v>11116.0</v>
      </c>
      <c r="CK328" s="87">
        <v>2028.0</v>
      </c>
      <c r="CL328" s="87">
        <v>9940.0</v>
      </c>
      <c r="CM328" s="87">
        <v>137.0</v>
      </c>
      <c r="CN328" s="87"/>
      <c r="CO328" s="87">
        <v>938.0</v>
      </c>
      <c r="CP328" s="87"/>
      <c r="CQ328" s="87">
        <v>690.0</v>
      </c>
      <c r="CR328" s="87"/>
      <c r="CS328" s="87"/>
      <c r="CT328" s="87">
        <v>1762.0</v>
      </c>
      <c r="CU328" s="87">
        <v>727.0</v>
      </c>
      <c r="CV328" s="87">
        <v>109.0</v>
      </c>
      <c r="CW328" s="87">
        <v>752.0</v>
      </c>
      <c r="CX328" s="87">
        <v>250.0</v>
      </c>
      <c r="CY328" s="87">
        <v>570.0</v>
      </c>
      <c r="CZ328" s="87">
        <v>15.0</v>
      </c>
      <c r="DA328" s="87">
        <v>25.0</v>
      </c>
      <c r="DB328" s="87">
        <v>5579.0</v>
      </c>
      <c r="DC328" s="87">
        <v>706.0</v>
      </c>
      <c r="DD328" s="87">
        <v>1985.0</v>
      </c>
      <c r="DE328" s="87">
        <v>214.0</v>
      </c>
      <c r="DF328" s="87">
        <v>978.0</v>
      </c>
      <c r="DG328" s="87">
        <v>622.0</v>
      </c>
      <c r="DH328" s="87">
        <v>3682.0</v>
      </c>
      <c r="DI328" s="87">
        <v>3564.0</v>
      </c>
      <c r="DJ328" s="87">
        <v>77.0</v>
      </c>
      <c r="DK328" s="87">
        <v>227.0</v>
      </c>
      <c r="DL328" s="87">
        <v>2934.0</v>
      </c>
      <c r="DM328" s="87">
        <v>66.0</v>
      </c>
      <c r="DN328" s="87">
        <v>5.0</v>
      </c>
      <c r="DO328" s="87">
        <v>3325.0</v>
      </c>
      <c r="DP328" s="87">
        <v>3450.0</v>
      </c>
      <c r="DQ328" s="87">
        <v>4393.0</v>
      </c>
      <c r="DR328" s="87">
        <v>2280.0</v>
      </c>
      <c r="DS328" s="87">
        <v>13.0</v>
      </c>
      <c r="DT328" s="87">
        <v>16.0</v>
      </c>
      <c r="DU328" s="87">
        <v>9.0</v>
      </c>
      <c r="DV328" s="87">
        <v>522.0</v>
      </c>
      <c r="DW328" s="87">
        <v>68.0</v>
      </c>
      <c r="DX328" s="87">
        <v>428.0</v>
      </c>
      <c r="DY328" s="87">
        <v>1778.0</v>
      </c>
      <c r="DZ328" s="87">
        <v>393.0</v>
      </c>
      <c r="EA328" s="87">
        <v>57.0</v>
      </c>
      <c r="EB328" s="87">
        <v>529.0</v>
      </c>
      <c r="EC328" s="87">
        <v>206.0</v>
      </c>
      <c r="ED328" s="87">
        <v>7196.0</v>
      </c>
      <c r="EE328" s="87">
        <v>186.0</v>
      </c>
      <c r="EF328" s="87">
        <v>13.0</v>
      </c>
      <c r="EG328" s="87">
        <v>301.0</v>
      </c>
      <c r="EH328" s="87">
        <v>56.0</v>
      </c>
      <c r="EI328" s="87">
        <v>590.0</v>
      </c>
      <c r="EJ328" s="87">
        <v>23889.0</v>
      </c>
      <c r="EK328" s="88"/>
      <c r="EL328" s="88"/>
      <c r="EM328" s="88"/>
      <c r="EN328" s="88"/>
      <c r="EO328" s="88"/>
      <c r="EP328" s="88"/>
      <c r="EQ328" s="90"/>
    </row>
    <row r="329" ht="12.0" customHeight="1">
      <c r="A329" s="89">
        <v>1.0637078E8</v>
      </c>
      <c r="B329" s="89" t="s">
        <v>2153</v>
      </c>
      <c r="C329" s="89" t="s">
        <v>2086</v>
      </c>
      <c r="D329" s="89" t="s">
        <v>2154</v>
      </c>
      <c r="E329" s="89" t="s">
        <v>2155</v>
      </c>
      <c r="F329" s="89" t="s">
        <v>2156</v>
      </c>
      <c r="G329" s="89" t="s">
        <v>2157</v>
      </c>
      <c r="H329" s="89" t="s">
        <v>494</v>
      </c>
      <c r="I329" s="89" t="s">
        <v>456</v>
      </c>
      <c r="J329" s="89" t="s">
        <v>448</v>
      </c>
      <c r="K329" s="89" t="s">
        <v>885</v>
      </c>
      <c r="L329" s="89" t="s">
        <v>2158</v>
      </c>
      <c r="M329" s="89" t="s">
        <v>2159</v>
      </c>
      <c r="N329" s="89" t="s">
        <v>441</v>
      </c>
      <c r="O329" s="87">
        <v>9338.0</v>
      </c>
      <c r="P329" s="87"/>
      <c r="Q329" s="87"/>
      <c r="R329" s="87"/>
      <c r="S329" s="87">
        <v>270.0</v>
      </c>
      <c r="T329" s="87"/>
      <c r="U329" s="87">
        <v>4883.0</v>
      </c>
      <c r="V329" s="87">
        <v>4725.0</v>
      </c>
      <c r="W329" s="87"/>
      <c r="X329" s="87">
        <v>798.0</v>
      </c>
      <c r="Y329" s="87">
        <v>63.0</v>
      </c>
      <c r="Z329" s="87">
        <v>612.0</v>
      </c>
      <c r="AA329" s="87">
        <v>815.0</v>
      </c>
      <c r="AB329" s="87">
        <v>713.0</v>
      </c>
      <c r="AC329" s="87">
        <v>1184.0</v>
      </c>
      <c r="AD329" s="87">
        <v>1711.0</v>
      </c>
      <c r="AE329" s="87">
        <v>1719.0</v>
      </c>
      <c r="AF329" s="87">
        <v>1993.0</v>
      </c>
      <c r="AG329" s="87"/>
      <c r="AH329" s="87">
        <v>2801.0</v>
      </c>
      <c r="AI329" s="87">
        <v>6375.0</v>
      </c>
      <c r="AJ329" s="87">
        <v>432.0</v>
      </c>
      <c r="AK329" s="87">
        <v>19.0</v>
      </c>
      <c r="AL329" s="87">
        <v>367.0</v>
      </c>
      <c r="AM329" s="87">
        <v>148.0</v>
      </c>
      <c r="AN329" s="87">
        <v>493.0</v>
      </c>
      <c r="AO329" s="87">
        <v>6230.0</v>
      </c>
      <c r="AP329" s="87">
        <v>449.0</v>
      </c>
      <c r="AQ329" s="87">
        <v>1825.0</v>
      </c>
      <c r="AR329" s="87">
        <v>77.0</v>
      </c>
      <c r="AS329" s="87">
        <v>7647.0</v>
      </c>
      <c r="AT329" s="87">
        <v>539.0</v>
      </c>
      <c r="AU329" s="87">
        <v>138.0</v>
      </c>
      <c r="AV329" s="87">
        <v>18.0</v>
      </c>
      <c r="AW329" s="87">
        <v>16.0</v>
      </c>
      <c r="AX329" s="87">
        <v>129.0</v>
      </c>
      <c r="AY329" s="87">
        <v>1.0</v>
      </c>
      <c r="AZ329" s="87"/>
      <c r="BA329" s="87">
        <v>422.0</v>
      </c>
      <c r="BB329" s="87">
        <v>10.0</v>
      </c>
      <c r="BC329" s="87">
        <v>688.0</v>
      </c>
      <c r="BD329" s="87"/>
      <c r="BE329" s="87">
        <v>7548.0</v>
      </c>
      <c r="BF329" s="87"/>
      <c r="BG329" s="87">
        <v>2060.0</v>
      </c>
      <c r="BH329" s="87"/>
      <c r="BI329" s="87">
        <v>55592.0</v>
      </c>
      <c r="BJ329" s="87">
        <v>429.0</v>
      </c>
      <c r="BK329" s="87">
        <v>7120.0</v>
      </c>
      <c r="BL329" s="87">
        <v>1369.0</v>
      </c>
      <c r="BM329" s="87">
        <v>688.0</v>
      </c>
      <c r="BN329" s="87">
        <v>2.0</v>
      </c>
      <c r="BO329" s="87"/>
      <c r="BP329" s="87">
        <v>5288.0</v>
      </c>
      <c r="BQ329" s="87">
        <v>171.0</v>
      </c>
      <c r="BR329" s="87">
        <v>167.0</v>
      </c>
      <c r="BS329" s="87">
        <v>1209.0</v>
      </c>
      <c r="BT329" s="87">
        <v>6.0</v>
      </c>
      <c r="BU329" s="87">
        <v>432.0</v>
      </c>
      <c r="BV329" s="87">
        <v>248.0</v>
      </c>
      <c r="BW329" s="87">
        <v>415.0</v>
      </c>
      <c r="BX329" s="87">
        <v>1319.0</v>
      </c>
      <c r="BY329" s="87"/>
      <c r="BZ329" s="87">
        <v>7.0</v>
      </c>
      <c r="CA329" s="87">
        <v>194.0</v>
      </c>
      <c r="CB329" s="87">
        <v>13.0</v>
      </c>
      <c r="CC329" s="87">
        <v>76.0</v>
      </c>
      <c r="CD329" s="87">
        <v>63.0</v>
      </c>
      <c r="CE329" s="87"/>
      <c r="CF329" s="87"/>
      <c r="CG329" s="87">
        <v>1008.0</v>
      </c>
      <c r="CH329" s="87">
        <v>8600.0</v>
      </c>
      <c r="CI329" s="87"/>
      <c r="CJ329" s="87">
        <v>4622.0</v>
      </c>
      <c r="CK329" s="87">
        <v>2711.0</v>
      </c>
      <c r="CL329" s="87"/>
      <c r="CM329" s="87">
        <v>34.0</v>
      </c>
      <c r="CN329" s="87"/>
      <c r="CO329" s="87">
        <v>789.0</v>
      </c>
      <c r="CP329" s="87"/>
      <c r="CQ329" s="87">
        <v>107.0</v>
      </c>
      <c r="CR329" s="87">
        <v>1345.0</v>
      </c>
      <c r="CS329" s="87"/>
      <c r="CT329" s="87">
        <v>1536.0</v>
      </c>
      <c r="CU329" s="87">
        <v>247.0</v>
      </c>
      <c r="CV329" s="87">
        <v>62.0</v>
      </c>
      <c r="CW329" s="87">
        <v>409.0</v>
      </c>
      <c r="CX329" s="87">
        <v>124.0</v>
      </c>
      <c r="CY329" s="87">
        <v>260.0</v>
      </c>
      <c r="CZ329" s="87">
        <v>7.0</v>
      </c>
      <c r="DA329" s="87">
        <v>6.0</v>
      </c>
      <c r="DB329" s="87">
        <v>1793.0</v>
      </c>
      <c r="DC329" s="87">
        <v>624.0</v>
      </c>
      <c r="DD329" s="87">
        <v>873.0</v>
      </c>
      <c r="DE329" s="87">
        <v>202.0</v>
      </c>
      <c r="DF329" s="87">
        <v>415.0</v>
      </c>
      <c r="DG329" s="87">
        <v>421.0</v>
      </c>
      <c r="DH329" s="87">
        <v>730.0</v>
      </c>
      <c r="DI329" s="87">
        <v>794.0</v>
      </c>
      <c r="DJ329" s="87">
        <v>9.0</v>
      </c>
      <c r="DK329" s="87">
        <v>124.0</v>
      </c>
      <c r="DL329" s="87">
        <v>786.0</v>
      </c>
      <c r="DM329" s="87">
        <v>185.0</v>
      </c>
      <c r="DN329" s="87">
        <v>1.0</v>
      </c>
      <c r="DO329" s="87">
        <v>1269.0</v>
      </c>
      <c r="DP329" s="87">
        <v>667.0</v>
      </c>
      <c r="DQ329" s="87">
        <v>1305.0</v>
      </c>
      <c r="DR329" s="87">
        <v>733.0</v>
      </c>
      <c r="DS329" s="87">
        <v>4.0</v>
      </c>
      <c r="DT329" s="87">
        <v>4.0</v>
      </c>
      <c r="DU329" s="87"/>
      <c r="DV329" s="87">
        <v>83.0</v>
      </c>
      <c r="DW329" s="87">
        <v>30.0</v>
      </c>
      <c r="DX329" s="87">
        <v>135.0</v>
      </c>
      <c r="DY329" s="87">
        <v>763.0</v>
      </c>
      <c r="DZ329" s="87">
        <v>115.0</v>
      </c>
      <c r="EA329" s="87">
        <v>17.0</v>
      </c>
      <c r="EB329" s="87">
        <v>182.0</v>
      </c>
      <c r="EC329" s="87">
        <v>185.0</v>
      </c>
      <c r="ED329" s="87">
        <v>3726.0</v>
      </c>
      <c r="EE329" s="87">
        <v>390.0</v>
      </c>
      <c r="EF329" s="87"/>
      <c r="EG329" s="87">
        <v>215.0</v>
      </c>
      <c r="EH329" s="87">
        <v>2.0</v>
      </c>
      <c r="EI329" s="87">
        <v>190.0</v>
      </c>
      <c r="EJ329" s="87">
        <v>9201.0</v>
      </c>
      <c r="EK329" s="88"/>
      <c r="EL329" s="88"/>
      <c r="EM329" s="88"/>
      <c r="EN329" s="88"/>
      <c r="EO329" s="88"/>
      <c r="EP329" s="88"/>
      <c r="EQ329" s="90"/>
    </row>
    <row r="330" ht="12.0" customHeight="1">
      <c r="A330" s="89">
        <v>1.06370782E8</v>
      </c>
      <c r="B330" s="89" t="s">
        <v>2160</v>
      </c>
      <c r="C330" s="89" t="s">
        <v>2086</v>
      </c>
      <c r="D330" s="89" t="s">
        <v>2161</v>
      </c>
      <c r="E330" s="89" t="s">
        <v>2162</v>
      </c>
      <c r="F330" s="89" t="s">
        <v>2086</v>
      </c>
      <c r="G330" s="89" t="s">
        <v>2134</v>
      </c>
      <c r="H330" s="89" t="s">
        <v>1256</v>
      </c>
      <c r="I330" s="89" t="s">
        <v>456</v>
      </c>
      <c r="J330" s="89" t="s">
        <v>448</v>
      </c>
      <c r="K330" s="89" t="s">
        <v>1094</v>
      </c>
      <c r="L330" s="89" t="s">
        <v>2109</v>
      </c>
      <c r="M330" s="89" t="s">
        <v>2103</v>
      </c>
      <c r="N330" s="89" t="s">
        <v>441</v>
      </c>
      <c r="O330" s="87">
        <v>38966.0</v>
      </c>
      <c r="P330" s="87"/>
      <c r="Q330" s="87">
        <v>797.0</v>
      </c>
      <c r="R330" s="87"/>
      <c r="S330" s="87"/>
      <c r="T330" s="87"/>
      <c r="U330" s="87">
        <v>18722.0</v>
      </c>
      <c r="V330" s="87">
        <v>21025.0</v>
      </c>
      <c r="W330" s="87">
        <v>16.0</v>
      </c>
      <c r="X330" s="87">
        <v>4954.0</v>
      </c>
      <c r="Y330" s="87">
        <v>415.0</v>
      </c>
      <c r="Z330" s="87">
        <v>4118.0</v>
      </c>
      <c r="AA330" s="87">
        <v>6231.0</v>
      </c>
      <c r="AB330" s="87">
        <v>3833.0</v>
      </c>
      <c r="AC330" s="87">
        <v>5229.0</v>
      </c>
      <c r="AD330" s="87">
        <v>6738.0</v>
      </c>
      <c r="AE330" s="87">
        <v>5150.0</v>
      </c>
      <c r="AF330" s="87">
        <v>3090.0</v>
      </c>
      <c r="AG330" s="87">
        <v>5.0</v>
      </c>
      <c r="AH330" s="87">
        <v>12071.0</v>
      </c>
      <c r="AI330" s="87">
        <v>27193.0</v>
      </c>
      <c r="AJ330" s="87">
        <v>499.0</v>
      </c>
      <c r="AK330" s="87">
        <v>152.0</v>
      </c>
      <c r="AL330" s="87">
        <v>2918.0</v>
      </c>
      <c r="AM330" s="87">
        <v>211.0</v>
      </c>
      <c r="AN330" s="87">
        <v>3006.0</v>
      </c>
      <c r="AO330" s="87">
        <v>19980.0</v>
      </c>
      <c r="AP330" s="87">
        <v>834.0</v>
      </c>
      <c r="AQ330" s="87">
        <v>11075.0</v>
      </c>
      <c r="AR330" s="87">
        <v>1587.0</v>
      </c>
      <c r="AS330" s="87">
        <v>30005.0</v>
      </c>
      <c r="AT330" s="87">
        <v>1485.0</v>
      </c>
      <c r="AU330" s="87">
        <v>2039.0</v>
      </c>
      <c r="AV330" s="87">
        <v>747.0</v>
      </c>
      <c r="AW330" s="87">
        <v>67.0</v>
      </c>
      <c r="AX330" s="87">
        <v>261.0</v>
      </c>
      <c r="AY330" s="87">
        <v>13.0</v>
      </c>
      <c r="AZ330" s="87">
        <v>12.0</v>
      </c>
      <c r="BA330" s="87">
        <v>277.0</v>
      </c>
      <c r="BB330" s="87"/>
      <c r="BC330" s="87">
        <v>4853.0</v>
      </c>
      <c r="BD330" s="87">
        <v>4.0</v>
      </c>
      <c r="BE330" s="87">
        <v>20035.0</v>
      </c>
      <c r="BF330" s="87">
        <v>253.0</v>
      </c>
      <c r="BG330" s="87">
        <v>19475.0</v>
      </c>
      <c r="BH330" s="87"/>
      <c r="BI330" s="87">
        <v>244041.0</v>
      </c>
      <c r="BJ330" s="87">
        <v>20028.0</v>
      </c>
      <c r="BK330" s="87">
        <v>5570.0</v>
      </c>
      <c r="BL330" s="87">
        <v>7339.0</v>
      </c>
      <c r="BM330" s="87">
        <v>4853.0</v>
      </c>
      <c r="BN330" s="87">
        <v>1973.0</v>
      </c>
      <c r="BO330" s="87"/>
      <c r="BP330" s="87">
        <v>27552.0</v>
      </c>
      <c r="BQ330" s="87">
        <v>501.0</v>
      </c>
      <c r="BR330" s="87">
        <v>285.0</v>
      </c>
      <c r="BS330" s="87">
        <v>2688.0</v>
      </c>
      <c r="BT330" s="87">
        <v>131.0</v>
      </c>
      <c r="BU330" s="87">
        <v>279.0</v>
      </c>
      <c r="BV330" s="87">
        <v>950.0</v>
      </c>
      <c r="BW330" s="87">
        <v>660.0</v>
      </c>
      <c r="BX330" s="87">
        <v>5727.0</v>
      </c>
      <c r="BY330" s="87"/>
      <c r="BZ330" s="87">
        <v>34.0</v>
      </c>
      <c r="CA330" s="87">
        <v>737.0</v>
      </c>
      <c r="CB330" s="87">
        <v>168.0</v>
      </c>
      <c r="CC330" s="87"/>
      <c r="CD330" s="87">
        <v>51.0</v>
      </c>
      <c r="CE330" s="87"/>
      <c r="CF330" s="87"/>
      <c r="CG330" s="87">
        <v>1931.0</v>
      </c>
      <c r="CH330" s="87">
        <v>37832.0</v>
      </c>
      <c r="CI330" s="87"/>
      <c r="CJ330" s="87">
        <v>11606.0</v>
      </c>
      <c r="CK330" s="87">
        <v>13222.0</v>
      </c>
      <c r="CL330" s="87">
        <v>8684.0</v>
      </c>
      <c r="CM330" s="87">
        <v>130.0</v>
      </c>
      <c r="CN330" s="87">
        <v>2.0</v>
      </c>
      <c r="CO330" s="87">
        <v>2821.0</v>
      </c>
      <c r="CP330" s="87">
        <v>6.0</v>
      </c>
      <c r="CQ330" s="87">
        <v>286.0</v>
      </c>
      <c r="CR330" s="87">
        <v>3006.0</v>
      </c>
      <c r="CS330" s="87"/>
      <c r="CT330" s="87">
        <v>3101.0</v>
      </c>
      <c r="CU330" s="87">
        <v>3801.0</v>
      </c>
      <c r="CV330" s="87">
        <v>337.0</v>
      </c>
      <c r="CW330" s="87">
        <v>1104.0</v>
      </c>
      <c r="CX330" s="87">
        <v>1332.0</v>
      </c>
      <c r="CY330" s="87">
        <v>931.0</v>
      </c>
      <c r="CZ330" s="87">
        <v>65.0</v>
      </c>
      <c r="DA330" s="87">
        <v>34.0</v>
      </c>
      <c r="DB330" s="87">
        <v>4428.0</v>
      </c>
      <c r="DC330" s="87">
        <v>1152.0</v>
      </c>
      <c r="DD330" s="87">
        <v>3289.0</v>
      </c>
      <c r="DE330" s="87">
        <v>469.0</v>
      </c>
      <c r="DF330" s="87">
        <v>1678.0</v>
      </c>
      <c r="DG330" s="87">
        <v>1370.0</v>
      </c>
      <c r="DH330" s="87">
        <v>5328.0</v>
      </c>
      <c r="DI330" s="87">
        <v>4893.0</v>
      </c>
      <c r="DJ330" s="87">
        <v>138.0</v>
      </c>
      <c r="DK330" s="87">
        <v>383.0</v>
      </c>
      <c r="DL330" s="87">
        <v>5289.0</v>
      </c>
      <c r="DM330" s="87">
        <v>632.0</v>
      </c>
      <c r="DN330" s="87">
        <v>9.0</v>
      </c>
      <c r="DO330" s="87">
        <v>6227.0</v>
      </c>
      <c r="DP330" s="87">
        <v>4825.0</v>
      </c>
      <c r="DQ330" s="87">
        <v>4108.0</v>
      </c>
      <c r="DR330" s="87">
        <v>3932.0</v>
      </c>
      <c r="DS330" s="87">
        <v>66.0</v>
      </c>
      <c r="DT330" s="87">
        <v>111.0</v>
      </c>
      <c r="DU330" s="87">
        <v>54.0</v>
      </c>
      <c r="DV330" s="87">
        <v>557.0</v>
      </c>
      <c r="DW330" s="87">
        <v>452.0</v>
      </c>
      <c r="DX330" s="87">
        <v>1412.0</v>
      </c>
      <c r="DY330" s="87">
        <v>3200.0</v>
      </c>
      <c r="DZ330" s="87">
        <v>1174.0</v>
      </c>
      <c r="EA330" s="87">
        <v>211.0</v>
      </c>
      <c r="EB330" s="87">
        <v>917.0</v>
      </c>
      <c r="EC330" s="87">
        <v>914.0</v>
      </c>
      <c r="ED330" s="87">
        <v>10286.0</v>
      </c>
      <c r="EE330" s="87">
        <v>1317.0</v>
      </c>
      <c r="EF330" s="87"/>
      <c r="EG330" s="87">
        <v>2408.0</v>
      </c>
      <c r="EH330" s="87">
        <v>82.0</v>
      </c>
      <c r="EI330" s="87">
        <v>1093.0</v>
      </c>
      <c r="EJ330" s="87">
        <v>36180.0</v>
      </c>
      <c r="EK330" s="88"/>
      <c r="EL330" s="88"/>
      <c r="EM330" s="88"/>
      <c r="EN330" s="88"/>
      <c r="EO330" s="88"/>
      <c r="EP330" s="88"/>
      <c r="EQ330" s="90"/>
    </row>
    <row r="331" ht="12.0" customHeight="1">
      <c r="A331" s="89">
        <v>1.06370875E8</v>
      </c>
      <c r="B331" s="89" t="s">
        <v>2163</v>
      </c>
      <c r="C331" s="89" t="s">
        <v>2086</v>
      </c>
      <c r="D331" s="89" t="s">
        <v>2164</v>
      </c>
      <c r="E331" s="89" t="s">
        <v>2165</v>
      </c>
      <c r="F331" s="89" t="s">
        <v>2166</v>
      </c>
      <c r="G331" s="89" t="s">
        <v>2167</v>
      </c>
      <c r="H331" s="89" t="s">
        <v>447</v>
      </c>
      <c r="I331" s="89" t="s">
        <v>456</v>
      </c>
      <c r="J331" s="89" t="s">
        <v>448</v>
      </c>
      <c r="K331" s="89" t="s">
        <v>748</v>
      </c>
      <c r="L331" s="89" t="s">
        <v>2097</v>
      </c>
      <c r="M331" s="89" t="s">
        <v>2168</v>
      </c>
      <c r="N331" s="89" t="s">
        <v>441</v>
      </c>
      <c r="O331" s="87">
        <v>19975.0</v>
      </c>
      <c r="P331" s="87">
        <v>534.0</v>
      </c>
      <c r="Q331" s="87"/>
      <c r="R331" s="87"/>
      <c r="S331" s="87"/>
      <c r="T331" s="87"/>
      <c r="U331" s="87">
        <v>8916.0</v>
      </c>
      <c r="V331" s="87">
        <v>11593.0</v>
      </c>
      <c r="W331" s="87"/>
      <c r="X331" s="87">
        <v>2696.0</v>
      </c>
      <c r="Y331" s="87">
        <v>143.0</v>
      </c>
      <c r="Z331" s="87">
        <v>2074.0</v>
      </c>
      <c r="AA331" s="87">
        <v>2416.0</v>
      </c>
      <c r="AB331" s="87">
        <v>1498.0</v>
      </c>
      <c r="AC331" s="87">
        <v>2215.0</v>
      </c>
      <c r="AD331" s="87">
        <v>3138.0</v>
      </c>
      <c r="AE331" s="87">
        <v>2971.0</v>
      </c>
      <c r="AF331" s="87">
        <v>3358.0</v>
      </c>
      <c r="AG331" s="87"/>
      <c r="AH331" s="87">
        <v>13350.0</v>
      </c>
      <c r="AI331" s="87">
        <v>7025.0</v>
      </c>
      <c r="AJ331" s="87">
        <v>134.0</v>
      </c>
      <c r="AK331" s="87">
        <v>34.0</v>
      </c>
      <c r="AL331" s="87">
        <v>1592.0</v>
      </c>
      <c r="AM331" s="87">
        <v>106.0</v>
      </c>
      <c r="AN331" s="87">
        <v>958.0</v>
      </c>
      <c r="AO331" s="87">
        <v>6971.0</v>
      </c>
      <c r="AP331" s="87">
        <v>239.0</v>
      </c>
      <c r="AQ331" s="87">
        <v>10609.0</v>
      </c>
      <c r="AR331" s="87"/>
      <c r="AS331" s="87">
        <v>15406.0</v>
      </c>
      <c r="AT331" s="87">
        <v>808.0</v>
      </c>
      <c r="AU331" s="87">
        <v>391.0</v>
      </c>
      <c r="AV331" s="87">
        <v>423.0</v>
      </c>
      <c r="AW331" s="87">
        <v>77.0</v>
      </c>
      <c r="AX331" s="87">
        <v>322.0</v>
      </c>
      <c r="AY331" s="87">
        <v>47.0</v>
      </c>
      <c r="AZ331" s="87">
        <v>10.0</v>
      </c>
      <c r="BA331" s="87">
        <v>197.0</v>
      </c>
      <c r="BB331" s="87">
        <v>132.0</v>
      </c>
      <c r="BC331" s="87">
        <v>2696.0</v>
      </c>
      <c r="BD331" s="87"/>
      <c r="BE331" s="87">
        <v>13046.0</v>
      </c>
      <c r="BF331" s="87">
        <v>111.0</v>
      </c>
      <c r="BG331" s="87">
        <v>7352.0</v>
      </c>
      <c r="BH331" s="87"/>
      <c r="BI331" s="87">
        <v>112339.0</v>
      </c>
      <c r="BJ331" s="87">
        <v>1283.0</v>
      </c>
      <c r="BK331" s="87">
        <v>14399.0</v>
      </c>
      <c r="BL331" s="87">
        <v>2129.0</v>
      </c>
      <c r="BM331" s="87">
        <v>2696.0</v>
      </c>
      <c r="BN331" s="87"/>
      <c r="BO331" s="87">
        <v>2.0</v>
      </c>
      <c r="BP331" s="87">
        <v>13994.0</v>
      </c>
      <c r="BQ331" s="87">
        <v>586.0</v>
      </c>
      <c r="BR331" s="87">
        <v>26.0</v>
      </c>
      <c r="BS331" s="87">
        <v>1949.0</v>
      </c>
      <c r="BT331" s="87">
        <v>90.0</v>
      </c>
      <c r="BU331" s="87">
        <v>118.0</v>
      </c>
      <c r="BV331" s="87">
        <v>534.0</v>
      </c>
      <c r="BW331" s="87">
        <v>535.0</v>
      </c>
      <c r="BX331" s="87">
        <v>2257.0</v>
      </c>
      <c r="BY331" s="87"/>
      <c r="BZ331" s="87">
        <v>10.0</v>
      </c>
      <c r="CA331" s="87">
        <v>390.0</v>
      </c>
      <c r="CB331" s="87">
        <v>14.0</v>
      </c>
      <c r="CC331" s="87"/>
      <c r="CD331" s="87">
        <v>5.0</v>
      </c>
      <c r="CE331" s="87"/>
      <c r="CF331" s="87">
        <v>1.0</v>
      </c>
      <c r="CG331" s="87">
        <v>1541.0</v>
      </c>
      <c r="CH331" s="87">
        <v>18968.0</v>
      </c>
      <c r="CI331" s="87"/>
      <c r="CJ331" s="87">
        <v>7343.0</v>
      </c>
      <c r="CK331" s="87">
        <v>8003.0</v>
      </c>
      <c r="CL331" s="87">
        <v>2801.0</v>
      </c>
      <c r="CM331" s="87">
        <v>58.0</v>
      </c>
      <c r="CN331" s="87">
        <v>2.0</v>
      </c>
      <c r="CO331" s="87">
        <v>786.0</v>
      </c>
      <c r="CP331" s="87"/>
      <c r="CQ331" s="87">
        <v>1515.0</v>
      </c>
      <c r="CR331" s="87">
        <v>1.0</v>
      </c>
      <c r="CS331" s="87"/>
      <c r="CT331" s="87">
        <v>2448.0</v>
      </c>
      <c r="CU331" s="87">
        <v>649.0</v>
      </c>
      <c r="CV331" s="87">
        <v>137.0</v>
      </c>
      <c r="CW331" s="87">
        <v>1009.0</v>
      </c>
      <c r="CX331" s="87">
        <v>185.0</v>
      </c>
      <c r="CY331" s="87">
        <v>504.0</v>
      </c>
      <c r="CZ331" s="87">
        <v>10.0</v>
      </c>
      <c r="DA331" s="87">
        <v>23.0</v>
      </c>
      <c r="DB331" s="87">
        <v>3259.0</v>
      </c>
      <c r="DC331" s="87">
        <v>963.0</v>
      </c>
      <c r="DD331" s="87">
        <v>2096.0</v>
      </c>
      <c r="DE331" s="87">
        <v>287.0</v>
      </c>
      <c r="DF331" s="87">
        <v>390.0</v>
      </c>
      <c r="DG331" s="87">
        <v>932.0</v>
      </c>
      <c r="DH331" s="87">
        <v>2984.0</v>
      </c>
      <c r="DI331" s="87">
        <v>2697.0</v>
      </c>
      <c r="DJ331" s="87">
        <v>20.0</v>
      </c>
      <c r="DK331" s="87">
        <v>457.0</v>
      </c>
      <c r="DL331" s="87">
        <v>1309.0</v>
      </c>
      <c r="DM331" s="87">
        <v>150.0</v>
      </c>
      <c r="DN331" s="87"/>
      <c r="DO331" s="87">
        <v>3206.0</v>
      </c>
      <c r="DP331" s="87">
        <v>2669.0</v>
      </c>
      <c r="DQ331" s="87">
        <v>2174.0</v>
      </c>
      <c r="DR331" s="87">
        <v>1684.0</v>
      </c>
      <c r="DS331" s="87">
        <v>6.0</v>
      </c>
      <c r="DT331" s="87">
        <v>8.0</v>
      </c>
      <c r="DU331" s="87">
        <v>5.0</v>
      </c>
      <c r="DV331" s="87">
        <v>220.0</v>
      </c>
      <c r="DW331" s="87">
        <v>57.0</v>
      </c>
      <c r="DX331" s="87">
        <v>248.0</v>
      </c>
      <c r="DY331" s="87">
        <v>773.0</v>
      </c>
      <c r="DZ331" s="87">
        <v>156.0</v>
      </c>
      <c r="EA331" s="87">
        <v>29.0</v>
      </c>
      <c r="EB331" s="87">
        <v>331.0</v>
      </c>
      <c r="EC331" s="87">
        <v>197.0</v>
      </c>
      <c r="ED331" s="87">
        <v>7899.0</v>
      </c>
      <c r="EE331" s="87">
        <v>847.0</v>
      </c>
      <c r="EF331" s="87">
        <v>182.0</v>
      </c>
      <c r="EG331" s="87">
        <v>340.0</v>
      </c>
      <c r="EH331" s="87">
        <v>881.0</v>
      </c>
      <c r="EI331" s="87">
        <v>280.0</v>
      </c>
      <c r="EJ331" s="87">
        <v>18826.0</v>
      </c>
      <c r="EK331" s="88"/>
      <c r="EL331" s="88"/>
      <c r="EM331" s="88"/>
      <c r="EN331" s="88"/>
      <c r="EO331" s="88"/>
      <c r="EP331" s="88"/>
      <c r="EQ331" s="90"/>
    </row>
    <row r="332" ht="12.0" customHeight="1">
      <c r="A332" s="89">
        <v>1.06370977E8</v>
      </c>
      <c r="B332" s="89" t="s">
        <v>2169</v>
      </c>
      <c r="C332" s="89" t="s">
        <v>2086</v>
      </c>
      <c r="D332" s="89" t="s">
        <v>2170</v>
      </c>
      <c r="E332" s="89" t="s">
        <v>2171</v>
      </c>
      <c r="F332" s="89" t="s">
        <v>2172</v>
      </c>
      <c r="G332" s="89" t="s">
        <v>2173</v>
      </c>
      <c r="H332" s="89" t="s">
        <v>494</v>
      </c>
      <c r="I332" s="89" t="s">
        <v>456</v>
      </c>
      <c r="J332" s="89" t="s">
        <v>469</v>
      </c>
      <c r="K332" s="89" t="s">
        <v>1331</v>
      </c>
      <c r="L332" s="89" t="s">
        <v>2091</v>
      </c>
      <c r="M332" s="89" t="s">
        <v>2174</v>
      </c>
      <c r="N332" s="89" t="s">
        <v>441</v>
      </c>
      <c r="O332" s="87">
        <v>5390.0</v>
      </c>
      <c r="P332" s="87">
        <v>656.0</v>
      </c>
      <c r="Q332" s="87">
        <v>680.0</v>
      </c>
      <c r="R332" s="87"/>
      <c r="S332" s="87"/>
      <c r="T332" s="87"/>
      <c r="U332" s="87">
        <v>2819.0</v>
      </c>
      <c r="V332" s="87">
        <v>3907.0</v>
      </c>
      <c r="W332" s="87"/>
      <c r="X332" s="87">
        <v>788.0</v>
      </c>
      <c r="Y332" s="87">
        <v>63.0</v>
      </c>
      <c r="Z332" s="87">
        <v>550.0</v>
      </c>
      <c r="AA332" s="87">
        <v>861.0</v>
      </c>
      <c r="AB332" s="87">
        <v>428.0</v>
      </c>
      <c r="AC332" s="87">
        <v>535.0</v>
      </c>
      <c r="AD332" s="87">
        <v>867.0</v>
      </c>
      <c r="AE332" s="87">
        <v>1063.0</v>
      </c>
      <c r="AF332" s="87">
        <v>1571.0</v>
      </c>
      <c r="AG332" s="87"/>
      <c r="AH332" s="87">
        <v>956.0</v>
      </c>
      <c r="AI332" s="87">
        <v>5546.0</v>
      </c>
      <c r="AJ332" s="87">
        <v>224.0</v>
      </c>
      <c r="AK332" s="87">
        <v>38.0</v>
      </c>
      <c r="AL332" s="87">
        <v>586.0</v>
      </c>
      <c r="AM332" s="87">
        <v>45.0</v>
      </c>
      <c r="AN332" s="87">
        <v>176.0</v>
      </c>
      <c r="AO332" s="87">
        <v>4623.0</v>
      </c>
      <c r="AP332" s="87">
        <v>224.0</v>
      </c>
      <c r="AQ332" s="87">
        <v>927.0</v>
      </c>
      <c r="AR332" s="87">
        <v>107.0</v>
      </c>
      <c r="AS332" s="87">
        <v>4929.0</v>
      </c>
      <c r="AT332" s="87">
        <v>63.0</v>
      </c>
      <c r="AU332" s="87">
        <v>328.0</v>
      </c>
      <c r="AV332" s="87">
        <v>175.0</v>
      </c>
      <c r="AW332" s="87">
        <v>16.0</v>
      </c>
      <c r="AX332" s="87">
        <v>423.0</v>
      </c>
      <c r="AY332" s="87"/>
      <c r="AZ332" s="87">
        <v>3.0</v>
      </c>
      <c r="BA332" s="87"/>
      <c r="BB332" s="87">
        <v>1.0</v>
      </c>
      <c r="BC332" s="87">
        <v>788.0</v>
      </c>
      <c r="BD332" s="87"/>
      <c r="BE332" s="87">
        <v>3408.0</v>
      </c>
      <c r="BF332" s="87">
        <v>49.0</v>
      </c>
      <c r="BG332" s="87">
        <v>3269.0</v>
      </c>
      <c r="BH332" s="87"/>
      <c r="BI332" s="87">
        <v>80315.0</v>
      </c>
      <c r="BJ332" s="87">
        <v>3631.0</v>
      </c>
      <c r="BK332" s="87">
        <v>1349.0</v>
      </c>
      <c r="BL332" s="87">
        <v>953.0</v>
      </c>
      <c r="BM332" s="87">
        <v>788.0</v>
      </c>
      <c r="BN332" s="87">
        <v>5.0</v>
      </c>
      <c r="BO332" s="87"/>
      <c r="BP332" s="87">
        <v>4161.0</v>
      </c>
      <c r="BQ332" s="87">
        <v>353.0</v>
      </c>
      <c r="BR332" s="87">
        <v>56.0</v>
      </c>
      <c r="BS332" s="87">
        <v>803.0</v>
      </c>
      <c r="BT332" s="87">
        <v>59.0</v>
      </c>
      <c r="BU332" s="87"/>
      <c r="BV332" s="87">
        <v>138.0</v>
      </c>
      <c r="BW332" s="87">
        <v>258.0</v>
      </c>
      <c r="BX332" s="87">
        <v>721.0</v>
      </c>
      <c r="BY332" s="87"/>
      <c r="BZ332" s="87">
        <v>20.0</v>
      </c>
      <c r="CA332" s="87">
        <v>129.0</v>
      </c>
      <c r="CB332" s="87">
        <v>23.0</v>
      </c>
      <c r="CC332" s="87"/>
      <c r="CD332" s="87">
        <v>5.0</v>
      </c>
      <c r="CE332" s="87"/>
      <c r="CF332" s="87"/>
      <c r="CG332" s="87">
        <v>565.0</v>
      </c>
      <c r="CH332" s="87">
        <v>6161.0</v>
      </c>
      <c r="CI332" s="87"/>
      <c r="CJ332" s="87">
        <v>3139.0</v>
      </c>
      <c r="CK332" s="87">
        <v>1287.0</v>
      </c>
      <c r="CL332" s="87">
        <v>1882.0</v>
      </c>
      <c r="CM332" s="87">
        <v>16.0</v>
      </c>
      <c r="CN332" s="87">
        <v>1.0</v>
      </c>
      <c r="CO332" s="87">
        <v>289.0</v>
      </c>
      <c r="CP332" s="87"/>
      <c r="CQ332" s="87">
        <v>112.0</v>
      </c>
      <c r="CR332" s="87"/>
      <c r="CS332" s="87"/>
      <c r="CT332" s="87">
        <v>867.0</v>
      </c>
      <c r="CU332" s="87">
        <v>130.0</v>
      </c>
      <c r="CV332" s="87">
        <v>39.0</v>
      </c>
      <c r="CW332" s="87">
        <v>275.0</v>
      </c>
      <c r="CX332" s="87">
        <v>722.0</v>
      </c>
      <c r="CY332" s="87">
        <v>179.0</v>
      </c>
      <c r="CZ332" s="87">
        <v>4.0</v>
      </c>
      <c r="DA332" s="87">
        <v>3.0</v>
      </c>
      <c r="DB332" s="87">
        <v>590.0</v>
      </c>
      <c r="DC332" s="87">
        <v>438.0</v>
      </c>
      <c r="DD332" s="87">
        <v>692.0</v>
      </c>
      <c r="DE332" s="87">
        <v>110.0</v>
      </c>
      <c r="DF332" s="87">
        <v>141.0</v>
      </c>
      <c r="DG332" s="87">
        <v>286.0</v>
      </c>
      <c r="DH332" s="87">
        <v>821.0</v>
      </c>
      <c r="DI332" s="87">
        <v>788.0</v>
      </c>
      <c r="DJ332" s="87">
        <v>4.0</v>
      </c>
      <c r="DK332" s="87">
        <v>63.0</v>
      </c>
      <c r="DL332" s="87">
        <v>476.0</v>
      </c>
      <c r="DM332" s="87">
        <v>98.0</v>
      </c>
      <c r="DN332" s="87"/>
      <c r="DO332" s="87">
        <v>907.0</v>
      </c>
      <c r="DP332" s="87">
        <v>779.0</v>
      </c>
      <c r="DQ332" s="87">
        <v>171.0</v>
      </c>
      <c r="DR332" s="87">
        <v>559.0</v>
      </c>
      <c r="DS332" s="87">
        <v>2.0</v>
      </c>
      <c r="DT332" s="87">
        <v>8.0</v>
      </c>
      <c r="DU332" s="87">
        <v>2.0</v>
      </c>
      <c r="DV332" s="87">
        <v>68.0</v>
      </c>
      <c r="DW332" s="87">
        <v>4.0</v>
      </c>
      <c r="DX332" s="87">
        <v>61.0</v>
      </c>
      <c r="DY332" s="87">
        <v>240.0</v>
      </c>
      <c r="DZ332" s="87">
        <v>27.0</v>
      </c>
      <c r="EA332" s="87">
        <v>14.0</v>
      </c>
      <c r="EB332" s="87">
        <v>90.0</v>
      </c>
      <c r="EC332" s="87">
        <v>93.0</v>
      </c>
      <c r="ED332" s="87">
        <v>3606.0</v>
      </c>
      <c r="EE332" s="87">
        <v>95.0</v>
      </c>
      <c r="EF332" s="87">
        <v>5.0</v>
      </c>
      <c r="EG332" s="87">
        <v>146.0</v>
      </c>
      <c r="EH332" s="87"/>
      <c r="EI332" s="87">
        <v>87.0</v>
      </c>
      <c r="EJ332" s="87">
        <v>6488.0</v>
      </c>
      <c r="EK332" s="88"/>
      <c r="EL332" s="88"/>
      <c r="EM332" s="88"/>
      <c r="EN332" s="88"/>
      <c r="EO332" s="88"/>
      <c r="EP332" s="88"/>
      <c r="EQ332" s="90"/>
    </row>
    <row r="333" ht="12.0" customHeight="1">
      <c r="A333" s="89">
        <v>1.06371256E8</v>
      </c>
      <c r="B333" s="89" t="s">
        <v>2175</v>
      </c>
      <c r="C333" s="89" t="s">
        <v>2086</v>
      </c>
      <c r="D333" s="89" t="s">
        <v>2176</v>
      </c>
      <c r="E333" s="89" t="s">
        <v>2177</v>
      </c>
      <c r="F333" s="89" t="s">
        <v>2150</v>
      </c>
      <c r="G333" s="89" t="s">
        <v>2151</v>
      </c>
      <c r="H333" s="89" t="s">
        <v>447</v>
      </c>
      <c r="I333" s="89" t="s">
        <v>456</v>
      </c>
      <c r="J333" s="89" t="s">
        <v>457</v>
      </c>
      <c r="K333" s="89" t="s">
        <v>1094</v>
      </c>
      <c r="L333" s="89" t="s">
        <v>2109</v>
      </c>
      <c r="M333" s="89" t="s">
        <v>2152</v>
      </c>
      <c r="N333" s="89" t="s">
        <v>441</v>
      </c>
      <c r="O333" s="87">
        <v>7093.0</v>
      </c>
      <c r="P333" s="87">
        <v>1.0</v>
      </c>
      <c r="Q333" s="87"/>
      <c r="R333" s="87"/>
      <c r="S333" s="87"/>
      <c r="T333" s="87"/>
      <c r="U333" s="87">
        <v>3260.0</v>
      </c>
      <c r="V333" s="87">
        <v>3831.0</v>
      </c>
      <c r="W333" s="87">
        <v>3.0</v>
      </c>
      <c r="X333" s="87"/>
      <c r="Y333" s="87">
        <v>36.0</v>
      </c>
      <c r="Z333" s="87">
        <v>182.0</v>
      </c>
      <c r="AA333" s="87">
        <v>385.0</v>
      </c>
      <c r="AB333" s="87">
        <v>535.0</v>
      </c>
      <c r="AC333" s="87">
        <v>913.0</v>
      </c>
      <c r="AD333" s="87">
        <v>1623.0</v>
      </c>
      <c r="AE333" s="87">
        <v>1963.0</v>
      </c>
      <c r="AF333" s="87">
        <v>1457.0</v>
      </c>
      <c r="AG333" s="87"/>
      <c r="AH333" s="87">
        <v>967.0</v>
      </c>
      <c r="AI333" s="87">
        <v>6011.0</v>
      </c>
      <c r="AJ333" s="87">
        <v>116.0</v>
      </c>
      <c r="AK333" s="87">
        <v>14.0</v>
      </c>
      <c r="AL333" s="87">
        <v>483.0</v>
      </c>
      <c r="AM333" s="87">
        <v>45.0</v>
      </c>
      <c r="AN333" s="87">
        <v>192.0</v>
      </c>
      <c r="AO333" s="87">
        <v>5685.0</v>
      </c>
      <c r="AP333" s="87">
        <v>124.0</v>
      </c>
      <c r="AQ333" s="87">
        <v>477.0</v>
      </c>
      <c r="AR333" s="87">
        <v>74.0</v>
      </c>
      <c r="AS333" s="87">
        <v>2770.0</v>
      </c>
      <c r="AT333" s="87">
        <v>3270.0</v>
      </c>
      <c r="AU333" s="87">
        <v>1006.0</v>
      </c>
      <c r="AV333" s="87">
        <v>14.0</v>
      </c>
      <c r="AW333" s="87">
        <v>19.0</v>
      </c>
      <c r="AX333" s="87"/>
      <c r="AY333" s="87">
        <v>1.0</v>
      </c>
      <c r="AZ333" s="87"/>
      <c r="BA333" s="87">
        <v>2.0</v>
      </c>
      <c r="BB333" s="87">
        <v>12.0</v>
      </c>
      <c r="BC333" s="87"/>
      <c r="BD333" s="87"/>
      <c r="BE333" s="87"/>
      <c r="BF333" s="87">
        <v>707.0</v>
      </c>
      <c r="BG333" s="87">
        <v>6387.0</v>
      </c>
      <c r="BH333" s="87"/>
      <c r="BI333" s="87">
        <v>33237.0</v>
      </c>
      <c r="BJ333" s="87">
        <v>4.0</v>
      </c>
      <c r="BK333" s="87">
        <v>4441.0</v>
      </c>
      <c r="BL333" s="87">
        <v>2643.0</v>
      </c>
      <c r="BM333" s="87"/>
      <c r="BN333" s="87"/>
      <c r="BO333" s="87">
        <v>6.0</v>
      </c>
      <c r="BP333" s="87">
        <v>4664.0</v>
      </c>
      <c r="BQ333" s="87">
        <v>87.0</v>
      </c>
      <c r="BR333" s="87">
        <v>37.0</v>
      </c>
      <c r="BS333" s="87">
        <v>649.0</v>
      </c>
      <c r="BT333" s="87">
        <v>7.0</v>
      </c>
      <c r="BU333" s="87">
        <v>4.0</v>
      </c>
      <c r="BV333" s="87"/>
      <c r="BW333" s="87">
        <v>135.0</v>
      </c>
      <c r="BX333" s="87">
        <v>1397.0</v>
      </c>
      <c r="BY333" s="87">
        <v>1.0</v>
      </c>
      <c r="BZ333" s="87"/>
      <c r="CA333" s="87">
        <v>105.0</v>
      </c>
      <c r="CB333" s="87">
        <v>3.0</v>
      </c>
      <c r="CC333" s="87"/>
      <c r="CD333" s="87">
        <v>5.0</v>
      </c>
      <c r="CE333" s="87"/>
      <c r="CF333" s="87"/>
      <c r="CG333" s="87">
        <v>751.0</v>
      </c>
      <c r="CH333" s="87">
        <v>6343.0</v>
      </c>
      <c r="CI333" s="87"/>
      <c r="CJ333" s="87">
        <v>4305.0</v>
      </c>
      <c r="CK333" s="87">
        <v>185.0</v>
      </c>
      <c r="CL333" s="87">
        <v>2380.0</v>
      </c>
      <c r="CM333" s="87">
        <v>7.0</v>
      </c>
      <c r="CN333" s="87"/>
      <c r="CO333" s="87">
        <v>142.0</v>
      </c>
      <c r="CP333" s="87"/>
      <c r="CQ333" s="87">
        <v>75.0</v>
      </c>
      <c r="CR333" s="87"/>
      <c r="CS333" s="87"/>
      <c r="CT333" s="87">
        <v>749.0</v>
      </c>
      <c r="CU333" s="87">
        <v>789.0</v>
      </c>
      <c r="CV333" s="87">
        <v>77.0</v>
      </c>
      <c r="CW333" s="87">
        <v>382.0</v>
      </c>
      <c r="CX333" s="87">
        <v>26.0</v>
      </c>
      <c r="CY333" s="87">
        <v>198.0</v>
      </c>
      <c r="CZ333" s="87">
        <v>8.0</v>
      </c>
      <c r="DA333" s="87">
        <v>12.0</v>
      </c>
      <c r="DB333" s="87">
        <v>365.0</v>
      </c>
      <c r="DC333" s="87">
        <v>242.0</v>
      </c>
      <c r="DD333" s="87">
        <v>1322.0</v>
      </c>
      <c r="DE333" s="87">
        <v>117.0</v>
      </c>
      <c r="DF333" s="87">
        <v>1543.0</v>
      </c>
      <c r="DG333" s="87">
        <v>355.0</v>
      </c>
      <c r="DH333" s="87"/>
      <c r="DI333" s="87"/>
      <c r="DJ333" s="87">
        <v>13.0</v>
      </c>
      <c r="DK333" s="87">
        <v>85.0</v>
      </c>
      <c r="DL333" s="87">
        <v>607.0</v>
      </c>
      <c r="DM333" s="87">
        <v>196.0</v>
      </c>
      <c r="DN333" s="87">
        <v>8.0</v>
      </c>
      <c r="DO333" s="87">
        <v>284.0</v>
      </c>
      <c r="DP333" s="87"/>
      <c r="DQ333" s="87">
        <v>244.0</v>
      </c>
      <c r="DR333" s="87">
        <v>1468.0</v>
      </c>
      <c r="DS333" s="87">
        <v>4.0</v>
      </c>
      <c r="DT333" s="87">
        <v>35.0</v>
      </c>
      <c r="DU333" s="87">
        <v>2.0</v>
      </c>
      <c r="DV333" s="87">
        <v>57.0</v>
      </c>
      <c r="DW333" s="87">
        <v>139.0</v>
      </c>
      <c r="DX333" s="87">
        <v>125.0</v>
      </c>
      <c r="DY333" s="87">
        <v>1589.0</v>
      </c>
      <c r="DZ333" s="87">
        <v>342.0</v>
      </c>
      <c r="EA333" s="87">
        <v>15.0</v>
      </c>
      <c r="EB333" s="87">
        <v>250.0</v>
      </c>
      <c r="EC333" s="87">
        <v>255.0</v>
      </c>
      <c r="ED333" s="87">
        <v>2212.0</v>
      </c>
      <c r="EE333" s="87">
        <v>73.0</v>
      </c>
      <c r="EF333" s="87">
        <v>1.0</v>
      </c>
      <c r="EG333" s="87">
        <v>18.0</v>
      </c>
      <c r="EH333" s="87">
        <v>6.0</v>
      </c>
      <c r="EI333" s="87">
        <v>127.0</v>
      </c>
      <c r="EJ333" s="87">
        <v>6942.0</v>
      </c>
      <c r="EK333" s="88"/>
      <c r="EL333" s="88"/>
      <c r="EM333" s="88"/>
      <c r="EN333" s="88"/>
      <c r="EO333" s="88"/>
      <c r="EP333" s="88"/>
      <c r="EQ333" s="90"/>
    </row>
    <row r="334" ht="12.0" customHeight="1">
      <c r="A334" s="89">
        <v>1.06371394E8</v>
      </c>
      <c r="B334" s="89" t="s">
        <v>2178</v>
      </c>
      <c r="C334" s="89" t="s">
        <v>2086</v>
      </c>
      <c r="D334" s="89" t="s">
        <v>2179</v>
      </c>
      <c r="E334" s="89" t="s">
        <v>2180</v>
      </c>
      <c r="F334" s="89" t="s">
        <v>2181</v>
      </c>
      <c r="G334" s="89" t="s">
        <v>2182</v>
      </c>
      <c r="H334" s="89" t="s">
        <v>447</v>
      </c>
      <c r="I334" s="89" t="s">
        <v>456</v>
      </c>
      <c r="J334" s="89" t="s">
        <v>457</v>
      </c>
      <c r="K334" s="89" t="s">
        <v>885</v>
      </c>
      <c r="L334" s="89" t="s">
        <v>2158</v>
      </c>
      <c r="M334" s="89" t="s">
        <v>2183</v>
      </c>
      <c r="N334" s="89" t="s">
        <v>441</v>
      </c>
      <c r="O334" s="87">
        <v>14789.0</v>
      </c>
      <c r="P334" s="87">
        <v>8.0</v>
      </c>
      <c r="Q334" s="87"/>
      <c r="R334" s="87"/>
      <c r="S334" s="87">
        <v>1.0</v>
      </c>
      <c r="T334" s="87"/>
      <c r="U334" s="87">
        <v>5994.0</v>
      </c>
      <c r="V334" s="87">
        <v>8804.0</v>
      </c>
      <c r="W334" s="87"/>
      <c r="X334" s="87">
        <v>1806.0</v>
      </c>
      <c r="Y334" s="87">
        <v>82.0</v>
      </c>
      <c r="Z334" s="87">
        <v>945.0</v>
      </c>
      <c r="AA334" s="87">
        <v>1714.0</v>
      </c>
      <c r="AB334" s="87">
        <v>908.0</v>
      </c>
      <c r="AC334" s="87">
        <v>1246.0</v>
      </c>
      <c r="AD334" s="87">
        <v>1918.0</v>
      </c>
      <c r="AE334" s="87">
        <v>2715.0</v>
      </c>
      <c r="AF334" s="87">
        <v>3463.0</v>
      </c>
      <c r="AG334" s="87">
        <v>1.0</v>
      </c>
      <c r="AH334" s="87">
        <v>2794.0</v>
      </c>
      <c r="AI334" s="87">
        <v>11811.0</v>
      </c>
      <c r="AJ334" s="87">
        <v>193.0</v>
      </c>
      <c r="AK334" s="87">
        <v>26.0</v>
      </c>
      <c r="AL334" s="87">
        <v>693.0</v>
      </c>
      <c r="AM334" s="87">
        <v>120.0</v>
      </c>
      <c r="AN334" s="87">
        <v>383.0</v>
      </c>
      <c r="AO334" s="87">
        <v>11331.0</v>
      </c>
      <c r="AP334" s="87">
        <v>195.0</v>
      </c>
      <c r="AQ334" s="87">
        <v>1783.0</v>
      </c>
      <c r="AR334" s="87">
        <v>267.0</v>
      </c>
      <c r="AS334" s="87">
        <v>12548.0</v>
      </c>
      <c r="AT334" s="87">
        <v>75.0</v>
      </c>
      <c r="AU334" s="87">
        <v>212.0</v>
      </c>
      <c r="AV334" s="87">
        <v>112.0</v>
      </c>
      <c r="AW334" s="87">
        <v>47.0</v>
      </c>
      <c r="AX334" s="87">
        <v>1.0</v>
      </c>
      <c r="AY334" s="87"/>
      <c r="AZ334" s="87"/>
      <c r="BA334" s="87"/>
      <c r="BB334" s="87">
        <v>7.0</v>
      </c>
      <c r="BC334" s="87">
        <v>1795.0</v>
      </c>
      <c r="BD334" s="87">
        <v>1.0</v>
      </c>
      <c r="BE334" s="87">
        <v>10160.0</v>
      </c>
      <c r="BF334" s="87">
        <v>166.0</v>
      </c>
      <c r="BG334" s="87">
        <v>4471.0</v>
      </c>
      <c r="BH334" s="87">
        <v>1.0</v>
      </c>
      <c r="BI334" s="87">
        <v>57568.0</v>
      </c>
      <c r="BJ334" s="87">
        <v>10143.0</v>
      </c>
      <c r="BK334" s="87">
        <v>948.0</v>
      </c>
      <c r="BL334" s="87">
        <v>1908.0</v>
      </c>
      <c r="BM334" s="87">
        <v>1795.0</v>
      </c>
      <c r="BN334" s="87"/>
      <c r="BO334" s="87">
        <v>4.0</v>
      </c>
      <c r="BP334" s="87">
        <v>9547.0</v>
      </c>
      <c r="BQ334" s="87">
        <v>330.0</v>
      </c>
      <c r="BR334" s="87">
        <v>82.0</v>
      </c>
      <c r="BS334" s="87">
        <v>1772.0</v>
      </c>
      <c r="BT334" s="87">
        <v>55.0</v>
      </c>
      <c r="BU334" s="87">
        <v>1.0</v>
      </c>
      <c r="BV334" s="87"/>
      <c r="BW334" s="87">
        <v>261.0</v>
      </c>
      <c r="BX334" s="87">
        <v>2071.0</v>
      </c>
      <c r="BY334" s="87">
        <v>11.0</v>
      </c>
      <c r="BZ334" s="87">
        <v>135.0</v>
      </c>
      <c r="CA334" s="87">
        <v>468.0</v>
      </c>
      <c r="CB334" s="87">
        <v>21.0</v>
      </c>
      <c r="CC334" s="87">
        <v>1.0</v>
      </c>
      <c r="CD334" s="87">
        <v>43.0</v>
      </c>
      <c r="CE334" s="87"/>
      <c r="CF334" s="87"/>
      <c r="CG334" s="87">
        <v>2315.0</v>
      </c>
      <c r="CH334" s="87">
        <v>12483.0</v>
      </c>
      <c r="CI334" s="87"/>
      <c r="CJ334" s="87">
        <v>7290.0</v>
      </c>
      <c r="CK334" s="87">
        <v>1884.0</v>
      </c>
      <c r="CL334" s="87">
        <v>4606.0</v>
      </c>
      <c r="CM334" s="87">
        <v>27.0</v>
      </c>
      <c r="CN334" s="87"/>
      <c r="CO334" s="87">
        <v>731.0</v>
      </c>
      <c r="CP334" s="87"/>
      <c r="CQ334" s="87">
        <v>260.0</v>
      </c>
      <c r="CR334" s="87"/>
      <c r="CS334" s="87"/>
      <c r="CT334" s="87">
        <v>2053.0</v>
      </c>
      <c r="CU334" s="87">
        <v>479.0</v>
      </c>
      <c r="CV334" s="87">
        <v>93.0</v>
      </c>
      <c r="CW334" s="87">
        <v>499.0</v>
      </c>
      <c r="CX334" s="87">
        <v>286.0</v>
      </c>
      <c r="CY334" s="87">
        <v>448.0</v>
      </c>
      <c r="CZ334" s="87">
        <v>16.0</v>
      </c>
      <c r="DA334" s="87">
        <v>19.0</v>
      </c>
      <c r="DB334" s="87">
        <v>1953.0</v>
      </c>
      <c r="DC334" s="87">
        <v>652.0</v>
      </c>
      <c r="DD334" s="87">
        <v>1592.0</v>
      </c>
      <c r="DE334" s="87">
        <v>253.0</v>
      </c>
      <c r="DF334" s="87">
        <v>791.0</v>
      </c>
      <c r="DG334" s="87">
        <v>610.0</v>
      </c>
      <c r="DH334" s="87">
        <v>1871.0</v>
      </c>
      <c r="DI334" s="87">
        <v>1802.0</v>
      </c>
      <c r="DJ334" s="87">
        <v>4.0</v>
      </c>
      <c r="DK334" s="87">
        <v>222.0</v>
      </c>
      <c r="DL334" s="87">
        <v>1127.0</v>
      </c>
      <c r="DM334" s="87">
        <v>27.0</v>
      </c>
      <c r="DN334" s="87">
        <v>1.0</v>
      </c>
      <c r="DO334" s="87">
        <v>1791.0</v>
      </c>
      <c r="DP334" s="87">
        <v>1775.0</v>
      </c>
      <c r="DQ334" s="87">
        <v>903.0</v>
      </c>
      <c r="DR334" s="87">
        <v>1334.0</v>
      </c>
      <c r="DS334" s="87">
        <v>6.0</v>
      </c>
      <c r="DT334" s="87">
        <v>2.0</v>
      </c>
      <c r="DU334" s="87">
        <v>1.0</v>
      </c>
      <c r="DV334" s="87">
        <v>166.0</v>
      </c>
      <c r="DW334" s="87">
        <v>47.0</v>
      </c>
      <c r="DX334" s="87">
        <v>202.0</v>
      </c>
      <c r="DY334" s="87">
        <v>1017.0</v>
      </c>
      <c r="DZ334" s="87">
        <v>194.0</v>
      </c>
      <c r="EA334" s="87">
        <v>38.0</v>
      </c>
      <c r="EB334" s="87">
        <v>412.0</v>
      </c>
      <c r="EC334" s="87">
        <v>238.0</v>
      </c>
      <c r="ED334" s="87">
        <v>6495.0</v>
      </c>
      <c r="EE334" s="87">
        <v>177.0</v>
      </c>
      <c r="EF334" s="87">
        <v>8.0</v>
      </c>
      <c r="EG334" s="87">
        <v>308.0</v>
      </c>
      <c r="EH334" s="87">
        <v>7.0</v>
      </c>
      <c r="EI334" s="87">
        <v>246.0</v>
      </c>
      <c r="EJ334" s="87">
        <v>14229.0</v>
      </c>
      <c r="EK334" s="88"/>
      <c r="EL334" s="88"/>
      <c r="EM334" s="88"/>
      <c r="EN334" s="88"/>
      <c r="EO334" s="88"/>
      <c r="EP334" s="88"/>
      <c r="EQ334" s="90"/>
    </row>
    <row r="335" ht="12.0" customHeight="1">
      <c r="A335" s="89">
        <v>1.06374024E8</v>
      </c>
      <c r="B335" s="89" t="s">
        <v>2184</v>
      </c>
      <c r="C335" s="89" t="s">
        <v>2086</v>
      </c>
      <c r="D335" s="89" t="s">
        <v>2185</v>
      </c>
      <c r="E335" s="89" t="s">
        <v>2186</v>
      </c>
      <c r="F335" s="89" t="s">
        <v>2086</v>
      </c>
      <c r="G335" s="89" t="s">
        <v>2187</v>
      </c>
      <c r="H335" s="89" t="s">
        <v>475</v>
      </c>
      <c r="I335" s="89" t="s">
        <v>456</v>
      </c>
      <c r="J335" s="89" t="s">
        <v>437</v>
      </c>
      <c r="K335" s="89" t="s">
        <v>1331</v>
      </c>
      <c r="L335" s="89" t="s">
        <v>2091</v>
      </c>
      <c r="M335" s="89" t="s">
        <v>2174</v>
      </c>
      <c r="N335" s="89" t="s">
        <v>441</v>
      </c>
      <c r="O335" s="87"/>
      <c r="P335" s="87"/>
      <c r="Q335" s="87">
        <v>2005.0</v>
      </c>
      <c r="R335" s="87">
        <v>126.0</v>
      </c>
      <c r="S335" s="87"/>
      <c r="T335" s="87"/>
      <c r="U335" s="87">
        <v>1281.0</v>
      </c>
      <c r="V335" s="87">
        <v>850.0</v>
      </c>
      <c r="W335" s="87"/>
      <c r="X335" s="87"/>
      <c r="Y335" s="87">
        <v>608.0</v>
      </c>
      <c r="Z335" s="87">
        <v>852.0</v>
      </c>
      <c r="AA335" s="87">
        <v>320.0</v>
      </c>
      <c r="AB335" s="87">
        <v>136.0</v>
      </c>
      <c r="AC335" s="87">
        <v>118.0</v>
      </c>
      <c r="AD335" s="87">
        <v>66.0</v>
      </c>
      <c r="AE335" s="87">
        <v>28.0</v>
      </c>
      <c r="AF335" s="87"/>
      <c r="AG335" s="87">
        <v>3.0</v>
      </c>
      <c r="AH335" s="87">
        <v>560.0</v>
      </c>
      <c r="AI335" s="87">
        <v>1511.0</v>
      </c>
      <c r="AJ335" s="87">
        <v>60.0</v>
      </c>
      <c r="AK335" s="87">
        <v>38.0</v>
      </c>
      <c r="AL335" s="87">
        <v>116.0</v>
      </c>
      <c r="AM335" s="87">
        <v>14.0</v>
      </c>
      <c r="AN335" s="87">
        <v>250.0</v>
      </c>
      <c r="AO335" s="87">
        <v>1161.0</v>
      </c>
      <c r="AP335" s="87">
        <v>62.0</v>
      </c>
      <c r="AQ335" s="87">
        <v>382.0</v>
      </c>
      <c r="AR335" s="87">
        <v>108.0</v>
      </c>
      <c r="AS335" s="87">
        <v>376.0</v>
      </c>
      <c r="AT335" s="87">
        <v>719.0</v>
      </c>
      <c r="AU335" s="87">
        <v>957.0</v>
      </c>
      <c r="AV335" s="87"/>
      <c r="AW335" s="87">
        <v>4.0</v>
      </c>
      <c r="AX335" s="87">
        <v>4.0</v>
      </c>
      <c r="AY335" s="87"/>
      <c r="AZ335" s="87"/>
      <c r="BA335" s="87">
        <v>54.0</v>
      </c>
      <c r="BB335" s="87">
        <v>17.0</v>
      </c>
      <c r="BC335" s="87"/>
      <c r="BD335" s="87"/>
      <c r="BE335" s="87"/>
      <c r="BF335" s="87">
        <v>907.0</v>
      </c>
      <c r="BG335" s="87">
        <v>1224.0</v>
      </c>
      <c r="BH335" s="87"/>
      <c r="BI335" s="87">
        <v>29871.0</v>
      </c>
      <c r="BJ335" s="87">
        <v>55.0</v>
      </c>
      <c r="BK335" s="87">
        <v>1064.0</v>
      </c>
      <c r="BL335" s="87">
        <v>1011.0</v>
      </c>
      <c r="BM335" s="87"/>
      <c r="BN335" s="87"/>
      <c r="BO335" s="87">
        <v>1.0</v>
      </c>
      <c r="BP335" s="87">
        <v>2028.0</v>
      </c>
      <c r="BQ335" s="87">
        <v>8.0</v>
      </c>
      <c r="BR335" s="87"/>
      <c r="BS335" s="87"/>
      <c r="BT335" s="87">
        <v>9.0</v>
      </c>
      <c r="BU335" s="87">
        <v>2.0</v>
      </c>
      <c r="BV335" s="87">
        <v>82.0</v>
      </c>
      <c r="BW335" s="87">
        <v>1.0</v>
      </c>
      <c r="BX335" s="87"/>
      <c r="BY335" s="87"/>
      <c r="BZ335" s="87"/>
      <c r="CA335" s="87"/>
      <c r="CB335" s="87"/>
      <c r="CC335" s="87"/>
      <c r="CD335" s="87">
        <v>1.0</v>
      </c>
      <c r="CE335" s="87"/>
      <c r="CF335" s="87"/>
      <c r="CG335" s="87"/>
      <c r="CH335" s="87">
        <v>2131.0</v>
      </c>
      <c r="CI335" s="87"/>
      <c r="CJ335" s="87">
        <v>192.0</v>
      </c>
      <c r="CK335" s="87">
        <v>96.0</v>
      </c>
      <c r="CL335" s="87">
        <v>823.0</v>
      </c>
      <c r="CM335" s="87"/>
      <c r="CN335" s="87">
        <v>23.0</v>
      </c>
      <c r="CO335" s="87">
        <v>986.0</v>
      </c>
      <c r="CP335" s="87"/>
      <c r="CQ335" s="87">
        <v>10.0</v>
      </c>
      <c r="CR335" s="87">
        <v>1.0</v>
      </c>
      <c r="CS335" s="87"/>
      <c r="CT335" s="87"/>
      <c r="CU335" s="87"/>
      <c r="CV335" s="87"/>
      <c r="CW335" s="87"/>
      <c r="CX335" s="87">
        <v>2129.0</v>
      </c>
      <c r="CY335" s="87">
        <v>1.0</v>
      </c>
      <c r="CZ335" s="87"/>
      <c r="DA335" s="87"/>
      <c r="DB335" s="87"/>
      <c r="DC335" s="87"/>
      <c r="DD335" s="87"/>
      <c r="DE335" s="87"/>
      <c r="DF335" s="87"/>
      <c r="DG335" s="87"/>
      <c r="DH335" s="87"/>
      <c r="DI335" s="87"/>
      <c r="DJ335" s="87"/>
      <c r="DK335" s="87">
        <v>1.0</v>
      </c>
      <c r="DL335" s="87"/>
      <c r="DM335" s="87"/>
      <c r="DN335" s="87"/>
      <c r="DO335" s="87">
        <v>767.0</v>
      </c>
      <c r="DP335" s="87"/>
      <c r="DQ335" s="87"/>
      <c r="DR335" s="87"/>
      <c r="DS335" s="87"/>
      <c r="DT335" s="87"/>
      <c r="DU335" s="87"/>
      <c r="DV335" s="87"/>
      <c r="DW335" s="87"/>
      <c r="DX335" s="87"/>
      <c r="DY335" s="87"/>
      <c r="DZ335" s="87"/>
      <c r="EA335" s="87"/>
      <c r="EB335" s="87"/>
      <c r="EC335" s="87"/>
      <c r="ED335" s="87">
        <v>1364.0</v>
      </c>
      <c r="EE335" s="87"/>
      <c r="EF335" s="87">
        <v>1.0</v>
      </c>
      <c r="EG335" s="87">
        <v>81.0</v>
      </c>
      <c r="EH335" s="87">
        <v>2.0</v>
      </c>
      <c r="EI335" s="87">
        <v>197.0</v>
      </c>
      <c r="EJ335" s="87">
        <v>1850.0</v>
      </c>
      <c r="EK335" s="88"/>
      <c r="EL335" s="88"/>
      <c r="EM335" s="88"/>
      <c r="EN335" s="88"/>
      <c r="EO335" s="88"/>
      <c r="EP335" s="88"/>
      <c r="EQ335" s="90"/>
    </row>
    <row r="336" ht="12.0" customHeight="1">
      <c r="A336" s="89">
        <v>1.06374049E8</v>
      </c>
      <c r="B336" s="89" t="s">
        <v>2188</v>
      </c>
      <c r="C336" s="89" t="s">
        <v>2086</v>
      </c>
      <c r="D336" s="89" t="s">
        <v>2189</v>
      </c>
      <c r="E336" s="89" t="s">
        <v>2190</v>
      </c>
      <c r="F336" s="89" t="s">
        <v>2086</v>
      </c>
      <c r="G336" s="89" t="s">
        <v>2191</v>
      </c>
      <c r="H336" s="89" t="s">
        <v>447</v>
      </c>
      <c r="I336" s="89" t="s">
        <v>456</v>
      </c>
      <c r="J336" s="89" t="s">
        <v>499</v>
      </c>
      <c r="K336" s="89" t="s">
        <v>1094</v>
      </c>
      <c r="L336" s="89" t="s">
        <v>2091</v>
      </c>
      <c r="M336" s="89" t="s">
        <v>2103</v>
      </c>
      <c r="N336" s="89" t="s">
        <v>441</v>
      </c>
      <c r="O336" s="87"/>
      <c r="P336" s="87"/>
      <c r="Q336" s="87"/>
      <c r="R336" s="87">
        <v>250.0</v>
      </c>
      <c r="S336" s="87"/>
      <c r="T336" s="87"/>
      <c r="U336" s="87">
        <v>157.0</v>
      </c>
      <c r="V336" s="87">
        <v>93.0</v>
      </c>
      <c r="W336" s="87"/>
      <c r="X336" s="87"/>
      <c r="Y336" s="87"/>
      <c r="Z336" s="87">
        <v>58.0</v>
      </c>
      <c r="AA336" s="87">
        <v>59.0</v>
      </c>
      <c r="AB336" s="87">
        <v>55.0</v>
      </c>
      <c r="AC336" s="87">
        <v>46.0</v>
      </c>
      <c r="AD336" s="87">
        <v>27.0</v>
      </c>
      <c r="AE336" s="87"/>
      <c r="AF336" s="87"/>
      <c r="AG336" s="87">
        <v>5.0</v>
      </c>
      <c r="AH336" s="87">
        <v>34.0</v>
      </c>
      <c r="AI336" s="87">
        <v>204.0</v>
      </c>
      <c r="AJ336" s="87">
        <v>12.0</v>
      </c>
      <c r="AK336" s="87"/>
      <c r="AL336" s="87"/>
      <c r="AM336" s="87"/>
      <c r="AN336" s="87"/>
      <c r="AO336" s="87">
        <v>180.0</v>
      </c>
      <c r="AP336" s="87">
        <v>37.0</v>
      </c>
      <c r="AQ336" s="87">
        <v>33.0</v>
      </c>
      <c r="AR336" s="87"/>
      <c r="AS336" s="87">
        <v>194.0</v>
      </c>
      <c r="AT336" s="87"/>
      <c r="AU336" s="87">
        <v>9.0</v>
      </c>
      <c r="AV336" s="87"/>
      <c r="AW336" s="87">
        <v>47.0</v>
      </c>
      <c r="AX336" s="87"/>
      <c r="AY336" s="87"/>
      <c r="AZ336" s="87"/>
      <c r="BA336" s="87"/>
      <c r="BB336" s="87"/>
      <c r="BC336" s="87"/>
      <c r="BD336" s="87"/>
      <c r="BE336" s="87"/>
      <c r="BF336" s="87">
        <v>7.0</v>
      </c>
      <c r="BG336" s="87">
        <v>243.0</v>
      </c>
      <c r="BH336" s="87"/>
      <c r="BI336" s="87">
        <v>3437.0</v>
      </c>
      <c r="BJ336" s="87"/>
      <c r="BK336" s="87">
        <v>5.0</v>
      </c>
      <c r="BL336" s="87">
        <v>245.0</v>
      </c>
      <c r="BM336" s="87"/>
      <c r="BN336" s="87"/>
      <c r="BO336" s="87"/>
      <c r="BP336" s="87">
        <v>222.0</v>
      </c>
      <c r="BQ336" s="87">
        <v>2.0</v>
      </c>
      <c r="BR336" s="87">
        <v>4.0</v>
      </c>
      <c r="BS336" s="87"/>
      <c r="BT336" s="87"/>
      <c r="BU336" s="87"/>
      <c r="BV336" s="87">
        <v>16.0</v>
      </c>
      <c r="BW336" s="87"/>
      <c r="BX336" s="87"/>
      <c r="BY336" s="87"/>
      <c r="BZ336" s="87"/>
      <c r="CA336" s="87"/>
      <c r="CB336" s="87">
        <v>6.0</v>
      </c>
      <c r="CC336" s="87"/>
      <c r="CD336" s="87"/>
      <c r="CE336" s="87"/>
      <c r="CF336" s="87"/>
      <c r="CG336" s="87"/>
      <c r="CH336" s="87">
        <v>250.0</v>
      </c>
      <c r="CI336" s="87"/>
      <c r="CJ336" s="87">
        <v>16.0</v>
      </c>
      <c r="CK336" s="87"/>
      <c r="CL336" s="87">
        <v>228.0</v>
      </c>
      <c r="CM336" s="87"/>
      <c r="CN336" s="87"/>
      <c r="CO336" s="87"/>
      <c r="CP336" s="87"/>
      <c r="CQ336" s="87">
        <v>6.0</v>
      </c>
      <c r="CR336" s="87"/>
      <c r="CS336" s="87"/>
      <c r="CT336" s="87"/>
      <c r="CU336" s="87"/>
      <c r="CV336" s="87"/>
      <c r="CW336" s="87"/>
      <c r="CX336" s="87">
        <v>248.0</v>
      </c>
      <c r="CY336" s="87"/>
      <c r="CZ336" s="87"/>
      <c r="DA336" s="87"/>
      <c r="DB336" s="87"/>
      <c r="DC336" s="87"/>
      <c r="DD336" s="87"/>
      <c r="DE336" s="87"/>
      <c r="DF336" s="87"/>
      <c r="DG336" s="87"/>
      <c r="DH336" s="87"/>
      <c r="DI336" s="87"/>
      <c r="DJ336" s="87"/>
      <c r="DK336" s="87"/>
      <c r="DL336" s="87"/>
      <c r="DM336" s="87"/>
      <c r="DN336" s="87">
        <v>2.0</v>
      </c>
      <c r="DO336" s="87">
        <v>245.0</v>
      </c>
      <c r="DP336" s="87"/>
      <c r="DQ336" s="87"/>
      <c r="DR336" s="87"/>
      <c r="DS336" s="87"/>
      <c r="DT336" s="87"/>
      <c r="DU336" s="87"/>
      <c r="DV336" s="87"/>
      <c r="DW336" s="87"/>
      <c r="DX336" s="87"/>
      <c r="DY336" s="87"/>
      <c r="DZ336" s="87"/>
      <c r="EA336" s="87"/>
      <c r="EB336" s="87"/>
      <c r="EC336" s="87"/>
      <c r="ED336" s="87">
        <v>5.0</v>
      </c>
      <c r="EE336" s="87"/>
      <c r="EF336" s="87">
        <v>1.0</v>
      </c>
      <c r="EG336" s="87">
        <v>8.0</v>
      </c>
      <c r="EH336" s="87"/>
      <c r="EI336" s="87">
        <v>1.0</v>
      </c>
      <c r="EJ336" s="87">
        <v>240.0</v>
      </c>
      <c r="EK336" s="88"/>
      <c r="EL336" s="88"/>
      <c r="EM336" s="88"/>
      <c r="EN336" s="88"/>
      <c r="EO336" s="88"/>
      <c r="EP336" s="88"/>
      <c r="EQ336" s="90"/>
    </row>
    <row r="337" ht="12.0" customHeight="1">
      <c r="A337" s="89">
        <v>1.06374055E8</v>
      </c>
      <c r="B337" s="89" t="s">
        <v>2192</v>
      </c>
      <c r="C337" s="89" t="s">
        <v>2086</v>
      </c>
      <c r="D337" s="89" t="s">
        <v>2193</v>
      </c>
      <c r="E337" s="89" t="s">
        <v>2194</v>
      </c>
      <c r="F337" s="89" t="s">
        <v>2086</v>
      </c>
      <c r="G337" s="89" t="s">
        <v>2195</v>
      </c>
      <c r="H337" s="89" t="s">
        <v>435</v>
      </c>
      <c r="I337" s="89" t="s">
        <v>456</v>
      </c>
      <c r="J337" s="89" t="s">
        <v>437</v>
      </c>
      <c r="K337" s="89" t="s">
        <v>1094</v>
      </c>
      <c r="L337" s="89" t="s">
        <v>2109</v>
      </c>
      <c r="M337" s="89" t="s">
        <v>2103</v>
      </c>
      <c r="N337" s="89" t="s">
        <v>441</v>
      </c>
      <c r="O337" s="87"/>
      <c r="P337" s="87">
        <v>72.0</v>
      </c>
      <c r="Q337" s="87">
        <v>1665.0</v>
      </c>
      <c r="R337" s="87"/>
      <c r="S337" s="87"/>
      <c r="T337" s="87"/>
      <c r="U337" s="87">
        <v>1085.0</v>
      </c>
      <c r="V337" s="87">
        <v>652.0</v>
      </c>
      <c r="W337" s="87"/>
      <c r="X337" s="87"/>
      <c r="Y337" s="87">
        <v>57.0</v>
      </c>
      <c r="Z337" s="87">
        <v>514.0</v>
      </c>
      <c r="AA337" s="87">
        <v>525.0</v>
      </c>
      <c r="AB337" s="87">
        <v>260.0</v>
      </c>
      <c r="AC337" s="87">
        <v>229.0</v>
      </c>
      <c r="AD337" s="87">
        <v>105.0</v>
      </c>
      <c r="AE337" s="87">
        <v>36.0</v>
      </c>
      <c r="AF337" s="87">
        <v>11.0</v>
      </c>
      <c r="AG337" s="87"/>
      <c r="AH337" s="87">
        <v>551.0</v>
      </c>
      <c r="AI337" s="87">
        <v>1177.0</v>
      </c>
      <c r="AJ337" s="87">
        <v>9.0</v>
      </c>
      <c r="AK337" s="87">
        <v>17.0</v>
      </c>
      <c r="AL337" s="87">
        <v>70.0</v>
      </c>
      <c r="AM337" s="87"/>
      <c r="AN337" s="87">
        <v>253.0</v>
      </c>
      <c r="AO337" s="87">
        <v>796.0</v>
      </c>
      <c r="AP337" s="87">
        <v>20.0</v>
      </c>
      <c r="AQ337" s="87">
        <v>434.0</v>
      </c>
      <c r="AR337" s="87">
        <v>147.0</v>
      </c>
      <c r="AS337" s="87">
        <v>5.0</v>
      </c>
      <c r="AT337" s="87">
        <v>1.0</v>
      </c>
      <c r="AU337" s="87">
        <v>65.0</v>
      </c>
      <c r="AV337" s="87">
        <v>1.0</v>
      </c>
      <c r="AW337" s="87">
        <v>1661.0</v>
      </c>
      <c r="AX337" s="87">
        <v>2.0</v>
      </c>
      <c r="AY337" s="87"/>
      <c r="AZ337" s="87"/>
      <c r="BA337" s="87">
        <v>2.0</v>
      </c>
      <c r="BB337" s="87"/>
      <c r="BC337" s="87"/>
      <c r="BD337" s="87"/>
      <c r="BE337" s="87"/>
      <c r="BF337" s="87">
        <v>19.0</v>
      </c>
      <c r="BG337" s="87">
        <v>1718.0</v>
      </c>
      <c r="BH337" s="87"/>
      <c r="BI337" s="87">
        <v>85916.0</v>
      </c>
      <c r="BJ337" s="87"/>
      <c r="BK337" s="87">
        <v>1731.0</v>
      </c>
      <c r="BL337" s="87">
        <v>6.0</v>
      </c>
      <c r="BM337" s="87"/>
      <c r="BN337" s="87"/>
      <c r="BO337" s="87"/>
      <c r="BP337" s="87">
        <v>1420.0</v>
      </c>
      <c r="BQ337" s="87">
        <v>128.0</v>
      </c>
      <c r="BR337" s="87"/>
      <c r="BS337" s="87">
        <v>8.0</v>
      </c>
      <c r="BT337" s="87"/>
      <c r="BU337" s="87">
        <v>29.0</v>
      </c>
      <c r="BV337" s="87">
        <v>54.0</v>
      </c>
      <c r="BW337" s="87">
        <v>18.0</v>
      </c>
      <c r="BX337" s="87"/>
      <c r="BY337" s="87"/>
      <c r="BZ337" s="87"/>
      <c r="CA337" s="87"/>
      <c r="CB337" s="87">
        <v>80.0</v>
      </c>
      <c r="CC337" s="87"/>
      <c r="CD337" s="87"/>
      <c r="CE337" s="87"/>
      <c r="CF337" s="87"/>
      <c r="CG337" s="87">
        <v>19.0</v>
      </c>
      <c r="CH337" s="87">
        <v>1718.0</v>
      </c>
      <c r="CI337" s="87"/>
      <c r="CJ337" s="87">
        <v>43.0</v>
      </c>
      <c r="CK337" s="87">
        <v>27.0</v>
      </c>
      <c r="CL337" s="87">
        <v>2.0</v>
      </c>
      <c r="CM337" s="87"/>
      <c r="CN337" s="87">
        <v>1665.0</v>
      </c>
      <c r="CO337" s="87"/>
      <c r="CP337" s="87"/>
      <c r="CQ337" s="87"/>
      <c r="CR337" s="87"/>
      <c r="CS337" s="87"/>
      <c r="CT337" s="87">
        <v>2.0</v>
      </c>
      <c r="CU337" s="87">
        <v>1.0</v>
      </c>
      <c r="CV337" s="87"/>
      <c r="CW337" s="87"/>
      <c r="CX337" s="87">
        <v>1631.0</v>
      </c>
      <c r="CY337" s="87">
        <v>57.0</v>
      </c>
      <c r="CZ337" s="87"/>
      <c r="DA337" s="87"/>
      <c r="DB337" s="87">
        <v>5.0</v>
      </c>
      <c r="DC337" s="87">
        <v>1.0</v>
      </c>
      <c r="DD337" s="87"/>
      <c r="DE337" s="87"/>
      <c r="DF337" s="87">
        <v>1.0</v>
      </c>
      <c r="DG337" s="87"/>
      <c r="DH337" s="87"/>
      <c r="DI337" s="87"/>
      <c r="DJ337" s="87">
        <v>1.0</v>
      </c>
      <c r="DK337" s="87">
        <v>16.0</v>
      </c>
      <c r="DL337" s="87">
        <v>7.0</v>
      </c>
      <c r="DM337" s="87">
        <v>10.0</v>
      </c>
      <c r="DN337" s="87">
        <v>5.0</v>
      </c>
      <c r="DO337" s="87"/>
      <c r="DP337" s="87"/>
      <c r="DQ337" s="87"/>
      <c r="DR337" s="87"/>
      <c r="DS337" s="87"/>
      <c r="DT337" s="87"/>
      <c r="DU337" s="87"/>
      <c r="DV337" s="87"/>
      <c r="DW337" s="87"/>
      <c r="DX337" s="87"/>
      <c r="DY337" s="87"/>
      <c r="DZ337" s="87"/>
      <c r="EA337" s="87"/>
      <c r="EB337" s="87"/>
      <c r="EC337" s="87"/>
      <c r="ED337" s="87">
        <v>1737.0</v>
      </c>
      <c r="EE337" s="87"/>
      <c r="EF337" s="87"/>
      <c r="EG337" s="87">
        <v>653.0</v>
      </c>
      <c r="EH337" s="87"/>
      <c r="EI337" s="87">
        <v>11.0</v>
      </c>
      <c r="EJ337" s="87">
        <v>1073.0</v>
      </c>
      <c r="EK337" s="88"/>
      <c r="EL337" s="88"/>
      <c r="EM337" s="88"/>
      <c r="EN337" s="88"/>
      <c r="EO337" s="88"/>
      <c r="EP337" s="88"/>
      <c r="EQ337" s="90"/>
    </row>
    <row r="338" ht="12.0" customHeight="1">
      <c r="A338" s="89">
        <v>1.06374094E8</v>
      </c>
      <c r="B338" s="89" t="s">
        <v>2196</v>
      </c>
      <c r="C338" s="89" t="s">
        <v>2086</v>
      </c>
      <c r="D338" s="89" t="s">
        <v>2197</v>
      </c>
      <c r="E338" s="89" t="s">
        <v>2198</v>
      </c>
      <c r="F338" s="89" t="s">
        <v>2086</v>
      </c>
      <c r="G338" s="89" t="s">
        <v>2134</v>
      </c>
      <c r="H338" s="89" t="s">
        <v>475</v>
      </c>
      <c r="I338" s="89" t="s">
        <v>456</v>
      </c>
      <c r="J338" s="89" t="s">
        <v>437</v>
      </c>
      <c r="K338" s="89" t="s">
        <v>1094</v>
      </c>
      <c r="L338" s="89" t="s">
        <v>2109</v>
      </c>
      <c r="M338" s="89" t="s">
        <v>2103</v>
      </c>
      <c r="N338" s="89" t="s">
        <v>441</v>
      </c>
      <c r="O338" s="87">
        <v>684.0</v>
      </c>
      <c r="P338" s="87"/>
      <c r="Q338" s="87"/>
      <c r="R338" s="87"/>
      <c r="S338" s="87"/>
      <c r="T338" s="87"/>
      <c r="U338" s="87">
        <v>444.0</v>
      </c>
      <c r="V338" s="87">
        <v>240.0</v>
      </c>
      <c r="W338" s="87"/>
      <c r="X338" s="87"/>
      <c r="Y338" s="87"/>
      <c r="Z338" s="87">
        <v>26.0</v>
      </c>
      <c r="AA338" s="87">
        <v>48.0</v>
      </c>
      <c r="AB338" s="87">
        <v>67.0</v>
      </c>
      <c r="AC338" s="87">
        <v>87.0</v>
      </c>
      <c r="AD338" s="87">
        <v>191.0</v>
      </c>
      <c r="AE338" s="87">
        <v>157.0</v>
      </c>
      <c r="AF338" s="87">
        <v>108.0</v>
      </c>
      <c r="AG338" s="87"/>
      <c r="AH338" s="87">
        <v>147.0</v>
      </c>
      <c r="AI338" s="87">
        <v>469.0</v>
      </c>
      <c r="AJ338" s="87">
        <v>68.0</v>
      </c>
      <c r="AK338" s="87"/>
      <c r="AL338" s="87">
        <v>32.0</v>
      </c>
      <c r="AM338" s="87"/>
      <c r="AN338" s="87">
        <v>51.0</v>
      </c>
      <c r="AO338" s="87">
        <v>574.0</v>
      </c>
      <c r="AP338" s="87">
        <v>14.0</v>
      </c>
      <c r="AQ338" s="87">
        <v>13.0</v>
      </c>
      <c r="AR338" s="87"/>
      <c r="AS338" s="87"/>
      <c r="AT338" s="87"/>
      <c r="AU338" s="87">
        <v>681.0</v>
      </c>
      <c r="AV338" s="87"/>
      <c r="AW338" s="87"/>
      <c r="AX338" s="87"/>
      <c r="AY338" s="87"/>
      <c r="AZ338" s="87"/>
      <c r="BA338" s="87">
        <v>3.0</v>
      </c>
      <c r="BB338" s="87"/>
      <c r="BC338" s="87"/>
      <c r="BD338" s="87"/>
      <c r="BE338" s="87"/>
      <c r="BF338" s="87"/>
      <c r="BG338" s="87">
        <v>684.0</v>
      </c>
      <c r="BH338" s="87"/>
      <c r="BI338" s="87">
        <v>26038.0</v>
      </c>
      <c r="BJ338" s="87"/>
      <c r="BK338" s="87"/>
      <c r="BL338" s="87">
        <v>684.0</v>
      </c>
      <c r="BM338" s="87"/>
      <c r="BN338" s="87"/>
      <c r="BO338" s="87"/>
      <c r="BP338" s="87">
        <v>15.0</v>
      </c>
      <c r="BQ338" s="87">
        <v>124.0</v>
      </c>
      <c r="BR338" s="87">
        <v>3.0</v>
      </c>
      <c r="BS338" s="87">
        <v>297.0</v>
      </c>
      <c r="BT338" s="87">
        <v>6.0</v>
      </c>
      <c r="BU338" s="87">
        <v>34.0</v>
      </c>
      <c r="BV338" s="87">
        <v>21.0</v>
      </c>
      <c r="BW338" s="87">
        <v>106.0</v>
      </c>
      <c r="BX338" s="87">
        <v>76.0</v>
      </c>
      <c r="BY338" s="87"/>
      <c r="BZ338" s="87"/>
      <c r="CA338" s="87"/>
      <c r="CB338" s="87"/>
      <c r="CC338" s="87"/>
      <c r="CD338" s="87">
        <v>2.0</v>
      </c>
      <c r="CE338" s="87"/>
      <c r="CF338" s="87"/>
      <c r="CG338" s="87">
        <v>55.0</v>
      </c>
      <c r="CH338" s="87">
        <v>629.0</v>
      </c>
      <c r="CI338" s="87"/>
      <c r="CJ338" s="87">
        <v>454.0</v>
      </c>
      <c r="CK338" s="87"/>
      <c r="CL338" s="87">
        <v>107.0</v>
      </c>
      <c r="CM338" s="87">
        <v>1.0</v>
      </c>
      <c r="CN338" s="87"/>
      <c r="CO338" s="87">
        <v>122.0</v>
      </c>
      <c r="CP338" s="87"/>
      <c r="CQ338" s="87"/>
      <c r="CR338" s="87"/>
      <c r="CS338" s="87"/>
      <c r="CT338" s="87">
        <v>26.0</v>
      </c>
      <c r="CU338" s="87">
        <v>4.0</v>
      </c>
      <c r="CV338" s="87"/>
      <c r="CW338" s="87">
        <v>9.0</v>
      </c>
      <c r="CX338" s="87">
        <v>1.0</v>
      </c>
      <c r="CY338" s="87">
        <v>10.0</v>
      </c>
      <c r="CZ338" s="87"/>
      <c r="DA338" s="87"/>
      <c r="DB338" s="87">
        <v>20.0</v>
      </c>
      <c r="DC338" s="87">
        <v>410.0</v>
      </c>
      <c r="DD338" s="87">
        <v>37.0</v>
      </c>
      <c r="DE338" s="87">
        <v>39.0</v>
      </c>
      <c r="DF338" s="87">
        <v>20.0</v>
      </c>
      <c r="DG338" s="87">
        <v>23.0</v>
      </c>
      <c r="DH338" s="87"/>
      <c r="DI338" s="87"/>
      <c r="DJ338" s="87"/>
      <c r="DK338" s="87">
        <v>7.0</v>
      </c>
      <c r="DL338" s="87">
        <v>59.0</v>
      </c>
      <c r="DM338" s="87">
        <v>19.0</v>
      </c>
      <c r="DN338" s="87"/>
      <c r="DO338" s="87">
        <v>321.0</v>
      </c>
      <c r="DP338" s="87"/>
      <c r="DQ338" s="87">
        <v>48.0</v>
      </c>
      <c r="DR338" s="87">
        <v>43.0</v>
      </c>
      <c r="DS338" s="87"/>
      <c r="DT338" s="87"/>
      <c r="DU338" s="87"/>
      <c r="DV338" s="87"/>
      <c r="DW338" s="87"/>
      <c r="DX338" s="87">
        <v>11.0</v>
      </c>
      <c r="DY338" s="87">
        <v>3.0</v>
      </c>
      <c r="DZ338" s="87"/>
      <c r="EA338" s="87">
        <v>3.0</v>
      </c>
      <c r="EB338" s="87">
        <v>15.0</v>
      </c>
      <c r="EC338" s="87"/>
      <c r="ED338" s="87">
        <v>240.0</v>
      </c>
      <c r="EE338" s="87"/>
      <c r="EF338" s="87"/>
      <c r="EG338" s="87">
        <v>20.0</v>
      </c>
      <c r="EH338" s="87">
        <v>2.0</v>
      </c>
      <c r="EI338" s="87">
        <v>20.0</v>
      </c>
      <c r="EJ338" s="87">
        <v>642.0</v>
      </c>
      <c r="EK338" s="88"/>
      <c r="EL338" s="88"/>
      <c r="EM338" s="88"/>
      <c r="EN338" s="88"/>
      <c r="EO338" s="88"/>
      <c r="EP338" s="88"/>
      <c r="EQ338" s="90"/>
    </row>
    <row r="339" ht="12.0" customHeight="1">
      <c r="A339" s="89">
        <v>1.06374382E8</v>
      </c>
      <c r="B339" s="89" t="s">
        <v>2199</v>
      </c>
      <c r="C339" s="89" t="s">
        <v>2086</v>
      </c>
      <c r="D339" s="89" t="s">
        <v>2200</v>
      </c>
      <c r="E339" s="89" t="s">
        <v>2201</v>
      </c>
      <c r="F339" s="89" t="s">
        <v>2202</v>
      </c>
      <c r="G339" s="89" t="s">
        <v>2203</v>
      </c>
      <c r="H339" s="89" t="s">
        <v>494</v>
      </c>
      <c r="I339" s="89" t="s">
        <v>456</v>
      </c>
      <c r="J339" s="89" t="s">
        <v>469</v>
      </c>
      <c r="K339" s="89" t="s">
        <v>1331</v>
      </c>
      <c r="L339" s="89" t="s">
        <v>1871</v>
      </c>
      <c r="M339" s="89" t="s">
        <v>2204</v>
      </c>
      <c r="N339" s="89" t="s">
        <v>441</v>
      </c>
      <c r="O339" s="87">
        <v>22313.0</v>
      </c>
      <c r="P339" s="87"/>
      <c r="Q339" s="87"/>
      <c r="R339" s="87"/>
      <c r="S339" s="87"/>
      <c r="T339" s="87"/>
      <c r="U339" s="87">
        <v>9921.0</v>
      </c>
      <c r="V339" s="87">
        <v>12392.0</v>
      </c>
      <c r="W339" s="87"/>
      <c r="X339" s="87">
        <v>3637.0</v>
      </c>
      <c r="Y339" s="87">
        <v>318.0</v>
      </c>
      <c r="Z339" s="87">
        <v>2463.0</v>
      </c>
      <c r="AA339" s="87">
        <v>2836.0</v>
      </c>
      <c r="AB339" s="87">
        <v>1354.0</v>
      </c>
      <c r="AC339" s="87">
        <v>2076.0</v>
      </c>
      <c r="AD339" s="87">
        <v>2870.0</v>
      </c>
      <c r="AE339" s="87">
        <v>3080.0</v>
      </c>
      <c r="AF339" s="87">
        <v>3678.0</v>
      </c>
      <c r="AG339" s="87">
        <v>1.0</v>
      </c>
      <c r="AH339" s="87">
        <v>8606.0</v>
      </c>
      <c r="AI339" s="87">
        <v>13490.0</v>
      </c>
      <c r="AJ339" s="87">
        <v>217.0</v>
      </c>
      <c r="AK339" s="87">
        <v>209.0</v>
      </c>
      <c r="AL339" s="87">
        <v>894.0</v>
      </c>
      <c r="AM339" s="87">
        <v>139.0</v>
      </c>
      <c r="AN339" s="87">
        <v>555.0</v>
      </c>
      <c r="AO339" s="87">
        <v>16596.0</v>
      </c>
      <c r="AP339" s="87">
        <v>266.0</v>
      </c>
      <c r="AQ339" s="87">
        <v>3360.0</v>
      </c>
      <c r="AR339" s="87">
        <v>294.0</v>
      </c>
      <c r="AS339" s="87">
        <v>18198.0</v>
      </c>
      <c r="AT339" s="87">
        <v>125.0</v>
      </c>
      <c r="AU339" s="87">
        <v>180.0</v>
      </c>
      <c r="AV339" s="87">
        <v>120.0</v>
      </c>
      <c r="AW339" s="87">
        <v>45.0</v>
      </c>
      <c r="AX339" s="87">
        <v>3.0</v>
      </c>
      <c r="AY339" s="87">
        <v>3.0</v>
      </c>
      <c r="AZ339" s="87">
        <v>11.0</v>
      </c>
      <c r="BA339" s="87"/>
      <c r="BB339" s="87">
        <v>4.0</v>
      </c>
      <c r="BC339" s="87">
        <v>3624.0</v>
      </c>
      <c r="BD339" s="87"/>
      <c r="BE339" s="87">
        <v>13041.0</v>
      </c>
      <c r="BF339" s="87">
        <v>109.0</v>
      </c>
      <c r="BG339" s="87">
        <v>9163.0</v>
      </c>
      <c r="BH339" s="87"/>
      <c r="BI339" s="87">
        <v>88352.0</v>
      </c>
      <c r="BJ339" s="87">
        <v>12723.0</v>
      </c>
      <c r="BK339" s="87">
        <v>3741.0</v>
      </c>
      <c r="BL339" s="87">
        <v>1486.0</v>
      </c>
      <c r="BM339" s="87">
        <v>3624.0</v>
      </c>
      <c r="BN339" s="87">
        <v>739.0</v>
      </c>
      <c r="BO339" s="87"/>
      <c r="BP339" s="87">
        <v>13838.0</v>
      </c>
      <c r="BQ339" s="87">
        <v>378.0</v>
      </c>
      <c r="BR339" s="87">
        <v>502.0</v>
      </c>
      <c r="BS339" s="87">
        <v>2528.0</v>
      </c>
      <c r="BT339" s="87">
        <v>108.0</v>
      </c>
      <c r="BU339" s="87">
        <v>8.0</v>
      </c>
      <c r="BV339" s="87">
        <v>329.0</v>
      </c>
      <c r="BW339" s="87">
        <v>780.0</v>
      </c>
      <c r="BX339" s="87">
        <v>3230.0</v>
      </c>
      <c r="BY339" s="87"/>
      <c r="BZ339" s="87">
        <v>165.0</v>
      </c>
      <c r="CA339" s="87">
        <v>389.0</v>
      </c>
      <c r="CB339" s="87">
        <v>41.0</v>
      </c>
      <c r="CC339" s="87"/>
      <c r="CD339" s="87">
        <v>17.0</v>
      </c>
      <c r="CE339" s="87"/>
      <c r="CF339" s="87"/>
      <c r="CG339" s="87">
        <v>2082.0</v>
      </c>
      <c r="CH339" s="87">
        <v>20231.0</v>
      </c>
      <c r="CI339" s="87"/>
      <c r="CJ339" s="87">
        <v>8389.0</v>
      </c>
      <c r="CK339" s="87">
        <v>8045.0</v>
      </c>
      <c r="CL339" s="87">
        <v>5235.0</v>
      </c>
      <c r="CM339" s="87">
        <v>83.0</v>
      </c>
      <c r="CN339" s="87">
        <v>2.0</v>
      </c>
      <c r="CO339" s="87">
        <v>215.0</v>
      </c>
      <c r="CP339" s="87"/>
      <c r="CQ339" s="87">
        <v>344.0</v>
      </c>
      <c r="CR339" s="87"/>
      <c r="CS339" s="87"/>
      <c r="CT339" s="87">
        <v>2516.0</v>
      </c>
      <c r="CU339" s="87">
        <v>421.0</v>
      </c>
      <c r="CV339" s="87">
        <v>118.0</v>
      </c>
      <c r="CW339" s="87">
        <v>783.0</v>
      </c>
      <c r="CX339" s="87">
        <v>390.0</v>
      </c>
      <c r="CY339" s="87">
        <v>422.0</v>
      </c>
      <c r="CZ339" s="87">
        <v>12.0</v>
      </c>
      <c r="DA339" s="87">
        <v>16.0</v>
      </c>
      <c r="DB339" s="87">
        <v>2901.0</v>
      </c>
      <c r="DC339" s="87">
        <v>845.0</v>
      </c>
      <c r="DD339" s="87">
        <v>1866.0</v>
      </c>
      <c r="DE339" s="87">
        <v>305.0</v>
      </c>
      <c r="DF339" s="87">
        <v>656.0</v>
      </c>
      <c r="DG339" s="87">
        <v>829.0</v>
      </c>
      <c r="DH339" s="87">
        <v>3911.0</v>
      </c>
      <c r="DI339" s="87">
        <v>3635.0</v>
      </c>
      <c r="DJ339" s="87">
        <v>6.0</v>
      </c>
      <c r="DK339" s="87">
        <v>192.0</v>
      </c>
      <c r="DL339" s="87">
        <v>2452.0</v>
      </c>
      <c r="DM339" s="87">
        <v>37.0</v>
      </c>
      <c r="DN339" s="87"/>
      <c r="DO339" s="87">
        <v>3392.0</v>
      </c>
      <c r="DP339" s="87">
        <v>3693.0</v>
      </c>
      <c r="DQ339" s="87">
        <v>1732.0</v>
      </c>
      <c r="DR339" s="87">
        <v>1462.0</v>
      </c>
      <c r="DS339" s="87">
        <v>7.0</v>
      </c>
      <c r="DT339" s="87">
        <v>6.0</v>
      </c>
      <c r="DU339" s="87">
        <v>7.0</v>
      </c>
      <c r="DV339" s="87">
        <v>102.0</v>
      </c>
      <c r="DW339" s="87">
        <v>41.0</v>
      </c>
      <c r="DX339" s="87">
        <v>396.0</v>
      </c>
      <c r="DY339" s="87">
        <v>1497.0</v>
      </c>
      <c r="DZ339" s="87">
        <v>261.0</v>
      </c>
      <c r="EA339" s="87">
        <v>33.0</v>
      </c>
      <c r="EB339" s="87">
        <v>316.0</v>
      </c>
      <c r="EC339" s="87">
        <v>231.0</v>
      </c>
      <c r="ED339" s="87">
        <v>8804.0</v>
      </c>
      <c r="EE339" s="87">
        <v>333.0</v>
      </c>
      <c r="EF339" s="87">
        <v>7.0</v>
      </c>
      <c r="EG339" s="87">
        <v>383.0</v>
      </c>
      <c r="EH339" s="87">
        <v>2.0</v>
      </c>
      <c r="EI339" s="87">
        <v>190.0</v>
      </c>
      <c r="EJ339" s="87">
        <v>21731.0</v>
      </c>
      <c r="EK339" s="88"/>
      <c r="EL339" s="88"/>
      <c r="EM339" s="88"/>
      <c r="EN339" s="88"/>
      <c r="EO339" s="88"/>
      <c r="EP339" s="88"/>
      <c r="EQ339" s="90"/>
    </row>
    <row r="340" ht="12.0" customHeight="1">
      <c r="A340" s="89">
        <v>1.06374572E8</v>
      </c>
      <c r="B340" s="89" t="s">
        <v>2205</v>
      </c>
      <c r="C340" s="89" t="s">
        <v>2086</v>
      </c>
      <c r="D340" s="89" t="s">
        <v>2206</v>
      </c>
      <c r="E340" s="89" t="s">
        <v>2207</v>
      </c>
      <c r="F340" s="89" t="s">
        <v>2202</v>
      </c>
      <c r="G340" s="89" t="s">
        <v>2203</v>
      </c>
      <c r="H340" s="89" t="s">
        <v>475</v>
      </c>
      <c r="I340" s="89" t="s">
        <v>456</v>
      </c>
      <c r="J340" s="89" t="s">
        <v>463</v>
      </c>
      <c r="K340" s="89" t="s">
        <v>1331</v>
      </c>
      <c r="L340" s="89" t="s">
        <v>1871</v>
      </c>
      <c r="M340" s="89" t="s">
        <v>2204</v>
      </c>
      <c r="N340" s="89" t="s">
        <v>441</v>
      </c>
      <c r="O340" s="87"/>
      <c r="P340" s="87"/>
      <c r="Q340" s="87"/>
      <c r="R340" s="87"/>
      <c r="S340" s="87">
        <v>702.0</v>
      </c>
      <c r="T340" s="87"/>
      <c r="U340" s="87">
        <v>363.0</v>
      </c>
      <c r="V340" s="87">
        <v>339.0</v>
      </c>
      <c r="W340" s="87"/>
      <c r="X340" s="87"/>
      <c r="Y340" s="87"/>
      <c r="Z340" s="87">
        <v>23.0</v>
      </c>
      <c r="AA340" s="87">
        <v>27.0</v>
      </c>
      <c r="AB340" s="87">
        <v>35.0</v>
      </c>
      <c r="AC340" s="87">
        <v>55.0</v>
      </c>
      <c r="AD340" s="87">
        <v>131.0</v>
      </c>
      <c r="AE340" s="87">
        <v>227.0</v>
      </c>
      <c r="AF340" s="87">
        <v>201.0</v>
      </c>
      <c r="AG340" s="87">
        <v>3.0</v>
      </c>
      <c r="AH340" s="87">
        <v>37.0</v>
      </c>
      <c r="AI340" s="87">
        <v>664.0</v>
      </c>
      <c r="AJ340" s="87">
        <v>1.0</v>
      </c>
      <c r="AK340" s="87"/>
      <c r="AL340" s="87">
        <v>40.0</v>
      </c>
      <c r="AM340" s="87"/>
      <c r="AN340" s="87">
        <v>22.0</v>
      </c>
      <c r="AO340" s="87">
        <v>546.0</v>
      </c>
      <c r="AP340" s="87">
        <v>47.0</v>
      </c>
      <c r="AQ340" s="87">
        <v>47.0</v>
      </c>
      <c r="AR340" s="87"/>
      <c r="AS340" s="87">
        <v>7.0</v>
      </c>
      <c r="AT340" s="87"/>
      <c r="AU340" s="87">
        <v>672.0</v>
      </c>
      <c r="AV340" s="87">
        <v>20.0</v>
      </c>
      <c r="AW340" s="87">
        <v>3.0</v>
      </c>
      <c r="AX340" s="87"/>
      <c r="AY340" s="87"/>
      <c r="AZ340" s="87"/>
      <c r="BA340" s="87"/>
      <c r="BB340" s="87"/>
      <c r="BC340" s="87"/>
      <c r="BD340" s="87"/>
      <c r="BE340" s="87"/>
      <c r="BF340" s="87"/>
      <c r="BG340" s="87">
        <v>702.0</v>
      </c>
      <c r="BH340" s="87"/>
      <c r="BI340" s="87">
        <v>8236.0</v>
      </c>
      <c r="BJ340" s="87">
        <v>2.0</v>
      </c>
      <c r="BK340" s="87"/>
      <c r="BL340" s="87">
        <v>699.0</v>
      </c>
      <c r="BM340" s="87"/>
      <c r="BN340" s="87">
        <v>1.0</v>
      </c>
      <c r="BO340" s="87"/>
      <c r="BP340" s="87">
        <v>550.0</v>
      </c>
      <c r="BQ340" s="87">
        <v>51.0</v>
      </c>
      <c r="BR340" s="87"/>
      <c r="BS340" s="87">
        <v>46.0</v>
      </c>
      <c r="BT340" s="87"/>
      <c r="BU340" s="87"/>
      <c r="BV340" s="87">
        <v>3.0</v>
      </c>
      <c r="BW340" s="87">
        <v>2.0</v>
      </c>
      <c r="BX340" s="87">
        <v>45.0</v>
      </c>
      <c r="BY340" s="87"/>
      <c r="BZ340" s="87"/>
      <c r="CA340" s="87">
        <v>3.0</v>
      </c>
      <c r="CB340" s="87"/>
      <c r="CC340" s="87">
        <v>2.0</v>
      </c>
      <c r="CD340" s="87"/>
      <c r="CE340" s="87"/>
      <c r="CF340" s="87"/>
      <c r="CG340" s="87"/>
      <c r="CH340" s="87">
        <v>702.0</v>
      </c>
      <c r="CI340" s="87"/>
      <c r="CJ340" s="87">
        <v>427.0</v>
      </c>
      <c r="CK340" s="87">
        <v>31.0</v>
      </c>
      <c r="CL340" s="87">
        <v>178.0</v>
      </c>
      <c r="CM340" s="87">
        <v>4.0</v>
      </c>
      <c r="CN340" s="87"/>
      <c r="CO340" s="87">
        <v>62.0</v>
      </c>
      <c r="CP340" s="87"/>
      <c r="CQ340" s="87"/>
      <c r="CR340" s="87"/>
      <c r="CS340" s="87"/>
      <c r="CT340" s="87">
        <v>1.0</v>
      </c>
      <c r="CU340" s="87">
        <v>10.0</v>
      </c>
      <c r="CV340" s="87">
        <v>2.0</v>
      </c>
      <c r="CW340" s="87">
        <v>3.0</v>
      </c>
      <c r="CX340" s="87">
        <v>1.0</v>
      </c>
      <c r="CY340" s="87">
        <v>96.0</v>
      </c>
      <c r="CZ340" s="87"/>
      <c r="DA340" s="87"/>
      <c r="DB340" s="87">
        <v>178.0</v>
      </c>
      <c r="DC340" s="87">
        <v>14.0</v>
      </c>
      <c r="DD340" s="87">
        <v>3.0</v>
      </c>
      <c r="DE340" s="87">
        <v>1.0</v>
      </c>
      <c r="DF340" s="87">
        <v>37.0</v>
      </c>
      <c r="DG340" s="87">
        <v>8.0</v>
      </c>
      <c r="DH340" s="87"/>
      <c r="DI340" s="87"/>
      <c r="DJ340" s="87"/>
      <c r="DK340" s="87">
        <v>19.0</v>
      </c>
      <c r="DL340" s="87">
        <v>258.0</v>
      </c>
      <c r="DM340" s="87">
        <v>71.0</v>
      </c>
      <c r="DN340" s="87"/>
      <c r="DO340" s="87">
        <v>1.0</v>
      </c>
      <c r="DP340" s="87"/>
      <c r="DQ340" s="87">
        <v>4.0</v>
      </c>
      <c r="DR340" s="87">
        <v>2.0</v>
      </c>
      <c r="DS340" s="87"/>
      <c r="DT340" s="87"/>
      <c r="DU340" s="87"/>
      <c r="DV340" s="87"/>
      <c r="DW340" s="87"/>
      <c r="DX340" s="87"/>
      <c r="DY340" s="87"/>
      <c r="DZ340" s="87"/>
      <c r="EA340" s="87">
        <v>1.0</v>
      </c>
      <c r="EB340" s="87"/>
      <c r="EC340" s="87">
        <v>1.0</v>
      </c>
      <c r="ED340" s="87">
        <v>693.0</v>
      </c>
      <c r="EE340" s="87"/>
      <c r="EF340" s="87">
        <v>1.0</v>
      </c>
      <c r="EG340" s="87">
        <v>1.0</v>
      </c>
      <c r="EH340" s="87"/>
      <c r="EI340" s="87">
        <v>25.0</v>
      </c>
      <c r="EJ340" s="87">
        <v>675.0</v>
      </c>
      <c r="EK340" s="88"/>
      <c r="EL340" s="88"/>
      <c r="EM340" s="88"/>
      <c r="EN340" s="88"/>
      <c r="EO340" s="88"/>
      <c r="EP340" s="88"/>
      <c r="EQ340" s="90"/>
    </row>
    <row r="341" ht="12.0" customHeight="1">
      <c r="A341" s="89">
        <v>1.06380842E8</v>
      </c>
      <c r="B341" s="89" t="s">
        <v>2208</v>
      </c>
      <c r="C341" s="89" t="s">
        <v>2209</v>
      </c>
      <c r="D341" s="89" t="s">
        <v>2210</v>
      </c>
      <c r="E341" s="89" t="s">
        <v>2211</v>
      </c>
      <c r="F341" s="89" t="s">
        <v>2209</v>
      </c>
      <c r="G341" s="89" t="s">
        <v>2212</v>
      </c>
      <c r="H341" s="89" t="s">
        <v>447</v>
      </c>
      <c r="I341" s="89" t="s">
        <v>456</v>
      </c>
      <c r="J341" s="89" t="s">
        <v>448</v>
      </c>
      <c r="K341" s="89" t="s">
        <v>598</v>
      </c>
      <c r="L341" s="89" t="s">
        <v>2213</v>
      </c>
      <c r="M341" s="89" t="s">
        <v>2214</v>
      </c>
      <c r="N341" s="89" t="s">
        <v>441</v>
      </c>
      <c r="O341" s="87"/>
      <c r="P341" s="87">
        <v>976.0</v>
      </c>
      <c r="Q341" s="87">
        <v>175.0</v>
      </c>
      <c r="R341" s="87"/>
      <c r="S341" s="87"/>
      <c r="T341" s="87"/>
      <c r="U341" s="87">
        <v>459.0</v>
      </c>
      <c r="V341" s="87">
        <v>692.0</v>
      </c>
      <c r="W341" s="87"/>
      <c r="X341" s="87"/>
      <c r="Y341" s="87"/>
      <c r="Z341" s="87"/>
      <c r="AA341" s="87"/>
      <c r="AB341" s="87"/>
      <c r="AC341" s="87">
        <v>52.0</v>
      </c>
      <c r="AD341" s="87">
        <v>161.0</v>
      </c>
      <c r="AE341" s="87">
        <v>384.0</v>
      </c>
      <c r="AF341" s="87">
        <v>544.0</v>
      </c>
      <c r="AG341" s="87">
        <v>10.0</v>
      </c>
      <c r="AH341" s="87">
        <v>90.0</v>
      </c>
      <c r="AI341" s="87">
        <v>1054.0</v>
      </c>
      <c r="AJ341" s="87">
        <v>7.0</v>
      </c>
      <c r="AK341" s="87"/>
      <c r="AL341" s="87">
        <v>220.0</v>
      </c>
      <c r="AM341" s="87"/>
      <c r="AN341" s="87">
        <v>83.0</v>
      </c>
      <c r="AO341" s="87">
        <v>676.0</v>
      </c>
      <c r="AP341" s="87">
        <v>19.0</v>
      </c>
      <c r="AQ341" s="87">
        <v>153.0</v>
      </c>
      <c r="AR341" s="87"/>
      <c r="AS341" s="87">
        <v>36.0</v>
      </c>
      <c r="AT341" s="87"/>
      <c r="AU341" s="87">
        <v>1088.0</v>
      </c>
      <c r="AV341" s="87">
        <v>25.0</v>
      </c>
      <c r="AW341" s="87"/>
      <c r="AX341" s="87">
        <v>2.0</v>
      </c>
      <c r="AY341" s="87"/>
      <c r="AZ341" s="87"/>
      <c r="BA341" s="87"/>
      <c r="BB341" s="87"/>
      <c r="BC341" s="87"/>
      <c r="BD341" s="87"/>
      <c r="BE341" s="87"/>
      <c r="BF341" s="87">
        <v>5.0</v>
      </c>
      <c r="BG341" s="87">
        <v>1146.0</v>
      </c>
      <c r="BH341" s="87"/>
      <c r="BI341" s="87">
        <v>97601.0</v>
      </c>
      <c r="BJ341" s="87"/>
      <c r="BK341" s="87">
        <v>3.0</v>
      </c>
      <c r="BL341" s="87">
        <v>1148.0</v>
      </c>
      <c r="BM341" s="87"/>
      <c r="BN341" s="87"/>
      <c r="BO341" s="87"/>
      <c r="BP341" s="87">
        <v>765.0</v>
      </c>
      <c r="BQ341" s="87">
        <v>164.0</v>
      </c>
      <c r="BR341" s="87"/>
      <c r="BS341" s="87">
        <v>17.0</v>
      </c>
      <c r="BT341" s="87">
        <v>86.0</v>
      </c>
      <c r="BU341" s="87"/>
      <c r="BV341" s="87">
        <v>12.0</v>
      </c>
      <c r="BW341" s="87">
        <v>87.0</v>
      </c>
      <c r="BX341" s="87">
        <v>3.0</v>
      </c>
      <c r="BY341" s="87"/>
      <c r="BZ341" s="87">
        <v>2.0</v>
      </c>
      <c r="CA341" s="87">
        <v>5.0</v>
      </c>
      <c r="CB341" s="87"/>
      <c r="CC341" s="87"/>
      <c r="CD341" s="87">
        <v>10.0</v>
      </c>
      <c r="CE341" s="87"/>
      <c r="CF341" s="87"/>
      <c r="CG341" s="87">
        <v>975.0</v>
      </c>
      <c r="CH341" s="87">
        <v>176.0</v>
      </c>
      <c r="CI341" s="87"/>
      <c r="CJ341" s="87">
        <v>573.0</v>
      </c>
      <c r="CK341" s="87">
        <v>152.0</v>
      </c>
      <c r="CL341" s="87">
        <v>424.0</v>
      </c>
      <c r="CM341" s="87">
        <v>2.0</v>
      </c>
      <c r="CN341" s="87"/>
      <c r="CO341" s="87"/>
      <c r="CP341" s="87"/>
      <c r="CQ341" s="87"/>
      <c r="CR341" s="87"/>
      <c r="CS341" s="87"/>
      <c r="CT341" s="87">
        <v>17.0</v>
      </c>
      <c r="CU341" s="87">
        <v>25.0</v>
      </c>
      <c r="CV341" s="87">
        <v>9.0</v>
      </c>
      <c r="CW341" s="87">
        <v>32.0</v>
      </c>
      <c r="CX341" s="87">
        <v>173.0</v>
      </c>
      <c r="CY341" s="87">
        <v>60.0</v>
      </c>
      <c r="CZ341" s="87"/>
      <c r="DA341" s="87">
        <v>2.0</v>
      </c>
      <c r="DB341" s="87">
        <v>98.0</v>
      </c>
      <c r="DC341" s="87">
        <v>35.0</v>
      </c>
      <c r="DD341" s="87">
        <v>21.0</v>
      </c>
      <c r="DE341" s="87">
        <v>14.0</v>
      </c>
      <c r="DF341" s="87">
        <v>88.0</v>
      </c>
      <c r="DG341" s="87">
        <v>51.0</v>
      </c>
      <c r="DH341" s="87"/>
      <c r="DI341" s="87"/>
      <c r="DJ341" s="87"/>
      <c r="DK341" s="87">
        <v>14.0</v>
      </c>
      <c r="DL341" s="87">
        <v>240.0</v>
      </c>
      <c r="DM341" s="87">
        <v>270.0</v>
      </c>
      <c r="DN341" s="87">
        <v>2.0</v>
      </c>
      <c r="DO341" s="87"/>
      <c r="DP341" s="87"/>
      <c r="DQ341" s="87"/>
      <c r="DR341" s="87"/>
      <c r="DS341" s="87"/>
      <c r="DT341" s="87"/>
      <c r="DU341" s="87"/>
      <c r="DV341" s="87"/>
      <c r="DW341" s="87"/>
      <c r="DX341" s="87"/>
      <c r="DY341" s="87"/>
      <c r="DZ341" s="87"/>
      <c r="EA341" s="87"/>
      <c r="EB341" s="87"/>
      <c r="EC341" s="87"/>
      <c r="ED341" s="87">
        <v>1151.0</v>
      </c>
      <c r="EE341" s="87"/>
      <c r="EF341" s="87"/>
      <c r="EG341" s="87"/>
      <c r="EH341" s="87"/>
      <c r="EI341" s="87">
        <v>14.0</v>
      </c>
      <c r="EJ341" s="87">
        <v>1137.0</v>
      </c>
      <c r="EK341" s="88"/>
      <c r="EL341" s="88"/>
      <c r="EM341" s="88"/>
      <c r="EN341" s="88"/>
      <c r="EO341" s="88"/>
      <c r="EP341" s="88"/>
      <c r="EQ341" s="90"/>
    </row>
    <row r="342" ht="12.0" customHeight="1">
      <c r="A342" s="89">
        <v>1.06380857E8</v>
      </c>
      <c r="B342" s="89" t="s">
        <v>2215</v>
      </c>
      <c r="C342" s="89" t="s">
        <v>2209</v>
      </c>
      <c r="D342" s="89" t="s">
        <v>2216</v>
      </c>
      <c r="E342" s="89" t="s">
        <v>2217</v>
      </c>
      <c r="F342" s="89" t="s">
        <v>2209</v>
      </c>
      <c r="G342" s="89" t="s">
        <v>2218</v>
      </c>
      <c r="H342" s="89" t="s">
        <v>447</v>
      </c>
      <c r="I342" s="89" t="s">
        <v>456</v>
      </c>
      <c r="J342" s="89" t="s">
        <v>469</v>
      </c>
      <c r="K342" s="89" t="s">
        <v>598</v>
      </c>
      <c r="L342" s="89" t="s">
        <v>2213</v>
      </c>
      <c r="M342" s="89" t="s">
        <v>2219</v>
      </c>
      <c r="N342" s="89" t="s">
        <v>441</v>
      </c>
      <c r="O342" s="87">
        <v>14374.0</v>
      </c>
      <c r="P342" s="87"/>
      <c r="Q342" s="87"/>
      <c r="R342" s="87"/>
      <c r="S342" s="87"/>
      <c r="T342" s="87"/>
      <c r="U342" s="87">
        <v>6568.0</v>
      </c>
      <c r="V342" s="87">
        <v>7800.0</v>
      </c>
      <c r="W342" s="87">
        <v>6.0</v>
      </c>
      <c r="X342" s="87">
        <v>2653.0</v>
      </c>
      <c r="Y342" s="87">
        <v>96.0</v>
      </c>
      <c r="Z342" s="87">
        <v>649.0</v>
      </c>
      <c r="AA342" s="87">
        <v>2372.0</v>
      </c>
      <c r="AB342" s="87">
        <v>920.0</v>
      </c>
      <c r="AC342" s="87">
        <v>1146.0</v>
      </c>
      <c r="AD342" s="87">
        <v>1943.0</v>
      </c>
      <c r="AE342" s="87">
        <v>2341.0</v>
      </c>
      <c r="AF342" s="87">
        <v>2254.0</v>
      </c>
      <c r="AG342" s="87"/>
      <c r="AH342" s="87">
        <v>2086.0</v>
      </c>
      <c r="AI342" s="87">
        <v>11850.0</v>
      </c>
      <c r="AJ342" s="87">
        <v>438.0</v>
      </c>
      <c r="AK342" s="87">
        <v>43.0</v>
      </c>
      <c r="AL342" s="87">
        <v>3878.0</v>
      </c>
      <c r="AM342" s="87">
        <v>115.0</v>
      </c>
      <c r="AN342" s="87">
        <v>1194.0</v>
      </c>
      <c r="AO342" s="87">
        <v>6007.0</v>
      </c>
      <c r="AP342" s="87">
        <v>281.0</v>
      </c>
      <c r="AQ342" s="87">
        <v>2696.0</v>
      </c>
      <c r="AR342" s="87">
        <v>160.0</v>
      </c>
      <c r="AS342" s="87">
        <v>10632.0</v>
      </c>
      <c r="AT342" s="87">
        <v>58.0</v>
      </c>
      <c r="AU342" s="87">
        <v>1127.0</v>
      </c>
      <c r="AV342" s="87">
        <v>16.0</v>
      </c>
      <c r="AW342" s="87">
        <v>46.0</v>
      </c>
      <c r="AX342" s="87"/>
      <c r="AY342" s="87"/>
      <c r="AZ342" s="87"/>
      <c r="BA342" s="87"/>
      <c r="BB342" s="87">
        <v>63.0</v>
      </c>
      <c r="BC342" s="87">
        <v>2432.0</v>
      </c>
      <c r="BD342" s="87"/>
      <c r="BE342" s="87">
        <v>5610.0</v>
      </c>
      <c r="BF342" s="87">
        <v>202.0</v>
      </c>
      <c r="BG342" s="87">
        <v>8558.0</v>
      </c>
      <c r="BH342" s="87">
        <v>4.0</v>
      </c>
      <c r="BI342" s="87">
        <v>67890.0</v>
      </c>
      <c r="BJ342" s="87">
        <v>789.0</v>
      </c>
      <c r="BK342" s="87">
        <v>8423.0</v>
      </c>
      <c r="BL342" s="87">
        <v>2695.0</v>
      </c>
      <c r="BM342" s="87">
        <v>2432.0</v>
      </c>
      <c r="BN342" s="87">
        <v>2.0</v>
      </c>
      <c r="BO342" s="87">
        <v>33.0</v>
      </c>
      <c r="BP342" s="87">
        <v>9626.0</v>
      </c>
      <c r="BQ342" s="87">
        <v>264.0</v>
      </c>
      <c r="BR342" s="87">
        <v>28.0</v>
      </c>
      <c r="BS342" s="87">
        <v>614.0</v>
      </c>
      <c r="BT342" s="87">
        <v>1.0</v>
      </c>
      <c r="BU342" s="87"/>
      <c r="BV342" s="87">
        <v>102.0</v>
      </c>
      <c r="BW342" s="87">
        <v>307.0</v>
      </c>
      <c r="BX342" s="87">
        <v>3210.0</v>
      </c>
      <c r="BY342" s="87"/>
      <c r="BZ342" s="87"/>
      <c r="CA342" s="87">
        <v>206.0</v>
      </c>
      <c r="CB342" s="87">
        <v>11.0</v>
      </c>
      <c r="CC342" s="87"/>
      <c r="CD342" s="87">
        <v>3.0</v>
      </c>
      <c r="CE342" s="87">
        <v>2.0</v>
      </c>
      <c r="CF342" s="87"/>
      <c r="CG342" s="87">
        <v>1164.0</v>
      </c>
      <c r="CH342" s="87">
        <v>13210.0</v>
      </c>
      <c r="CI342" s="87"/>
      <c r="CJ342" s="87">
        <v>5388.0</v>
      </c>
      <c r="CK342" s="87">
        <v>940.0</v>
      </c>
      <c r="CL342" s="87">
        <v>7941.0</v>
      </c>
      <c r="CM342" s="87">
        <v>7.0</v>
      </c>
      <c r="CN342" s="87"/>
      <c r="CO342" s="87">
        <v>23.0</v>
      </c>
      <c r="CP342" s="87"/>
      <c r="CQ342" s="87">
        <v>75.0</v>
      </c>
      <c r="CR342" s="87"/>
      <c r="CS342" s="87"/>
      <c r="CT342" s="87">
        <v>1046.0</v>
      </c>
      <c r="CU342" s="87">
        <v>693.0</v>
      </c>
      <c r="CV342" s="87">
        <v>79.0</v>
      </c>
      <c r="CW342" s="87">
        <v>323.0</v>
      </c>
      <c r="CX342" s="87">
        <v>158.0</v>
      </c>
      <c r="CY342" s="87">
        <v>233.0</v>
      </c>
      <c r="CZ342" s="87">
        <v>11.0</v>
      </c>
      <c r="DA342" s="87">
        <v>7.0</v>
      </c>
      <c r="DB342" s="87">
        <v>3206.0</v>
      </c>
      <c r="DC342" s="87">
        <v>437.0</v>
      </c>
      <c r="DD342" s="87">
        <v>1163.0</v>
      </c>
      <c r="DE342" s="87">
        <v>156.0</v>
      </c>
      <c r="DF342" s="87">
        <v>320.0</v>
      </c>
      <c r="DG342" s="87">
        <v>413.0</v>
      </c>
      <c r="DH342" s="87">
        <v>2618.0</v>
      </c>
      <c r="DI342" s="87">
        <v>2510.0</v>
      </c>
      <c r="DJ342" s="87">
        <v>72.0</v>
      </c>
      <c r="DK342" s="87">
        <v>234.0</v>
      </c>
      <c r="DL342" s="87">
        <v>612.0</v>
      </c>
      <c r="DM342" s="87">
        <v>82.0</v>
      </c>
      <c r="DN342" s="87">
        <v>1.0</v>
      </c>
      <c r="DO342" s="87">
        <v>2902.0</v>
      </c>
      <c r="DP342" s="87">
        <v>2488.0</v>
      </c>
      <c r="DQ342" s="87">
        <v>2709.0</v>
      </c>
      <c r="DR342" s="87">
        <v>1387.0</v>
      </c>
      <c r="DS342" s="87">
        <v>8.0</v>
      </c>
      <c r="DT342" s="87">
        <v>8.0</v>
      </c>
      <c r="DU342" s="87">
        <v>2.0</v>
      </c>
      <c r="DV342" s="87">
        <v>690.0</v>
      </c>
      <c r="DW342" s="87">
        <v>45.0</v>
      </c>
      <c r="DX342" s="87">
        <v>227.0</v>
      </c>
      <c r="DY342" s="87">
        <v>530.0</v>
      </c>
      <c r="DZ342" s="87">
        <v>68.0</v>
      </c>
      <c r="EA342" s="87">
        <v>92.0</v>
      </c>
      <c r="EB342" s="87">
        <v>167.0</v>
      </c>
      <c r="EC342" s="87">
        <v>260.0</v>
      </c>
      <c r="ED342" s="87">
        <v>2493.0</v>
      </c>
      <c r="EE342" s="87">
        <v>298.0</v>
      </c>
      <c r="EF342" s="87">
        <v>4.0</v>
      </c>
      <c r="EG342" s="87">
        <v>61.0</v>
      </c>
      <c r="EH342" s="87"/>
      <c r="EI342" s="87">
        <v>41.0</v>
      </c>
      <c r="EJ342" s="87">
        <v>14268.0</v>
      </c>
      <c r="EK342" s="88"/>
      <c r="EL342" s="88"/>
      <c r="EM342" s="88"/>
      <c r="EN342" s="88"/>
      <c r="EO342" s="88"/>
      <c r="EP342" s="88"/>
      <c r="EQ342" s="90"/>
    </row>
    <row r="343" ht="12.0" customHeight="1">
      <c r="A343" s="89">
        <v>1.06380865E8</v>
      </c>
      <c r="B343" s="89" t="s">
        <v>2220</v>
      </c>
      <c r="C343" s="89" t="s">
        <v>2209</v>
      </c>
      <c r="D343" s="89" t="s">
        <v>2221</v>
      </c>
      <c r="E343" s="89" t="s">
        <v>2222</v>
      </c>
      <c r="F343" s="89" t="s">
        <v>2209</v>
      </c>
      <c r="G343" s="89" t="s">
        <v>2223</v>
      </c>
      <c r="H343" s="89" t="s">
        <v>435</v>
      </c>
      <c r="I343" s="89" t="s">
        <v>456</v>
      </c>
      <c r="J343" s="89" t="s">
        <v>605</v>
      </c>
      <c r="K343" s="89" t="s">
        <v>598</v>
      </c>
      <c r="L343" s="89" t="s">
        <v>1504</v>
      </c>
      <c r="M343" s="89" t="s">
        <v>2224</v>
      </c>
      <c r="N343" s="89" t="s">
        <v>441</v>
      </c>
      <c r="O343" s="87">
        <v>76.0</v>
      </c>
      <c r="P343" s="87">
        <v>426.0</v>
      </c>
      <c r="Q343" s="87"/>
      <c r="R343" s="87"/>
      <c r="S343" s="87">
        <v>3.0</v>
      </c>
      <c r="T343" s="87"/>
      <c r="U343" s="87">
        <v>279.0</v>
      </c>
      <c r="V343" s="87">
        <v>208.0</v>
      </c>
      <c r="W343" s="87">
        <v>18.0</v>
      </c>
      <c r="X343" s="87"/>
      <c r="Y343" s="87"/>
      <c r="Z343" s="87"/>
      <c r="AA343" s="87">
        <v>31.0</v>
      </c>
      <c r="AB343" s="87">
        <v>29.0</v>
      </c>
      <c r="AC343" s="87">
        <v>79.0</v>
      </c>
      <c r="AD343" s="87">
        <v>140.0</v>
      </c>
      <c r="AE343" s="87">
        <v>115.0</v>
      </c>
      <c r="AF343" s="87">
        <v>110.0</v>
      </c>
      <c r="AG343" s="87">
        <v>1.0</v>
      </c>
      <c r="AH343" s="87">
        <v>94.0</v>
      </c>
      <c r="AI343" s="87">
        <v>409.0</v>
      </c>
      <c r="AJ343" s="87">
        <v>2.0</v>
      </c>
      <c r="AK343" s="87"/>
      <c r="AL343" s="87">
        <v>113.0</v>
      </c>
      <c r="AM343" s="87"/>
      <c r="AN343" s="87">
        <v>129.0</v>
      </c>
      <c r="AO343" s="87">
        <v>138.0</v>
      </c>
      <c r="AP343" s="87">
        <v>1.0</v>
      </c>
      <c r="AQ343" s="87">
        <v>101.0</v>
      </c>
      <c r="AR343" s="87">
        <v>23.0</v>
      </c>
      <c r="AS343" s="87">
        <v>68.0</v>
      </c>
      <c r="AT343" s="87">
        <v>14.0</v>
      </c>
      <c r="AU343" s="87">
        <v>257.0</v>
      </c>
      <c r="AV343" s="87">
        <v>19.0</v>
      </c>
      <c r="AW343" s="87">
        <v>10.0</v>
      </c>
      <c r="AX343" s="87">
        <v>134.0</v>
      </c>
      <c r="AY343" s="87"/>
      <c r="AZ343" s="87">
        <v>2.0</v>
      </c>
      <c r="BA343" s="87"/>
      <c r="BB343" s="87">
        <v>1.0</v>
      </c>
      <c r="BC343" s="87"/>
      <c r="BD343" s="87"/>
      <c r="BE343" s="87"/>
      <c r="BF343" s="87"/>
      <c r="BG343" s="87">
        <v>505.0</v>
      </c>
      <c r="BH343" s="87"/>
      <c r="BI343" s="87">
        <v>90305.0</v>
      </c>
      <c r="BJ343" s="87">
        <v>5.0</v>
      </c>
      <c r="BK343" s="87">
        <v>3.0</v>
      </c>
      <c r="BL343" s="87">
        <v>493.0</v>
      </c>
      <c r="BM343" s="87"/>
      <c r="BN343" s="87"/>
      <c r="BO343" s="87">
        <v>4.0</v>
      </c>
      <c r="BP343" s="87">
        <v>46.0</v>
      </c>
      <c r="BQ343" s="87">
        <v>274.0</v>
      </c>
      <c r="BR343" s="87"/>
      <c r="BS343" s="87">
        <v>90.0</v>
      </c>
      <c r="BT343" s="87">
        <v>4.0</v>
      </c>
      <c r="BU343" s="87">
        <v>1.0</v>
      </c>
      <c r="BV343" s="87">
        <v>7.0</v>
      </c>
      <c r="BW343" s="87">
        <v>79.0</v>
      </c>
      <c r="BX343" s="87"/>
      <c r="BY343" s="87"/>
      <c r="BZ343" s="87"/>
      <c r="CA343" s="87"/>
      <c r="CB343" s="87">
        <v>2.0</v>
      </c>
      <c r="CC343" s="87"/>
      <c r="CD343" s="87">
        <v>1.0</v>
      </c>
      <c r="CE343" s="87"/>
      <c r="CF343" s="87">
        <v>1.0</v>
      </c>
      <c r="CG343" s="87">
        <v>247.0</v>
      </c>
      <c r="CH343" s="87">
        <v>258.0</v>
      </c>
      <c r="CI343" s="87"/>
      <c r="CJ343" s="87">
        <v>47.0</v>
      </c>
      <c r="CK343" s="87">
        <v>452.0</v>
      </c>
      <c r="CL343" s="87">
        <v>1.0</v>
      </c>
      <c r="CM343" s="87"/>
      <c r="CN343" s="87"/>
      <c r="CO343" s="87"/>
      <c r="CP343" s="87"/>
      <c r="CQ343" s="87">
        <v>5.0</v>
      </c>
      <c r="CR343" s="87"/>
      <c r="CS343" s="87"/>
      <c r="CT343" s="87">
        <v>32.0</v>
      </c>
      <c r="CU343" s="87">
        <v>9.0</v>
      </c>
      <c r="CV343" s="87"/>
      <c r="CW343" s="87">
        <v>18.0</v>
      </c>
      <c r="CX343" s="87">
        <v>9.0</v>
      </c>
      <c r="CY343" s="87">
        <v>213.0</v>
      </c>
      <c r="CZ343" s="87"/>
      <c r="DA343" s="87"/>
      <c r="DB343" s="87">
        <v>165.0</v>
      </c>
      <c r="DC343" s="87">
        <v>5.0</v>
      </c>
      <c r="DD343" s="87"/>
      <c r="DE343" s="87"/>
      <c r="DF343" s="87">
        <v>2.0</v>
      </c>
      <c r="DG343" s="87">
        <v>11.0</v>
      </c>
      <c r="DH343" s="87"/>
      <c r="DI343" s="87"/>
      <c r="DJ343" s="87"/>
      <c r="DK343" s="87">
        <v>2.0</v>
      </c>
      <c r="DL343" s="87">
        <v>24.0</v>
      </c>
      <c r="DM343" s="87">
        <v>15.0</v>
      </c>
      <c r="DN343" s="87"/>
      <c r="DO343" s="87"/>
      <c r="DP343" s="87"/>
      <c r="DQ343" s="87"/>
      <c r="DR343" s="87"/>
      <c r="DS343" s="87"/>
      <c r="DT343" s="87"/>
      <c r="DU343" s="87"/>
      <c r="DV343" s="87"/>
      <c r="DW343" s="87"/>
      <c r="DX343" s="87"/>
      <c r="DY343" s="87"/>
      <c r="DZ343" s="87"/>
      <c r="EA343" s="87"/>
      <c r="EB343" s="87"/>
      <c r="EC343" s="87"/>
      <c r="ED343" s="87">
        <v>505.0</v>
      </c>
      <c r="EE343" s="87"/>
      <c r="EF343" s="87"/>
      <c r="EG343" s="87">
        <v>9.0</v>
      </c>
      <c r="EH343" s="87"/>
      <c r="EI343" s="87"/>
      <c r="EJ343" s="87">
        <v>496.0</v>
      </c>
      <c r="EK343" s="88"/>
      <c r="EL343" s="88"/>
      <c r="EM343" s="88"/>
      <c r="EN343" s="88"/>
      <c r="EO343" s="88"/>
      <c r="EP343" s="88"/>
      <c r="EQ343" s="90"/>
    </row>
    <row r="344" ht="12.0" customHeight="1">
      <c r="A344" s="89">
        <v>1.06380868E8</v>
      </c>
      <c r="B344" s="89" t="s">
        <v>2225</v>
      </c>
      <c r="C344" s="89" t="s">
        <v>2209</v>
      </c>
      <c r="D344" s="89" t="s">
        <v>2226</v>
      </c>
      <c r="E344" s="89" t="s">
        <v>2227</v>
      </c>
      <c r="F344" s="89" t="s">
        <v>2209</v>
      </c>
      <c r="G344" s="89" t="s">
        <v>2228</v>
      </c>
      <c r="H344" s="89" t="s">
        <v>1256</v>
      </c>
      <c r="I344" s="89" t="s">
        <v>456</v>
      </c>
      <c r="J344" s="89" t="s">
        <v>463</v>
      </c>
      <c r="K344" s="89" t="s">
        <v>598</v>
      </c>
      <c r="L344" s="89" t="s">
        <v>1504</v>
      </c>
      <c r="M344" s="89" t="s">
        <v>2224</v>
      </c>
      <c r="N344" s="89" t="s">
        <v>441</v>
      </c>
      <c r="O344" s="87"/>
      <c r="P344" s="87"/>
      <c r="Q344" s="87">
        <v>501.0</v>
      </c>
      <c r="R344" s="87"/>
      <c r="S344" s="87"/>
      <c r="T344" s="87"/>
      <c r="U344" s="87">
        <v>237.0</v>
      </c>
      <c r="V344" s="87">
        <v>263.0</v>
      </c>
      <c r="W344" s="87">
        <v>1.0</v>
      </c>
      <c r="X344" s="87"/>
      <c r="Y344" s="87">
        <v>22.0</v>
      </c>
      <c r="Z344" s="87">
        <v>144.0</v>
      </c>
      <c r="AA344" s="87">
        <v>113.0</v>
      </c>
      <c r="AB344" s="87">
        <v>75.0</v>
      </c>
      <c r="AC344" s="87">
        <v>51.0</v>
      </c>
      <c r="AD344" s="87">
        <v>53.0</v>
      </c>
      <c r="AE344" s="87">
        <v>38.0</v>
      </c>
      <c r="AF344" s="87"/>
      <c r="AG344" s="87">
        <v>5.0</v>
      </c>
      <c r="AH344" s="87">
        <v>45.0</v>
      </c>
      <c r="AI344" s="87">
        <v>417.0</v>
      </c>
      <c r="AJ344" s="87">
        <v>39.0</v>
      </c>
      <c r="AK344" s="87"/>
      <c r="AL344" s="87">
        <v>81.0</v>
      </c>
      <c r="AM344" s="87"/>
      <c r="AN344" s="87">
        <v>50.0</v>
      </c>
      <c r="AO344" s="87">
        <v>238.0</v>
      </c>
      <c r="AP344" s="87">
        <v>48.0</v>
      </c>
      <c r="AQ344" s="87">
        <v>67.0</v>
      </c>
      <c r="AR344" s="87">
        <v>17.0</v>
      </c>
      <c r="AS344" s="87"/>
      <c r="AT344" s="87">
        <v>1.0</v>
      </c>
      <c r="AU344" s="87">
        <v>495.0</v>
      </c>
      <c r="AV344" s="87">
        <v>1.0</v>
      </c>
      <c r="AW344" s="87">
        <v>4.0</v>
      </c>
      <c r="AX344" s="87"/>
      <c r="AY344" s="87"/>
      <c r="AZ344" s="87"/>
      <c r="BA344" s="87"/>
      <c r="BB344" s="87"/>
      <c r="BC344" s="87"/>
      <c r="BD344" s="87"/>
      <c r="BE344" s="87"/>
      <c r="BF344" s="87">
        <v>492.0</v>
      </c>
      <c r="BG344" s="87">
        <v>9.0</v>
      </c>
      <c r="BH344" s="87"/>
      <c r="BI344" s="87">
        <v>6401.0</v>
      </c>
      <c r="BJ344" s="87"/>
      <c r="BK344" s="87">
        <v>500.0</v>
      </c>
      <c r="BL344" s="87"/>
      <c r="BM344" s="87"/>
      <c r="BN344" s="87"/>
      <c r="BO344" s="87">
        <v>1.0</v>
      </c>
      <c r="BP344" s="87">
        <v>475.0</v>
      </c>
      <c r="BQ344" s="87">
        <v>20.0</v>
      </c>
      <c r="BR344" s="87"/>
      <c r="BS344" s="87">
        <v>1.0</v>
      </c>
      <c r="BT344" s="87">
        <v>3.0</v>
      </c>
      <c r="BU344" s="87"/>
      <c r="BV344" s="87">
        <v>1.0</v>
      </c>
      <c r="BW344" s="87"/>
      <c r="BX344" s="87">
        <v>1.0</v>
      </c>
      <c r="BY344" s="87"/>
      <c r="BZ344" s="87"/>
      <c r="CA344" s="87"/>
      <c r="CB344" s="87"/>
      <c r="CC344" s="87"/>
      <c r="CD344" s="87"/>
      <c r="CE344" s="87"/>
      <c r="CF344" s="87"/>
      <c r="CG344" s="87">
        <v>3.0</v>
      </c>
      <c r="CH344" s="87">
        <v>498.0</v>
      </c>
      <c r="CI344" s="87"/>
      <c r="CJ344" s="87">
        <v>137.0</v>
      </c>
      <c r="CK344" s="87">
        <v>66.0</v>
      </c>
      <c r="CL344" s="87">
        <v>279.0</v>
      </c>
      <c r="CM344" s="87"/>
      <c r="CN344" s="87"/>
      <c r="CO344" s="87"/>
      <c r="CP344" s="87"/>
      <c r="CQ344" s="87">
        <v>19.0</v>
      </c>
      <c r="CR344" s="87"/>
      <c r="CS344" s="87"/>
      <c r="CT344" s="87"/>
      <c r="CU344" s="87"/>
      <c r="CV344" s="87"/>
      <c r="CW344" s="87"/>
      <c r="CX344" s="87">
        <v>499.0</v>
      </c>
      <c r="CY344" s="87"/>
      <c r="CZ344" s="87"/>
      <c r="DA344" s="87"/>
      <c r="DB344" s="87"/>
      <c r="DC344" s="87"/>
      <c r="DD344" s="87"/>
      <c r="DE344" s="87"/>
      <c r="DF344" s="87"/>
      <c r="DG344" s="87"/>
      <c r="DH344" s="87"/>
      <c r="DI344" s="87"/>
      <c r="DJ344" s="87"/>
      <c r="DK344" s="87"/>
      <c r="DL344" s="87"/>
      <c r="DM344" s="87"/>
      <c r="DN344" s="87">
        <v>2.0</v>
      </c>
      <c r="DO344" s="87">
        <v>19.0</v>
      </c>
      <c r="DP344" s="87"/>
      <c r="DQ344" s="87"/>
      <c r="DR344" s="87"/>
      <c r="DS344" s="87">
        <v>1.0</v>
      </c>
      <c r="DT344" s="87"/>
      <c r="DU344" s="87"/>
      <c r="DV344" s="87"/>
      <c r="DW344" s="87"/>
      <c r="DX344" s="87"/>
      <c r="DY344" s="87">
        <v>1.0</v>
      </c>
      <c r="DZ344" s="87">
        <v>1.0</v>
      </c>
      <c r="EA344" s="87"/>
      <c r="EB344" s="87"/>
      <c r="EC344" s="87"/>
      <c r="ED344" s="87">
        <v>473.0</v>
      </c>
      <c r="EE344" s="87">
        <v>6.0</v>
      </c>
      <c r="EF344" s="87">
        <v>2.0</v>
      </c>
      <c r="EG344" s="87">
        <v>36.0</v>
      </c>
      <c r="EH344" s="87"/>
      <c r="EI344" s="87">
        <v>12.0</v>
      </c>
      <c r="EJ344" s="87">
        <v>451.0</v>
      </c>
      <c r="EK344" s="88"/>
      <c r="EL344" s="88"/>
      <c r="EM344" s="88"/>
      <c r="EN344" s="88"/>
      <c r="EO344" s="88"/>
      <c r="EP344" s="88"/>
      <c r="EQ344" s="90"/>
    </row>
    <row r="345" ht="12.0" customHeight="1">
      <c r="A345" s="89">
        <v>1.06380933E8</v>
      </c>
      <c r="B345" s="89" t="s">
        <v>2229</v>
      </c>
      <c r="C345" s="89" t="s">
        <v>2209</v>
      </c>
      <c r="D345" s="89" t="s">
        <v>2230</v>
      </c>
      <c r="E345" s="89" t="s">
        <v>2231</v>
      </c>
      <c r="F345" s="89" t="s">
        <v>2209</v>
      </c>
      <c r="G345" s="89" t="s">
        <v>2232</v>
      </c>
      <c r="H345" s="89" t="s">
        <v>447</v>
      </c>
      <c r="I345" s="89" t="s">
        <v>456</v>
      </c>
      <c r="J345" s="89" t="s">
        <v>469</v>
      </c>
      <c r="K345" s="89" t="s">
        <v>598</v>
      </c>
      <c r="L345" s="89" t="s">
        <v>1504</v>
      </c>
      <c r="M345" s="89" t="s">
        <v>2224</v>
      </c>
      <c r="N345" s="89" t="s">
        <v>441</v>
      </c>
      <c r="O345" s="87">
        <v>3289.0</v>
      </c>
      <c r="P345" s="87">
        <v>330.0</v>
      </c>
      <c r="Q345" s="87">
        <v>107.0</v>
      </c>
      <c r="R345" s="87"/>
      <c r="S345" s="87">
        <v>539.0</v>
      </c>
      <c r="T345" s="87"/>
      <c r="U345" s="87">
        <v>2347.0</v>
      </c>
      <c r="V345" s="87">
        <v>1918.0</v>
      </c>
      <c r="W345" s="87"/>
      <c r="X345" s="87"/>
      <c r="Y345" s="87">
        <v>38.0</v>
      </c>
      <c r="Z345" s="87">
        <v>246.0</v>
      </c>
      <c r="AA345" s="87">
        <v>345.0</v>
      </c>
      <c r="AB345" s="87">
        <v>367.0</v>
      </c>
      <c r="AC345" s="87">
        <v>572.0</v>
      </c>
      <c r="AD345" s="87">
        <v>901.0</v>
      </c>
      <c r="AE345" s="87">
        <v>922.0</v>
      </c>
      <c r="AF345" s="87">
        <v>874.0</v>
      </c>
      <c r="AG345" s="87"/>
      <c r="AH345" s="87">
        <v>517.0</v>
      </c>
      <c r="AI345" s="87">
        <v>3632.0</v>
      </c>
      <c r="AJ345" s="87">
        <v>116.0</v>
      </c>
      <c r="AK345" s="87">
        <v>14.0</v>
      </c>
      <c r="AL345" s="87">
        <v>602.0</v>
      </c>
      <c r="AM345" s="87">
        <v>110.0</v>
      </c>
      <c r="AN345" s="87">
        <v>490.0</v>
      </c>
      <c r="AO345" s="87">
        <v>2421.0</v>
      </c>
      <c r="AP345" s="87">
        <v>105.0</v>
      </c>
      <c r="AQ345" s="87">
        <v>480.0</v>
      </c>
      <c r="AR345" s="87">
        <v>43.0</v>
      </c>
      <c r="AS345" s="87">
        <v>2425.0</v>
      </c>
      <c r="AT345" s="87">
        <v>25.0</v>
      </c>
      <c r="AU345" s="87">
        <v>1467.0</v>
      </c>
      <c r="AV345" s="87">
        <v>110.0</v>
      </c>
      <c r="AW345" s="87">
        <v>11.0</v>
      </c>
      <c r="AX345" s="87">
        <v>222.0</v>
      </c>
      <c r="AY345" s="87">
        <v>2.0</v>
      </c>
      <c r="AZ345" s="87">
        <v>1.0</v>
      </c>
      <c r="BA345" s="87">
        <v>2.0</v>
      </c>
      <c r="BB345" s="87"/>
      <c r="BC345" s="87"/>
      <c r="BD345" s="87"/>
      <c r="BE345" s="87">
        <v>1822.0</v>
      </c>
      <c r="BF345" s="87">
        <v>351.0</v>
      </c>
      <c r="BG345" s="87">
        <v>2092.0</v>
      </c>
      <c r="BH345" s="87"/>
      <c r="BI345" s="87">
        <v>35980.0</v>
      </c>
      <c r="BJ345" s="87">
        <v>1255.0</v>
      </c>
      <c r="BK345" s="87">
        <v>1345.0</v>
      </c>
      <c r="BL345" s="87">
        <v>1665.0</v>
      </c>
      <c r="BM345" s="87"/>
      <c r="BN345" s="87"/>
      <c r="BO345" s="87"/>
      <c r="BP345" s="87">
        <v>1590.0</v>
      </c>
      <c r="BQ345" s="87">
        <v>354.0</v>
      </c>
      <c r="BR345" s="87">
        <v>102.0</v>
      </c>
      <c r="BS345" s="87">
        <v>427.0</v>
      </c>
      <c r="BT345" s="87">
        <v>31.0</v>
      </c>
      <c r="BU345" s="87">
        <v>3.0</v>
      </c>
      <c r="BV345" s="87">
        <v>122.0</v>
      </c>
      <c r="BW345" s="87">
        <v>103.0</v>
      </c>
      <c r="BX345" s="87">
        <v>1407.0</v>
      </c>
      <c r="BY345" s="87"/>
      <c r="BZ345" s="87"/>
      <c r="CA345" s="87">
        <v>106.0</v>
      </c>
      <c r="CB345" s="87">
        <v>17.0</v>
      </c>
      <c r="CC345" s="87"/>
      <c r="CD345" s="87">
        <v>3.0</v>
      </c>
      <c r="CE345" s="87"/>
      <c r="CF345" s="87"/>
      <c r="CG345" s="87">
        <v>453.0</v>
      </c>
      <c r="CH345" s="87">
        <v>3812.0</v>
      </c>
      <c r="CI345" s="87"/>
      <c r="CJ345" s="87">
        <v>2046.0</v>
      </c>
      <c r="CK345" s="87">
        <v>840.0</v>
      </c>
      <c r="CL345" s="87">
        <v>1187.0</v>
      </c>
      <c r="CM345" s="87">
        <v>61.0</v>
      </c>
      <c r="CN345" s="87"/>
      <c r="CO345" s="87">
        <v>32.0</v>
      </c>
      <c r="CP345" s="87"/>
      <c r="CQ345" s="87">
        <v>82.0</v>
      </c>
      <c r="CR345" s="87">
        <v>17.0</v>
      </c>
      <c r="CS345" s="87"/>
      <c r="CT345" s="87">
        <v>418.0</v>
      </c>
      <c r="CU345" s="87">
        <v>176.0</v>
      </c>
      <c r="CV345" s="87">
        <v>31.0</v>
      </c>
      <c r="CW345" s="87">
        <v>130.0</v>
      </c>
      <c r="CX345" s="87">
        <v>283.0</v>
      </c>
      <c r="CY345" s="87">
        <v>232.0</v>
      </c>
      <c r="CZ345" s="87">
        <v>7.0</v>
      </c>
      <c r="DA345" s="87">
        <v>3.0</v>
      </c>
      <c r="DB345" s="87">
        <v>920.0</v>
      </c>
      <c r="DC345" s="87">
        <v>138.0</v>
      </c>
      <c r="DD345" s="87">
        <v>275.0</v>
      </c>
      <c r="DE345" s="87">
        <v>175.0</v>
      </c>
      <c r="DF345" s="87">
        <v>361.0</v>
      </c>
      <c r="DG345" s="87">
        <v>192.0</v>
      </c>
      <c r="DH345" s="87"/>
      <c r="DI345" s="87"/>
      <c r="DJ345" s="87">
        <v>5.0</v>
      </c>
      <c r="DK345" s="87">
        <v>89.0</v>
      </c>
      <c r="DL345" s="87">
        <v>563.0</v>
      </c>
      <c r="DM345" s="87">
        <v>264.0</v>
      </c>
      <c r="DN345" s="87">
        <v>3.0</v>
      </c>
      <c r="DO345" s="87">
        <v>459.0</v>
      </c>
      <c r="DP345" s="87"/>
      <c r="DQ345" s="87">
        <v>254.0</v>
      </c>
      <c r="DR345" s="87">
        <v>140.0</v>
      </c>
      <c r="DS345" s="87">
        <v>3.0</v>
      </c>
      <c r="DT345" s="87"/>
      <c r="DU345" s="87">
        <v>3.0</v>
      </c>
      <c r="DV345" s="87">
        <v>120.0</v>
      </c>
      <c r="DW345" s="87">
        <v>40.0</v>
      </c>
      <c r="DX345" s="87">
        <v>262.0</v>
      </c>
      <c r="DY345" s="87">
        <v>504.0</v>
      </c>
      <c r="DZ345" s="87">
        <v>207.0</v>
      </c>
      <c r="EA345" s="87">
        <v>14.0</v>
      </c>
      <c r="EB345" s="87">
        <v>55.0</v>
      </c>
      <c r="EC345" s="87">
        <v>40.0</v>
      </c>
      <c r="ED345" s="87">
        <v>2052.0</v>
      </c>
      <c r="EE345" s="87">
        <v>112.0</v>
      </c>
      <c r="EF345" s="87">
        <v>18.0</v>
      </c>
      <c r="EG345" s="87">
        <v>244.0</v>
      </c>
      <c r="EH345" s="87">
        <v>11.0</v>
      </c>
      <c r="EI345" s="87">
        <v>108.0</v>
      </c>
      <c r="EJ345" s="87">
        <v>3884.0</v>
      </c>
      <c r="EK345" s="88"/>
      <c r="EL345" s="88"/>
      <c r="EM345" s="88"/>
      <c r="EN345" s="88"/>
      <c r="EO345" s="88"/>
      <c r="EP345" s="88"/>
      <c r="EQ345" s="90"/>
    </row>
    <row r="346" ht="12.0" customHeight="1">
      <c r="A346" s="89">
        <v>1.06380939E8</v>
      </c>
      <c r="B346" s="89" t="s">
        <v>2233</v>
      </c>
      <c r="C346" s="89" t="s">
        <v>2209</v>
      </c>
      <c r="D346" s="89" t="s">
        <v>2234</v>
      </c>
      <c r="E346" s="89" t="s">
        <v>2235</v>
      </c>
      <c r="F346" s="89" t="s">
        <v>2209</v>
      </c>
      <c r="G346" s="89" t="s">
        <v>2236</v>
      </c>
      <c r="H346" s="89" t="s">
        <v>435</v>
      </c>
      <c r="I346" s="89" t="s">
        <v>456</v>
      </c>
      <c r="J346" s="89" t="s">
        <v>448</v>
      </c>
      <c r="K346" s="89" t="s">
        <v>598</v>
      </c>
      <c r="L346" s="89" t="s">
        <v>1504</v>
      </c>
      <c r="M346" s="89" t="s">
        <v>2214</v>
      </c>
      <c r="N346" s="89" t="s">
        <v>441</v>
      </c>
      <c r="O346" s="87">
        <v>14583.0</v>
      </c>
      <c r="P346" s="87">
        <v>48.0</v>
      </c>
      <c r="Q346" s="87">
        <v>367.0</v>
      </c>
      <c r="R346" s="87"/>
      <c r="S346" s="87"/>
      <c r="T346" s="87">
        <v>2.0</v>
      </c>
      <c r="U346" s="87">
        <v>8309.0</v>
      </c>
      <c r="V346" s="87">
        <v>6606.0</v>
      </c>
      <c r="W346" s="87">
        <v>85.0</v>
      </c>
      <c r="X346" s="87">
        <v>1507.0</v>
      </c>
      <c r="Y346" s="87">
        <v>339.0</v>
      </c>
      <c r="Z346" s="87">
        <v>1609.0</v>
      </c>
      <c r="AA346" s="87">
        <v>2303.0</v>
      </c>
      <c r="AB346" s="87">
        <v>1896.0</v>
      </c>
      <c r="AC346" s="87">
        <v>2131.0</v>
      </c>
      <c r="AD346" s="87">
        <v>2487.0</v>
      </c>
      <c r="AE346" s="87">
        <v>1493.0</v>
      </c>
      <c r="AF346" s="87">
        <v>1235.0</v>
      </c>
      <c r="AG346" s="87"/>
      <c r="AH346" s="87">
        <v>5490.0</v>
      </c>
      <c r="AI346" s="87">
        <v>9405.0</v>
      </c>
      <c r="AJ346" s="87">
        <v>105.0</v>
      </c>
      <c r="AK346" s="87">
        <v>79.0</v>
      </c>
      <c r="AL346" s="87">
        <v>2295.0</v>
      </c>
      <c r="AM346" s="87">
        <v>221.0</v>
      </c>
      <c r="AN346" s="87">
        <v>2650.0</v>
      </c>
      <c r="AO346" s="87">
        <v>3294.0</v>
      </c>
      <c r="AP346" s="87">
        <v>125.0</v>
      </c>
      <c r="AQ346" s="87">
        <v>5431.0</v>
      </c>
      <c r="AR346" s="87">
        <v>905.0</v>
      </c>
      <c r="AS346" s="87">
        <v>11973.0</v>
      </c>
      <c r="AT346" s="87">
        <v>1254.0</v>
      </c>
      <c r="AU346" s="87">
        <v>39.0</v>
      </c>
      <c r="AV346" s="87">
        <v>39.0</v>
      </c>
      <c r="AW346" s="87">
        <v>17.0</v>
      </c>
      <c r="AX346" s="87">
        <v>148.0</v>
      </c>
      <c r="AY346" s="87"/>
      <c r="AZ346" s="87"/>
      <c r="BA346" s="87">
        <v>103.0</v>
      </c>
      <c r="BB346" s="87">
        <v>215.0</v>
      </c>
      <c r="BC346" s="87">
        <v>1212.0</v>
      </c>
      <c r="BD346" s="87"/>
      <c r="BE346" s="87">
        <v>11057.0</v>
      </c>
      <c r="BF346" s="87">
        <v>1.0</v>
      </c>
      <c r="BG346" s="87">
        <v>3942.0</v>
      </c>
      <c r="BH346" s="87"/>
      <c r="BI346" s="87">
        <v>92501.0</v>
      </c>
      <c r="BJ346" s="87">
        <v>8973.0</v>
      </c>
      <c r="BK346" s="87">
        <v>760.0</v>
      </c>
      <c r="BL346" s="87">
        <v>2431.0</v>
      </c>
      <c r="BM346" s="87">
        <v>1212.0</v>
      </c>
      <c r="BN346" s="87">
        <v>1611.0</v>
      </c>
      <c r="BO346" s="87">
        <v>13.0</v>
      </c>
      <c r="BP346" s="87">
        <v>11117.0</v>
      </c>
      <c r="BQ346" s="87">
        <v>337.0</v>
      </c>
      <c r="BR346" s="87">
        <v>52.0</v>
      </c>
      <c r="BS346" s="87">
        <v>1148.0</v>
      </c>
      <c r="BT346" s="87">
        <v>213.0</v>
      </c>
      <c r="BU346" s="87">
        <v>263.0</v>
      </c>
      <c r="BV346" s="87">
        <v>700.0</v>
      </c>
      <c r="BW346" s="87">
        <v>395.0</v>
      </c>
      <c r="BX346" s="87">
        <v>525.0</v>
      </c>
      <c r="BY346" s="87"/>
      <c r="BZ346" s="87">
        <v>7.0</v>
      </c>
      <c r="CA346" s="87">
        <v>81.0</v>
      </c>
      <c r="CB346" s="87">
        <v>103.0</v>
      </c>
      <c r="CC346" s="87"/>
      <c r="CD346" s="87">
        <v>53.0</v>
      </c>
      <c r="CE346" s="87">
        <v>4.0</v>
      </c>
      <c r="CF346" s="87">
        <v>2.0</v>
      </c>
      <c r="CG346" s="87">
        <v>1029.0</v>
      </c>
      <c r="CH346" s="87">
        <v>13971.0</v>
      </c>
      <c r="CI346" s="87"/>
      <c r="CJ346" s="87">
        <v>3938.0</v>
      </c>
      <c r="CK346" s="87">
        <v>9264.0</v>
      </c>
      <c r="CL346" s="87">
        <v>1036.0</v>
      </c>
      <c r="CM346" s="87">
        <v>67.0</v>
      </c>
      <c r="CN346" s="87">
        <v>162.0</v>
      </c>
      <c r="CO346" s="87">
        <v>405.0</v>
      </c>
      <c r="CP346" s="87">
        <v>2.0</v>
      </c>
      <c r="CQ346" s="87">
        <v>120.0</v>
      </c>
      <c r="CR346" s="87">
        <v>6.0</v>
      </c>
      <c r="CS346" s="87"/>
      <c r="CT346" s="87">
        <v>1165.0</v>
      </c>
      <c r="CU346" s="87">
        <v>455.0</v>
      </c>
      <c r="CV346" s="87">
        <v>123.0</v>
      </c>
      <c r="CW346" s="87">
        <v>601.0</v>
      </c>
      <c r="CX346" s="87">
        <v>825.0</v>
      </c>
      <c r="CY346" s="87">
        <v>310.0</v>
      </c>
      <c r="CZ346" s="87">
        <v>37.0</v>
      </c>
      <c r="DA346" s="87">
        <v>19.0</v>
      </c>
      <c r="DB346" s="87">
        <v>1628.0</v>
      </c>
      <c r="DC346" s="87">
        <v>658.0</v>
      </c>
      <c r="DD346" s="87">
        <v>1377.0</v>
      </c>
      <c r="DE346" s="87">
        <v>564.0</v>
      </c>
      <c r="DF346" s="87">
        <v>470.0</v>
      </c>
      <c r="DG346" s="87">
        <v>519.0</v>
      </c>
      <c r="DH346" s="87">
        <v>1559.0</v>
      </c>
      <c r="DI346" s="87">
        <v>1314.0</v>
      </c>
      <c r="DJ346" s="87">
        <v>13.0</v>
      </c>
      <c r="DK346" s="87">
        <v>253.0</v>
      </c>
      <c r="DL346" s="87">
        <v>3017.0</v>
      </c>
      <c r="DM346" s="87">
        <v>88.0</v>
      </c>
      <c r="DN346" s="87">
        <v>5.0</v>
      </c>
      <c r="DO346" s="87">
        <v>1007.0</v>
      </c>
      <c r="DP346" s="87">
        <v>1181.0</v>
      </c>
      <c r="DQ346" s="87">
        <v>1085.0</v>
      </c>
      <c r="DR346" s="87">
        <v>1118.0</v>
      </c>
      <c r="DS346" s="87">
        <v>23.0</v>
      </c>
      <c r="DT346" s="87">
        <v>35.0</v>
      </c>
      <c r="DU346" s="87">
        <v>41.0</v>
      </c>
      <c r="DV346" s="87">
        <v>333.0</v>
      </c>
      <c r="DW346" s="87">
        <v>65.0</v>
      </c>
      <c r="DX346" s="87">
        <v>700.0</v>
      </c>
      <c r="DY346" s="87">
        <v>1261.0</v>
      </c>
      <c r="DZ346" s="87">
        <v>287.0</v>
      </c>
      <c r="EA346" s="87">
        <v>113.0</v>
      </c>
      <c r="EB346" s="87">
        <v>242.0</v>
      </c>
      <c r="EC346" s="87">
        <v>153.0</v>
      </c>
      <c r="ED346" s="87">
        <v>6919.0</v>
      </c>
      <c r="EE346" s="87">
        <v>437.0</v>
      </c>
      <c r="EF346" s="87">
        <v>1.0</v>
      </c>
      <c r="EG346" s="87">
        <v>2929.0</v>
      </c>
      <c r="EH346" s="87">
        <v>31.0</v>
      </c>
      <c r="EI346" s="87">
        <v>91.0</v>
      </c>
      <c r="EJ346" s="87">
        <v>11948.0</v>
      </c>
      <c r="EK346" s="88"/>
      <c r="EL346" s="88"/>
      <c r="EM346" s="88"/>
      <c r="EN346" s="88"/>
      <c r="EO346" s="88"/>
      <c r="EP346" s="88"/>
      <c r="EQ346" s="90"/>
    </row>
    <row r="347" ht="12.0" customHeight="1">
      <c r="A347" s="89">
        <v>1.0638096E8</v>
      </c>
      <c r="B347" s="89" t="s">
        <v>2237</v>
      </c>
      <c r="C347" s="89" t="s">
        <v>2209</v>
      </c>
      <c r="D347" s="89" t="s">
        <v>2238</v>
      </c>
      <c r="E347" s="89" t="s">
        <v>2239</v>
      </c>
      <c r="F347" s="89" t="s">
        <v>2209</v>
      </c>
      <c r="G347" s="89" t="s">
        <v>2240</v>
      </c>
      <c r="H347" s="89" t="s">
        <v>447</v>
      </c>
      <c r="I347" s="89" t="s">
        <v>456</v>
      </c>
      <c r="J347" s="89" t="s">
        <v>469</v>
      </c>
      <c r="K347" s="89" t="s">
        <v>598</v>
      </c>
      <c r="L347" s="89" t="s">
        <v>1504</v>
      </c>
      <c r="M347" s="89" t="s">
        <v>2241</v>
      </c>
      <c r="N347" s="89" t="s">
        <v>441</v>
      </c>
      <c r="O347" s="87">
        <v>2876.0</v>
      </c>
      <c r="P347" s="87"/>
      <c r="Q347" s="87">
        <v>1095.0</v>
      </c>
      <c r="R347" s="87"/>
      <c r="S347" s="87">
        <v>181.0</v>
      </c>
      <c r="T347" s="87"/>
      <c r="U347" s="87">
        <v>2590.0</v>
      </c>
      <c r="V347" s="87">
        <v>1562.0</v>
      </c>
      <c r="W347" s="87"/>
      <c r="X347" s="87">
        <v>49.0</v>
      </c>
      <c r="Y347" s="87">
        <v>76.0</v>
      </c>
      <c r="Z347" s="87">
        <v>502.0</v>
      </c>
      <c r="AA347" s="87">
        <v>630.0</v>
      </c>
      <c r="AB347" s="87">
        <v>592.0</v>
      </c>
      <c r="AC347" s="87">
        <v>617.0</v>
      </c>
      <c r="AD347" s="87">
        <v>791.0</v>
      </c>
      <c r="AE347" s="87">
        <v>477.0</v>
      </c>
      <c r="AF347" s="87">
        <v>418.0</v>
      </c>
      <c r="AG347" s="87"/>
      <c r="AH347" s="87">
        <v>472.0</v>
      </c>
      <c r="AI347" s="87">
        <v>3424.0</v>
      </c>
      <c r="AJ347" s="87">
        <v>256.0</v>
      </c>
      <c r="AK347" s="87">
        <v>21.0</v>
      </c>
      <c r="AL347" s="87">
        <v>596.0</v>
      </c>
      <c r="AM347" s="87">
        <v>26.0</v>
      </c>
      <c r="AN347" s="87">
        <v>727.0</v>
      </c>
      <c r="AO347" s="87">
        <v>1818.0</v>
      </c>
      <c r="AP347" s="87">
        <v>387.0</v>
      </c>
      <c r="AQ347" s="87">
        <v>577.0</v>
      </c>
      <c r="AR347" s="87"/>
      <c r="AS347" s="87">
        <v>2231.0</v>
      </c>
      <c r="AT347" s="87">
        <v>1561.0</v>
      </c>
      <c r="AU347" s="87">
        <v>285.0</v>
      </c>
      <c r="AV347" s="87">
        <v>21.0</v>
      </c>
      <c r="AW347" s="87">
        <v>15.0</v>
      </c>
      <c r="AX347" s="87">
        <v>24.0</v>
      </c>
      <c r="AY347" s="87"/>
      <c r="AZ347" s="87"/>
      <c r="BA347" s="87">
        <v>12.0</v>
      </c>
      <c r="BB347" s="87">
        <v>3.0</v>
      </c>
      <c r="BC347" s="87"/>
      <c r="BD347" s="87"/>
      <c r="BE347" s="87">
        <v>2639.0</v>
      </c>
      <c r="BF347" s="87">
        <v>176.0</v>
      </c>
      <c r="BG347" s="87">
        <v>1337.0</v>
      </c>
      <c r="BH347" s="87"/>
      <c r="BI347" s="87">
        <v>28237.0</v>
      </c>
      <c r="BJ347" s="87">
        <v>1845.0</v>
      </c>
      <c r="BK347" s="87">
        <v>1359.0</v>
      </c>
      <c r="BL347" s="87">
        <v>948.0</v>
      </c>
      <c r="BM347" s="87"/>
      <c r="BN347" s="87"/>
      <c r="BO347" s="87"/>
      <c r="BP347" s="87">
        <v>2554.0</v>
      </c>
      <c r="BQ347" s="87">
        <v>51.0</v>
      </c>
      <c r="BR347" s="87">
        <v>26.0</v>
      </c>
      <c r="BS347" s="87">
        <v>363.0</v>
      </c>
      <c r="BT347" s="87">
        <v>22.0</v>
      </c>
      <c r="BU347" s="87">
        <v>5.0</v>
      </c>
      <c r="BV347" s="87">
        <v>430.0</v>
      </c>
      <c r="BW347" s="87">
        <v>94.0</v>
      </c>
      <c r="BX347" s="87">
        <v>473.0</v>
      </c>
      <c r="BY347" s="87"/>
      <c r="BZ347" s="87">
        <v>1.0</v>
      </c>
      <c r="CA347" s="87">
        <v>20.0</v>
      </c>
      <c r="CB347" s="87">
        <v>88.0</v>
      </c>
      <c r="CC347" s="87"/>
      <c r="CD347" s="87">
        <v>25.0</v>
      </c>
      <c r="CE347" s="87"/>
      <c r="CF347" s="87"/>
      <c r="CG347" s="87">
        <v>125.0</v>
      </c>
      <c r="CH347" s="87">
        <v>4027.0</v>
      </c>
      <c r="CI347" s="87"/>
      <c r="CJ347" s="87">
        <v>1391.0</v>
      </c>
      <c r="CK347" s="87">
        <v>1734.0</v>
      </c>
      <c r="CL347" s="87">
        <v>865.0</v>
      </c>
      <c r="CM347" s="87">
        <v>88.0</v>
      </c>
      <c r="CN347" s="87"/>
      <c r="CO347" s="87"/>
      <c r="CP347" s="87"/>
      <c r="CQ347" s="87">
        <v>33.0</v>
      </c>
      <c r="CR347" s="87">
        <v>41.0</v>
      </c>
      <c r="CS347" s="87"/>
      <c r="CT347" s="87">
        <v>612.0</v>
      </c>
      <c r="CU347" s="87">
        <v>30.0</v>
      </c>
      <c r="CV347" s="87">
        <v>28.0</v>
      </c>
      <c r="CW347" s="87">
        <v>93.0</v>
      </c>
      <c r="CX347" s="87">
        <v>1383.0</v>
      </c>
      <c r="CY347" s="87">
        <v>82.0</v>
      </c>
      <c r="CZ347" s="87">
        <v>1.0</v>
      </c>
      <c r="DA347" s="87">
        <v>4.0</v>
      </c>
      <c r="DB347" s="87">
        <v>296.0</v>
      </c>
      <c r="DC347" s="87">
        <v>189.0</v>
      </c>
      <c r="DD347" s="87">
        <v>300.0</v>
      </c>
      <c r="DE347" s="87">
        <v>113.0</v>
      </c>
      <c r="DF347" s="87">
        <v>170.0</v>
      </c>
      <c r="DG347" s="87">
        <v>156.0</v>
      </c>
      <c r="DH347" s="87"/>
      <c r="DI347" s="87"/>
      <c r="DJ347" s="87">
        <v>2.0</v>
      </c>
      <c r="DK347" s="87">
        <v>32.0</v>
      </c>
      <c r="DL347" s="87">
        <v>583.0</v>
      </c>
      <c r="DM347" s="87">
        <v>74.0</v>
      </c>
      <c r="DN347" s="87">
        <v>4.0</v>
      </c>
      <c r="DO347" s="87">
        <v>908.0</v>
      </c>
      <c r="DP347" s="87"/>
      <c r="DQ347" s="87">
        <v>99.0</v>
      </c>
      <c r="DR347" s="87">
        <v>191.0</v>
      </c>
      <c r="DS347" s="87">
        <v>1.0</v>
      </c>
      <c r="DT347" s="87">
        <v>1.0</v>
      </c>
      <c r="DU347" s="87"/>
      <c r="DV347" s="87">
        <v>130.0</v>
      </c>
      <c r="DW347" s="87"/>
      <c r="DX347" s="87">
        <v>299.0</v>
      </c>
      <c r="DY347" s="87">
        <v>255.0</v>
      </c>
      <c r="DZ347" s="87">
        <v>44.0</v>
      </c>
      <c r="EA347" s="87">
        <v>4.0</v>
      </c>
      <c r="EB347" s="87">
        <v>27.0</v>
      </c>
      <c r="EC347" s="87">
        <v>44.0</v>
      </c>
      <c r="ED347" s="87">
        <v>2079.0</v>
      </c>
      <c r="EE347" s="87">
        <v>70.0</v>
      </c>
      <c r="EF347" s="87">
        <v>21.0</v>
      </c>
      <c r="EG347" s="87">
        <v>568.0</v>
      </c>
      <c r="EH347" s="87">
        <v>18.0</v>
      </c>
      <c r="EI347" s="87">
        <v>187.0</v>
      </c>
      <c r="EJ347" s="87">
        <v>3358.0</v>
      </c>
      <c r="EK347" s="88"/>
      <c r="EL347" s="88"/>
      <c r="EM347" s="88"/>
      <c r="EN347" s="88"/>
      <c r="EO347" s="88"/>
      <c r="EP347" s="88"/>
      <c r="EQ347" s="90"/>
    </row>
    <row r="348" ht="12.0" customHeight="1">
      <c r="A348" s="89">
        <v>1.06380965E8</v>
      </c>
      <c r="B348" s="89" t="s">
        <v>2242</v>
      </c>
      <c r="C348" s="89" t="s">
        <v>2209</v>
      </c>
      <c r="D348" s="89" t="s">
        <v>2243</v>
      </c>
      <c r="E348" s="89" t="s">
        <v>2244</v>
      </c>
      <c r="F348" s="89" t="s">
        <v>2209</v>
      </c>
      <c r="G348" s="89" t="s">
        <v>2232</v>
      </c>
      <c r="H348" s="89" t="s">
        <v>447</v>
      </c>
      <c r="I348" s="89" t="s">
        <v>456</v>
      </c>
      <c r="J348" s="89" t="s">
        <v>469</v>
      </c>
      <c r="K348" s="89" t="s">
        <v>598</v>
      </c>
      <c r="L348" s="89" t="s">
        <v>1504</v>
      </c>
      <c r="M348" s="89" t="s">
        <v>2224</v>
      </c>
      <c r="N348" s="89" t="s">
        <v>441</v>
      </c>
      <c r="O348" s="87">
        <v>3461.0</v>
      </c>
      <c r="P348" s="87"/>
      <c r="Q348" s="87">
        <v>598.0</v>
      </c>
      <c r="R348" s="87"/>
      <c r="S348" s="87">
        <v>176.0</v>
      </c>
      <c r="T348" s="87"/>
      <c r="U348" s="87">
        <v>2037.0</v>
      </c>
      <c r="V348" s="87">
        <v>2198.0</v>
      </c>
      <c r="W348" s="87"/>
      <c r="X348" s="87"/>
      <c r="Y348" s="87">
        <v>608.0</v>
      </c>
      <c r="Z348" s="87">
        <v>75.0</v>
      </c>
      <c r="AA348" s="87">
        <v>157.0</v>
      </c>
      <c r="AB348" s="87">
        <v>218.0</v>
      </c>
      <c r="AC348" s="87">
        <v>389.0</v>
      </c>
      <c r="AD348" s="87">
        <v>669.0</v>
      </c>
      <c r="AE348" s="87">
        <v>851.0</v>
      </c>
      <c r="AF348" s="87">
        <v>1268.0</v>
      </c>
      <c r="AG348" s="87"/>
      <c r="AH348" s="87">
        <v>350.0</v>
      </c>
      <c r="AI348" s="87">
        <v>3806.0</v>
      </c>
      <c r="AJ348" s="87">
        <v>79.0</v>
      </c>
      <c r="AK348" s="87"/>
      <c r="AL348" s="87">
        <v>1075.0</v>
      </c>
      <c r="AM348" s="87">
        <v>16.0</v>
      </c>
      <c r="AN348" s="87">
        <v>429.0</v>
      </c>
      <c r="AO348" s="87">
        <v>2039.0</v>
      </c>
      <c r="AP348" s="87">
        <v>281.0</v>
      </c>
      <c r="AQ348" s="87">
        <v>395.0</v>
      </c>
      <c r="AR348" s="87"/>
      <c r="AS348" s="87">
        <v>3589.0</v>
      </c>
      <c r="AT348" s="87">
        <v>40.0</v>
      </c>
      <c r="AU348" s="87">
        <v>551.0</v>
      </c>
      <c r="AV348" s="87">
        <v>22.0</v>
      </c>
      <c r="AW348" s="87"/>
      <c r="AX348" s="87">
        <v>33.0</v>
      </c>
      <c r="AY348" s="87"/>
      <c r="AZ348" s="87"/>
      <c r="BA348" s="87"/>
      <c r="BB348" s="87"/>
      <c r="BC348" s="87"/>
      <c r="BD348" s="87"/>
      <c r="BE348" s="87">
        <v>2775.0</v>
      </c>
      <c r="BF348" s="87">
        <v>103.0</v>
      </c>
      <c r="BG348" s="87">
        <v>1351.0</v>
      </c>
      <c r="BH348" s="87">
        <v>6.0</v>
      </c>
      <c r="BI348" s="87">
        <v>26274.0</v>
      </c>
      <c r="BJ348" s="87">
        <v>2437.0</v>
      </c>
      <c r="BK348" s="87">
        <v>496.0</v>
      </c>
      <c r="BL348" s="87">
        <v>1302.0</v>
      </c>
      <c r="BM348" s="87"/>
      <c r="BN348" s="87"/>
      <c r="BO348" s="87"/>
      <c r="BP348" s="87">
        <v>2106.0</v>
      </c>
      <c r="BQ348" s="87">
        <v>112.0</v>
      </c>
      <c r="BR348" s="87">
        <v>32.0</v>
      </c>
      <c r="BS348" s="87">
        <v>680.0</v>
      </c>
      <c r="BT348" s="87">
        <v>46.0</v>
      </c>
      <c r="BU348" s="87"/>
      <c r="BV348" s="87">
        <v>143.0</v>
      </c>
      <c r="BW348" s="87">
        <v>155.0</v>
      </c>
      <c r="BX348" s="87">
        <v>854.0</v>
      </c>
      <c r="BY348" s="87"/>
      <c r="BZ348" s="87">
        <v>5.0</v>
      </c>
      <c r="CA348" s="87">
        <v>66.0</v>
      </c>
      <c r="CB348" s="87">
        <v>9.0</v>
      </c>
      <c r="CC348" s="87">
        <v>3.0</v>
      </c>
      <c r="CD348" s="87">
        <v>24.0</v>
      </c>
      <c r="CE348" s="87"/>
      <c r="CF348" s="87"/>
      <c r="CG348" s="87">
        <v>393.0</v>
      </c>
      <c r="CH348" s="87">
        <v>3842.0</v>
      </c>
      <c r="CI348" s="87"/>
      <c r="CJ348" s="87">
        <v>2445.0</v>
      </c>
      <c r="CK348" s="87">
        <v>794.0</v>
      </c>
      <c r="CL348" s="87">
        <v>926.0</v>
      </c>
      <c r="CM348" s="87">
        <v>35.0</v>
      </c>
      <c r="CN348" s="87"/>
      <c r="CO348" s="87"/>
      <c r="CP348" s="87"/>
      <c r="CQ348" s="87">
        <v>17.0</v>
      </c>
      <c r="CR348" s="87">
        <v>16.0</v>
      </c>
      <c r="CS348" s="87">
        <v>2.0</v>
      </c>
      <c r="CT348" s="87">
        <v>665.0</v>
      </c>
      <c r="CU348" s="87">
        <v>111.0</v>
      </c>
      <c r="CV348" s="87">
        <v>20.0</v>
      </c>
      <c r="CW348" s="87">
        <v>211.0</v>
      </c>
      <c r="CX348" s="87">
        <v>665.0</v>
      </c>
      <c r="CY348" s="87">
        <v>206.0</v>
      </c>
      <c r="CZ348" s="87">
        <v>2.0</v>
      </c>
      <c r="DA348" s="87">
        <v>2.0</v>
      </c>
      <c r="DB348" s="87">
        <v>671.0</v>
      </c>
      <c r="DC348" s="87">
        <v>169.0</v>
      </c>
      <c r="DD348" s="87">
        <v>359.0</v>
      </c>
      <c r="DE348" s="87">
        <v>80.0</v>
      </c>
      <c r="DF348" s="87">
        <v>377.0</v>
      </c>
      <c r="DG348" s="87">
        <v>169.0</v>
      </c>
      <c r="DH348" s="87"/>
      <c r="DI348" s="87"/>
      <c r="DJ348" s="87">
        <v>1.0</v>
      </c>
      <c r="DK348" s="87">
        <v>76.0</v>
      </c>
      <c r="DL348" s="87">
        <v>359.0</v>
      </c>
      <c r="DM348" s="87">
        <v>92.0</v>
      </c>
      <c r="DN348" s="87"/>
      <c r="DO348" s="87">
        <v>822.0</v>
      </c>
      <c r="DP348" s="87"/>
      <c r="DQ348" s="87">
        <v>341.0</v>
      </c>
      <c r="DR348" s="87">
        <v>305.0</v>
      </c>
      <c r="DS348" s="87"/>
      <c r="DT348" s="87"/>
      <c r="DU348" s="87">
        <v>1.0</v>
      </c>
      <c r="DV348" s="87">
        <v>20.0</v>
      </c>
      <c r="DW348" s="87">
        <v>5.0</v>
      </c>
      <c r="DX348" s="87">
        <v>74.0</v>
      </c>
      <c r="DY348" s="87">
        <v>468.0</v>
      </c>
      <c r="DZ348" s="87">
        <v>83.0</v>
      </c>
      <c r="EA348" s="87">
        <v>6.0</v>
      </c>
      <c r="EB348" s="87">
        <v>63.0</v>
      </c>
      <c r="EC348" s="87">
        <v>60.0</v>
      </c>
      <c r="ED348" s="87">
        <v>1899.0</v>
      </c>
      <c r="EE348" s="87">
        <v>88.0</v>
      </c>
      <c r="EF348" s="87">
        <v>21.0</v>
      </c>
      <c r="EG348" s="87">
        <v>208.0</v>
      </c>
      <c r="EH348" s="87">
        <v>2.0</v>
      </c>
      <c r="EI348" s="87">
        <v>45.0</v>
      </c>
      <c r="EJ348" s="87">
        <v>3959.0</v>
      </c>
      <c r="EK348" s="88"/>
      <c r="EL348" s="88"/>
      <c r="EM348" s="88"/>
      <c r="EN348" s="88"/>
      <c r="EO348" s="88"/>
      <c r="EP348" s="88"/>
      <c r="EQ348" s="90"/>
    </row>
    <row r="349" ht="12.0" customHeight="1">
      <c r="A349" s="89">
        <v>1.06381154E8</v>
      </c>
      <c r="B349" s="89" t="s">
        <v>2245</v>
      </c>
      <c r="C349" s="89" t="s">
        <v>2209</v>
      </c>
      <c r="D349" s="89" t="s">
        <v>2246</v>
      </c>
      <c r="E349" s="89" t="s">
        <v>2247</v>
      </c>
      <c r="F349" s="89" t="s">
        <v>2209</v>
      </c>
      <c r="G349" s="89" t="s">
        <v>2228</v>
      </c>
      <c r="H349" s="89" t="s">
        <v>1256</v>
      </c>
      <c r="I349" s="89" t="s">
        <v>456</v>
      </c>
      <c r="J349" s="89" t="s">
        <v>605</v>
      </c>
      <c r="K349" s="89" t="s">
        <v>598</v>
      </c>
      <c r="L349" s="89" t="s">
        <v>1504</v>
      </c>
      <c r="M349" s="89" t="s">
        <v>2224</v>
      </c>
      <c r="N349" s="89" t="s">
        <v>441</v>
      </c>
      <c r="O349" s="87">
        <v>36714.0</v>
      </c>
      <c r="P349" s="87"/>
      <c r="Q349" s="87"/>
      <c r="R349" s="87"/>
      <c r="S349" s="87">
        <v>1.0</v>
      </c>
      <c r="T349" s="87"/>
      <c r="U349" s="87">
        <v>17098.0</v>
      </c>
      <c r="V349" s="87">
        <v>19592.0</v>
      </c>
      <c r="W349" s="87">
        <v>25.0</v>
      </c>
      <c r="X349" s="87">
        <v>5488.0</v>
      </c>
      <c r="Y349" s="87">
        <v>2311.0</v>
      </c>
      <c r="Z349" s="87">
        <v>2157.0</v>
      </c>
      <c r="AA349" s="87">
        <v>4505.0</v>
      </c>
      <c r="AB349" s="87">
        <v>3216.0</v>
      </c>
      <c r="AC349" s="87">
        <v>4532.0</v>
      </c>
      <c r="AD349" s="87">
        <v>6139.0</v>
      </c>
      <c r="AE349" s="87">
        <v>5113.0</v>
      </c>
      <c r="AF349" s="87">
        <v>3252.0</v>
      </c>
      <c r="AG349" s="87">
        <v>2.0</v>
      </c>
      <c r="AH349" s="87">
        <v>7291.0</v>
      </c>
      <c r="AI349" s="87">
        <v>28424.0</v>
      </c>
      <c r="AJ349" s="87">
        <v>1000.0</v>
      </c>
      <c r="AK349" s="87">
        <v>229.0</v>
      </c>
      <c r="AL349" s="87">
        <v>6286.0</v>
      </c>
      <c r="AM349" s="87">
        <v>371.0</v>
      </c>
      <c r="AN349" s="87">
        <v>2919.0</v>
      </c>
      <c r="AO349" s="87">
        <v>17700.0</v>
      </c>
      <c r="AP349" s="87">
        <v>898.0</v>
      </c>
      <c r="AQ349" s="87">
        <v>6932.0</v>
      </c>
      <c r="AR349" s="87">
        <v>1380.0</v>
      </c>
      <c r="AS349" s="87">
        <v>19847.0</v>
      </c>
      <c r="AT349" s="87">
        <v>9426.0</v>
      </c>
      <c r="AU349" s="87">
        <v>4228.0</v>
      </c>
      <c r="AV349" s="87">
        <v>597.0</v>
      </c>
      <c r="AW349" s="87">
        <v>94.0</v>
      </c>
      <c r="AX349" s="87"/>
      <c r="AY349" s="87">
        <v>9.0</v>
      </c>
      <c r="AZ349" s="87">
        <v>2.0</v>
      </c>
      <c r="BA349" s="87">
        <v>19.0</v>
      </c>
      <c r="BB349" s="87"/>
      <c r="BC349" s="87">
        <v>2493.0</v>
      </c>
      <c r="BD349" s="87"/>
      <c r="BE349" s="87">
        <v>12948.0</v>
      </c>
      <c r="BF349" s="87">
        <v>1365.0</v>
      </c>
      <c r="BG349" s="87">
        <v>22402.0</v>
      </c>
      <c r="BH349" s="87"/>
      <c r="BI349" s="87">
        <v>265442.0</v>
      </c>
      <c r="BJ349" s="87">
        <v>13545.0</v>
      </c>
      <c r="BK349" s="87">
        <v>9819.0</v>
      </c>
      <c r="BL349" s="87">
        <v>10841.0</v>
      </c>
      <c r="BM349" s="87">
        <v>2493.0</v>
      </c>
      <c r="BN349" s="87">
        <v>1.0</v>
      </c>
      <c r="BO349" s="87">
        <v>16.0</v>
      </c>
      <c r="BP349" s="87">
        <v>24611.0</v>
      </c>
      <c r="BQ349" s="87">
        <v>805.0</v>
      </c>
      <c r="BR349" s="87">
        <v>763.0</v>
      </c>
      <c r="BS349" s="87">
        <v>2143.0</v>
      </c>
      <c r="BT349" s="87">
        <v>101.0</v>
      </c>
      <c r="BU349" s="87">
        <v>18.0</v>
      </c>
      <c r="BV349" s="87">
        <v>357.0</v>
      </c>
      <c r="BW349" s="87">
        <v>844.0</v>
      </c>
      <c r="BX349" s="87">
        <v>6584.0</v>
      </c>
      <c r="BY349" s="87"/>
      <c r="BZ349" s="87">
        <v>9.0</v>
      </c>
      <c r="CA349" s="87">
        <v>354.0</v>
      </c>
      <c r="CB349" s="87">
        <v>125.0</v>
      </c>
      <c r="CC349" s="87">
        <v>1.0</v>
      </c>
      <c r="CD349" s="87"/>
      <c r="CE349" s="87"/>
      <c r="CF349" s="87"/>
      <c r="CG349" s="87">
        <v>1296.0</v>
      </c>
      <c r="CH349" s="87">
        <v>35419.0</v>
      </c>
      <c r="CI349" s="87"/>
      <c r="CJ349" s="87">
        <v>12544.0</v>
      </c>
      <c r="CK349" s="87">
        <v>8126.0</v>
      </c>
      <c r="CL349" s="87">
        <v>14414.0</v>
      </c>
      <c r="CM349" s="87">
        <v>133.0</v>
      </c>
      <c r="CN349" s="87">
        <v>23.0</v>
      </c>
      <c r="CO349" s="87">
        <v>1301.0</v>
      </c>
      <c r="CP349" s="87"/>
      <c r="CQ349" s="87">
        <v>174.0</v>
      </c>
      <c r="CR349" s="87"/>
      <c r="CS349" s="87"/>
      <c r="CT349" s="87">
        <v>2674.0</v>
      </c>
      <c r="CU349" s="87">
        <v>4703.0</v>
      </c>
      <c r="CV349" s="87">
        <v>436.0</v>
      </c>
      <c r="CW349" s="87">
        <v>1189.0</v>
      </c>
      <c r="CX349" s="87">
        <v>681.0</v>
      </c>
      <c r="CY349" s="87">
        <v>2006.0</v>
      </c>
      <c r="CZ349" s="87">
        <v>94.0</v>
      </c>
      <c r="DA349" s="87">
        <v>42.0</v>
      </c>
      <c r="DB349" s="87">
        <v>3507.0</v>
      </c>
      <c r="DC349" s="87">
        <v>1579.0</v>
      </c>
      <c r="DD349" s="87">
        <v>2873.0</v>
      </c>
      <c r="DE349" s="87">
        <v>409.0</v>
      </c>
      <c r="DF349" s="87">
        <v>3052.0</v>
      </c>
      <c r="DG349" s="87">
        <v>1243.0</v>
      </c>
      <c r="DH349" s="87">
        <v>3048.0</v>
      </c>
      <c r="DI349" s="87">
        <v>2661.0</v>
      </c>
      <c r="DJ349" s="87">
        <v>630.0</v>
      </c>
      <c r="DK349" s="87">
        <v>576.0</v>
      </c>
      <c r="DL349" s="87">
        <v>3539.0</v>
      </c>
      <c r="DM349" s="87">
        <v>1761.0</v>
      </c>
      <c r="DN349" s="87">
        <v>12.0</v>
      </c>
      <c r="DO349" s="87">
        <v>6187.0</v>
      </c>
      <c r="DP349" s="87">
        <v>2433.0</v>
      </c>
      <c r="DQ349" s="87">
        <v>3598.0</v>
      </c>
      <c r="DR349" s="87">
        <v>3742.0</v>
      </c>
      <c r="DS349" s="87">
        <v>123.0</v>
      </c>
      <c r="DT349" s="87">
        <v>325.0</v>
      </c>
      <c r="DU349" s="87">
        <v>64.0</v>
      </c>
      <c r="DV349" s="87">
        <v>951.0</v>
      </c>
      <c r="DW349" s="87">
        <v>638.0</v>
      </c>
      <c r="DX349" s="87">
        <v>817.0</v>
      </c>
      <c r="DY349" s="87">
        <v>4250.0</v>
      </c>
      <c r="DZ349" s="87">
        <v>1878.0</v>
      </c>
      <c r="EA349" s="87">
        <v>371.0</v>
      </c>
      <c r="EB349" s="87">
        <v>964.0</v>
      </c>
      <c r="EC349" s="87">
        <v>1339.0</v>
      </c>
      <c r="ED349" s="87">
        <v>8136.0</v>
      </c>
      <c r="EE349" s="87">
        <v>899.0</v>
      </c>
      <c r="EF349" s="87">
        <v>4.0</v>
      </c>
      <c r="EG349" s="87">
        <v>467.0</v>
      </c>
      <c r="EH349" s="87">
        <v>24.0</v>
      </c>
      <c r="EI349" s="87">
        <v>836.0</v>
      </c>
      <c r="EJ349" s="87">
        <v>35384.0</v>
      </c>
      <c r="EK349" s="88"/>
      <c r="EL349" s="88"/>
      <c r="EM349" s="88"/>
      <c r="EN349" s="88"/>
      <c r="EO349" s="88"/>
      <c r="EP349" s="88"/>
      <c r="EQ349" s="90"/>
    </row>
    <row r="350" ht="12.0" customHeight="1">
      <c r="A350" s="89">
        <v>1.06382715E8</v>
      </c>
      <c r="B350" s="89" t="s">
        <v>2248</v>
      </c>
      <c r="C350" s="89" t="s">
        <v>2209</v>
      </c>
      <c r="D350" s="89" t="s">
        <v>2249</v>
      </c>
      <c r="E350" s="89" t="s">
        <v>2250</v>
      </c>
      <c r="F350" s="89" t="s">
        <v>2209</v>
      </c>
      <c r="G350" s="89" t="s">
        <v>2251</v>
      </c>
      <c r="H350" s="89" t="s">
        <v>447</v>
      </c>
      <c r="I350" s="89" t="s">
        <v>456</v>
      </c>
      <c r="J350" s="89" t="s">
        <v>463</v>
      </c>
      <c r="K350" s="89" t="s">
        <v>598</v>
      </c>
      <c r="L350" s="89" t="s">
        <v>1504</v>
      </c>
      <c r="M350" s="89" t="s">
        <v>2252</v>
      </c>
      <c r="N350" s="89" t="s">
        <v>441</v>
      </c>
      <c r="O350" s="87">
        <v>1127.0</v>
      </c>
      <c r="P350" s="87"/>
      <c r="Q350" s="87"/>
      <c r="R350" s="87"/>
      <c r="S350" s="87"/>
      <c r="T350" s="87">
        <v>17.0</v>
      </c>
      <c r="U350" s="87">
        <v>582.0</v>
      </c>
      <c r="V350" s="87">
        <v>562.0</v>
      </c>
      <c r="W350" s="87"/>
      <c r="X350" s="87"/>
      <c r="Y350" s="87"/>
      <c r="Z350" s="87"/>
      <c r="AA350" s="87">
        <v>17.0</v>
      </c>
      <c r="AB350" s="87">
        <v>29.0</v>
      </c>
      <c r="AC350" s="87">
        <v>50.0</v>
      </c>
      <c r="AD350" s="87">
        <v>165.0</v>
      </c>
      <c r="AE350" s="87">
        <v>256.0</v>
      </c>
      <c r="AF350" s="87">
        <v>622.0</v>
      </c>
      <c r="AG350" s="87">
        <v>5.0</v>
      </c>
      <c r="AH350" s="87">
        <v>32.0</v>
      </c>
      <c r="AI350" s="87">
        <v>1073.0</v>
      </c>
      <c r="AJ350" s="87">
        <v>39.0</v>
      </c>
      <c r="AK350" s="87"/>
      <c r="AL350" s="87">
        <v>1084.0</v>
      </c>
      <c r="AM350" s="87"/>
      <c r="AN350" s="87"/>
      <c r="AO350" s="87">
        <v>30.0</v>
      </c>
      <c r="AP350" s="87">
        <v>30.0</v>
      </c>
      <c r="AQ350" s="87"/>
      <c r="AR350" s="87"/>
      <c r="AS350" s="87">
        <v>1034.0</v>
      </c>
      <c r="AT350" s="87">
        <v>82.0</v>
      </c>
      <c r="AU350" s="87">
        <v>13.0</v>
      </c>
      <c r="AV350" s="87">
        <v>13.0</v>
      </c>
      <c r="AW350" s="87"/>
      <c r="AX350" s="87">
        <v>2.0</v>
      </c>
      <c r="AY350" s="87"/>
      <c r="AZ350" s="87"/>
      <c r="BA350" s="87"/>
      <c r="BB350" s="87"/>
      <c r="BC350" s="87"/>
      <c r="BD350" s="87"/>
      <c r="BE350" s="87">
        <v>1032.0</v>
      </c>
      <c r="BF350" s="87"/>
      <c r="BG350" s="87">
        <v>112.0</v>
      </c>
      <c r="BH350" s="87"/>
      <c r="BI350" s="87">
        <v>6485.0</v>
      </c>
      <c r="BJ350" s="87">
        <v>1029.0</v>
      </c>
      <c r="BK350" s="87">
        <v>3.0</v>
      </c>
      <c r="BL350" s="87">
        <v>112.0</v>
      </c>
      <c r="BM350" s="87"/>
      <c r="BN350" s="87"/>
      <c r="BO350" s="87"/>
      <c r="BP350" s="87">
        <v>605.0</v>
      </c>
      <c r="BQ350" s="87">
        <v>34.0</v>
      </c>
      <c r="BR350" s="87">
        <v>11.0</v>
      </c>
      <c r="BS350" s="87">
        <v>141.0</v>
      </c>
      <c r="BT350" s="87"/>
      <c r="BU350" s="87"/>
      <c r="BV350" s="87">
        <v>22.0</v>
      </c>
      <c r="BW350" s="87">
        <v>42.0</v>
      </c>
      <c r="BX350" s="87">
        <v>232.0</v>
      </c>
      <c r="BY350" s="87"/>
      <c r="BZ350" s="87">
        <v>7.0</v>
      </c>
      <c r="CA350" s="87">
        <v>41.0</v>
      </c>
      <c r="CB350" s="87"/>
      <c r="CC350" s="87">
        <v>2.0</v>
      </c>
      <c r="CD350" s="87">
        <v>3.0</v>
      </c>
      <c r="CE350" s="87">
        <v>4.0</v>
      </c>
      <c r="CF350" s="87"/>
      <c r="CG350" s="87">
        <v>280.0</v>
      </c>
      <c r="CH350" s="87">
        <v>864.0</v>
      </c>
      <c r="CI350" s="87"/>
      <c r="CJ350" s="87">
        <v>961.0</v>
      </c>
      <c r="CK350" s="87">
        <v>133.0</v>
      </c>
      <c r="CL350" s="87">
        <v>47.0</v>
      </c>
      <c r="CM350" s="87"/>
      <c r="CN350" s="87"/>
      <c r="CO350" s="87"/>
      <c r="CP350" s="87"/>
      <c r="CQ350" s="87"/>
      <c r="CR350" s="87">
        <v>3.0</v>
      </c>
      <c r="CS350" s="87"/>
      <c r="CT350" s="87">
        <v>247.0</v>
      </c>
      <c r="CU350" s="87">
        <v>83.0</v>
      </c>
      <c r="CV350" s="87">
        <v>15.0</v>
      </c>
      <c r="CW350" s="87">
        <v>55.0</v>
      </c>
      <c r="CX350" s="87">
        <v>1.0</v>
      </c>
      <c r="CY350" s="87">
        <v>18.0</v>
      </c>
      <c r="CZ350" s="87">
        <v>1.0</v>
      </c>
      <c r="DA350" s="87">
        <v>1.0</v>
      </c>
      <c r="DB350" s="87">
        <v>201.0</v>
      </c>
      <c r="DC350" s="87">
        <v>101.0</v>
      </c>
      <c r="DD350" s="87">
        <v>163.0</v>
      </c>
      <c r="DE350" s="87">
        <v>19.0</v>
      </c>
      <c r="DF350" s="87">
        <v>48.0</v>
      </c>
      <c r="DG350" s="87">
        <v>101.0</v>
      </c>
      <c r="DH350" s="87"/>
      <c r="DI350" s="87"/>
      <c r="DJ350" s="87">
        <v>1.0</v>
      </c>
      <c r="DK350" s="87">
        <v>25.0</v>
      </c>
      <c r="DL350" s="87">
        <v>58.0</v>
      </c>
      <c r="DM350" s="87">
        <v>5.0</v>
      </c>
      <c r="DN350" s="87">
        <v>1.0</v>
      </c>
      <c r="DO350" s="87">
        <v>106.0</v>
      </c>
      <c r="DP350" s="87"/>
      <c r="DQ350" s="87">
        <v>66.0</v>
      </c>
      <c r="DR350" s="87">
        <v>115.0</v>
      </c>
      <c r="DS350" s="87"/>
      <c r="DT350" s="87">
        <v>1.0</v>
      </c>
      <c r="DU350" s="87"/>
      <c r="DV350" s="87">
        <v>18.0</v>
      </c>
      <c r="DW350" s="87">
        <v>4.0</v>
      </c>
      <c r="DX350" s="87">
        <v>12.0</v>
      </c>
      <c r="DY350" s="87">
        <v>53.0</v>
      </c>
      <c r="DZ350" s="87">
        <v>5.0</v>
      </c>
      <c r="EA350" s="87">
        <v>3.0</v>
      </c>
      <c r="EB350" s="87">
        <v>27.0</v>
      </c>
      <c r="EC350" s="87">
        <v>24.0</v>
      </c>
      <c r="ED350" s="87">
        <v>638.0</v>
      </c>
      <c r="EE350" s="87">
        <v>72.0</v>
      </c>
      <c r="EF350" s="87"/>
      <c r="EG350" s="87"/>
      <c r="EH350" s="87"/>
      <c r="EI350" s="87">
        <v>1.0</v>
      </c>
      <c r="EJ350" s="87">
        <v>1143.0</v>
      </c>
      <c r="EK350" s="88"/>
      <c r="EL350" s="88"/>
      <c r="EM350" s="88"/>
      <c r="EN350" s="88"/>
      <c r="EO350" s="88"/>
      <c r="EP350" s="88"/>
      <c r="EQ350" s="90"/>
    </row>
    <row r="351" ht="12.0" customHeight="1">
      <c r="A351" s="89">
        <v>1.06384176E8</v>
      </c>
      <c r="B351" s="89" t="s">
        <v>2253</v>
      </c>
      <c r="C351" s="89" t="s">
        <v>2209</v>
      </c>
      <c r="D351" s="89" t="s">
        <v>2254</v>
      </c>
      <c r="E351" s="89" t="s">
        <v>2255</v>
      </c>
      <c r="F351" s="89" t="s">
        <v>2209</v>
      </c>
      <c r="G351" s="89" t="s">
        <v>2240</v>
      </c>
      <c r="H351" s="89" t="s">
        <v>447</v>
      </c>
      <c r="I351" s="89" t="s">
        <v>456</v>
      </c>
      <c r="J351" s="89" t="s">
        <v>469</v>
      </c>
      <c r="K351" s="89" t="s">
        <v>598</v>
      </c>
      <c r="L351" s="89" t="s">
        <v>1504</v>
      </c>
      <c r="M351" s="89" t="s">
        <v>2252</v>
      </c>
      <c r="N351" s="89" t="s">
        <v>441</v>
      </c>
      <c r="O351" s="87">
        <v>17831.0</v>
      </c>
      <c r="P351" s="87"/>
      <c r="Q351" s="87">
        <v>362.0</v>
      </c>
      <c r="R351" s="87"/>
      <c r="S351" s="87"/>
      <c r="T351" s="87"/>
      <c r="U351" s="87">
        <v>7672.0</v>
      </c>
      <c r="V351" s="87">
        <v>10521.0</v>
      </c>
      <c r="W351" s="87"/>
      <c r="X351" s="87">
        <v>4360.0</v>
      </c>
      <c r="Y351" s="87">
        <v>308.0</v>
      </c>
      <c r="Z351" s="87">
        <v>802.0</v>
      </c>
      <c r="AA351" s="87">
        <v>3676.0</v>
      </c>
      <c r="AB351" s="87">
        <v>1361.0</v>
      </c>
      <c r="AC351" s="87">
        <v>1469.0</v>
      </c>
      <c r="AD351" s="87">
        <v>2120.0</v>
      </c>
      <c r="AE351" s="87">
        <v>2133.0</v>
      </c>
      <c r="AF351" s="87">
        <v>1964.0</v>
      </c>
      <c r="AG351" s="87"/>
      <c r="AH351" s="87">
        <v>2530.0</v>
      </c>
      <c r="AI351" s="87">
        <v>15103.0</v>
      </c>
      <c r="AJ351" s="87">
        <v>560.0</v>
      </c>
      <c r="AK351" s="87">
        <v>68.0</v>
      </c>
      <c r="AL351" s="87">
        <v>4688.0</v>
      </c>
      <c r="AM351" s="87">
        <v>596.0</v>
      </c>
      <c r="AN351" s="87">
        <v>1261.0</v>
      </c>
      <c r="AO351" s="87">
        <v>8606.0</v>
      </c>
      <c r="AP351" s="87">
        <v>398.0</v>
      </c>
      <c r="AQ351" s="87">
        <v>2230.0</v>
      </c>
      <c r="AR351" s="87">
        <v>346.0</v>
      </c>
      <c r="AS351" s="87">
        <v>12215.0</v>
      </c>
      <c r="AT351" s="87">
        <v>197.0</v>
      </c>
      <c r="AU351" s="87">
        <v>1907.0</v>
      </c>
      <c r="AV351" s="87">
        <v>148.0</v>
      </c>
      <c r="AW351" s="87">
        <v>32.0</v>
      </c>
      <c r="AX351" s="87">
        <v>36.0</v>
      </c>
      <c r="AY351" s="87">
        <v>11.0</v>
      </c>
      <c r="AZ351" s="87">
        <v>2.0</v>
      </c>
      <c r="BA351" s="87"/>
      <c r="BB351" s="87"/>
      <c r="BC351" s="87">
        <v>3645.0</v>
      </c>
      <c r="BD351" s="87"/>
      <c r="BE351" s="87">
        <v>6256.0</v>
      </c>
      <c r="BF351" s="87">
        <v>737.0</v>
      </c>
      <c r="BG351" s="87">
        <v>11200.0</v>
      </c>
      <c r="BH351" s="87"/>
      <c r="BI351" s="87">
        <v>92288.0</v>
      </c>
      <c r="BJ351" s="87">
        <v>4141.0</v>
      </c>
      <c r="BK351" s="87">
        <v>7416.0</v>
      </c>
      <c r="BL351" s="87">
        <v>2991.0</v>
      </c>
      <c r="BM351" s="87">
        <v>3645.0</v>
      </c>
      <c r="BN351" s="87"/>
      <c r="BO351" s="87"/>
      <c r="BP351" s="87">
        <v>13167.0</v>
      </c>
      <c r="BQ351" s="87">
        <v>619.0</v>
      </c>
      <c r="BR351" s="87">
        <v>105.0</v>
      </c>
      <c r="BS351" s="87">
        <v>794.0</v>
      </c>
      <c r="BT351" s="87">
        <v>50.0</v>
      </c>
      <c r="BU351" s="87">
        <v>2.0</v>
      </c>
      <c r="BV351" s="87">
        <v>283.0</v>
      </c>
      <c r="BW351" s="87">
        <v>422.0</v>
      </c>
      <c r="BX351" s="87">
        <v>2465.0</v>
      </c>
      <c r="BY351" s="87"/>
      <c r="BZ351" s="87">
        <v>7.0</v>
      </c>
      <c r="CA351" s="87">
        <v>204.0</v>
      </c>
      <c r="CB351" s="87">
        <v>54.0</v>
      </c>
      <c r="CC351" s="87">
        <v>1.0</v>
      </c>
      <c r="CD351" s="87">
        <v>20.0</v>
      </c>
      <c r="CE351" s="87"/>
      <c r="CF351" s="87"/>
      <c r="CG351" s="87">
        <v>1002.0</v>
      </c>
      <c r="CH351" s="87">
        <v>17191.0</v>
      </c>
      <c r="CI351" s="87"/>
      <c r="CJ351" s="87">
        <v>5175.0</v>
      </c>
      <c r="CK351" s="87">
        <v>3528.0</v>
      </c>
      <c r="CL351" s="87">
        <v>9033.0</v>
      </c>
      <c r="CM351" s="87">
        <v>10.0</v>
      </c>
      <c r="CN351" s="87"/>
      <c r="CO351" s="87">
        <v>144.0</v>
      </c>
      <c r="CP351" s="87"/>
      <c r="CQ351" s="87">
        <v>264.0</v>
      </c>
      <c r="CR351" s="87">
        <v>39.0</v>
      </c>
      <c r="CS351" s="87"/>
      <c r="CT351" s="87">
        <v>1041.0</v>
      </c>
      <c r="CU351" s="87">
        <v>955.0</v>
      </c>
      <c r="CV351" s="87">
        <v>127.0</v>
      </c>
      <c r="CW351" s="87">
        <v>461.0</v>
      </c>
      <c r="CX351" s="87">
        <v>502.0</v>
      </c>
      <c r="CY351" s="87">
        <v>326.0</v>
      </c>
      <c r="CZ351" s="87">
        <v>28.0</v>
      </c>
      <c r="DA351" s="87">
        <v>9.0</v>
      </c>
      <c r="DB351" s="87">
        <v>2058.0</v>
      </c>
      <c r="DC351" s="87">
        <v>727.0</v>
      </c>
      <c r="DD351" s="87">
        <v>1700.0</v>
      </c>
      <c r="DE351" s="87">
        <v>166.0</v>
      </c>
      <c r="DF351" s="87">
        <v>359.0</v>
      </c>
      <c r="DG351" s="87">
        <v>563.0</v>
      </c>
      <c r="DH351" s="87">
        <v>3954.0</v>
      </c>
      <c r="DI351" s="87">
        <v>3811.0</v>
      </c>
      <c r="DJ351" s="87">
        <v>60.0</v>
      </c>
      <c r="DK351" s="87">
        <v>226.0</v>
      </c>
      <c r="DL351" s="87">
        <v>917.0</v>
      </c>
      <c r="DM351" s="87">
        <v>203.0</v>
      </c>
      <c r="DN351" s="87"/>
      <c r="DO351" s="87">
        <v>2027.0</v>
      </c>
      <c r="DP351" s="87">
        <v>3613.0</v>
      </c>
      <c r="DQ351" s="87">
        <v>1808.0</v>
      </c>
      <c r="DR351" s="87">
        <v>1780.0</v>
      </c>
      <c r="DS351" s="87">
        <v>8.0</v>
      </c>
      <c r="DT351" s="87">
        <v>20.0</v>
      </c>
      <c r="DU351" s="87">
        <v>14.0</v>
      </c>
      <c r="DV351" s="87">
        <v>1011.0</v>
      </c>
      <c r="DW351" s="87">
        <v>90.0</v>
      </c>
      <c r="DX351" s="87">
        <v>197.0</v>
      </c>
      <c r="DY351" s="87">
        <v>367.0</v>
      </c>
      <c r="DZ351" s="87">
        <v>311.0</v>
      </c>
      <c r="EA351" s="87">
        <v>120.0</v>
      </c>
      <c r="EB351" s="87">
        <v>365.0</v>
      </c>
      <c r="EC351" s="87">
        <v>486.0</v>
      </c>
      <c r="ED351" s="87">
        <v>5639.0</v>
      </c>
      <c r="EE351" s="87">
        <v>337.0</v>
      </c>
      <c r="EF351" s="87">
        <v>22.0</v>
      </c>
      <c r="EG351" s="87">
        <v>480.0</v>
      </c>
      <c r="EH351" s="87">
        <v>19.0</v>
      </c>
      <c r="EI351" s="87">
        <v>142.0</v>
      </c>
      <c r="EJ351" s="87">
        <v>17530.0</v>
      </c>
      <c r="EK351" s="88"/>
      <c r="EL351" s="88"/>
      <c r="EM351" s="88"/>
      <c r="EN351" s="88"/>
      <c r="EO351" s="88"/>
      <c r="EP351" s="88"/>
      <c r="EQ351" s="90"/>
    </row>
    <row r="352" ht="12.0" customHeight="1">
      <c r="A352" s="89">
        <v>1.06384202E8</v>
      </c>
      <c r="B352" s="89" t="s">
        <v>2256</v>
      </c>
      <c r="C352" s="89" t="s">
        <v>2209</v>
      </c>
      <c r="D352" s="89" t="s">
        <v>2257</v>
      </c>
      <c r="E352" s="89" t="s">
        <v>2258</v>
      </c>
      <c r="F352" s="89" t="s">
        <v>2209</v>
      </c>
      <c r="G352" s="89" t="s">
        <v>2236</v>
      </c>
      <c r="H352" s="89" t="s">
        <v>447</v>
      </c>
      <c r="I352" s="89" t="s">
        <v>456</v>
      </c>
      <c r="J352" s="89" t="s">
        <v>437</v>
      </c>
      <c r="K352" s="89" t="s">
        <v>598</v>
      </c>
      <c r="L352" s="89" t="s">
        <v>1504</v>
      </c>
      <c r="M352" s="89" t="s">
        <v>2214</v>
      </c>
      <c r="N352" s="89" t="s">
        <v>441</v>
      </c>
      <c r="O352" s="87">
        <v>4443.0</v>
      </c>
      <c r="P352" s="87"/>
      <c r="Q352" s="87"/>
      <c r="R352" s="87"/>
      <c r="S352" s="87"/>
      <c r="T352" s="87"/>
      <c r="U352" s="87">
        <v>2209.0</v>
      </c>
      <c r="V352" s="87">
        <v>2234.0</v>
      </c>
      <c r="W352" s="87"/>
      <c r="X352" s="87"/>
      <c r="Y352" s="87">
        <v>15.0</v>
      </c>
      <c r="Z352" s="87">
        <v>111.0</v>
      </c>
      <c r="AA352" s="87">
        <v>292.0</v>
      </c>
      <c r="AB352" s="87">
        <v>358.0</v>
      </c>
      <c r="AC352" s="87">
        <v>531.0</v>
      </c>
      <c r="AD352" s="87">
        <v>884.0</v>
      </c>
      <c r="AE352" s="87">
        <v>1033.0</v>
      </c>
      <c r="AF352" s="87">
        <v>1219.0</v>
      </c>
      <c r="AG352" s="87"/>
      <c r="AH352" s="87">
        <v>905.0</v>
      </c>
      <c r="AI352" s="87">
        <v>3487.0</v>
      </c>
      <c r="AJ352" s="87">
        <v>51.0</v>
      </c>
      <c r="AK352" s="87">
        <v>14.0</v>
      </c>
      <c r="AL352" s="87">
        <v>635.0</v>
      </c>
      <c r="AM352" s="87">
        <v>272.0</v>
      </c>
      <c r="AN352" s="87">
        <v>746.0</v>
      </c>
      <c r="AO352" s="87">
        <v>1870.0</v>
      </c>
      <c r="AP352" s="87">
        <v>32.0</v>
      </c>
      <c r="AQ352" s="87">
        <v>820.0</v>
      </c>
      <c r="AR352" s="87">
        <v>54.0</v>
      </c>
      <c r="AS352" s="87">
        <v>3607.0</v>
      </c>
      <c r="AT352" s="87">
        <v>43.0</v>
      </c>
      <c r="AU352" s="87">
        <v>697.0</v>
      </c>
      <c r="AV352" s="87">
        <v>80.0</v>
      </c>
      <c r="AW352" s="87">
        <v>11.0</v>
      </c>
      <c r="AX352" s="87">
        <v>3.0</v>
      </c>
      <c r="AY352" s="87">
        <v>2.0</v>
      </c>
      <c r="AZ352" s="87"/>
      <c r="BA352" s="87"/>
      <c r="BB352" s="87"/>
      <c r="BC352" s="87"/>
      <c r="BD352" s="87"/>
      <c r="BE352" s="87">
        <v>2820.0</v>
      </c>
      <c r="BF352" s="87">
        <v>296.0</v>
      </c>
      <c r="BG352" s="87">
        <v>1327.0</v>
      </c>
      <c r="BH352" s="87"/>
      <c r="BI352" s="87">
        <v>24168.0</v>
      </c>
      <c r="BJ352" s="87">
        <v>1745.0</v>
      </c>
      <c r="BK352" s="87">
        <v>1862.0</v>
      </c>
      <c r="BL352" s="87">
        <v>836.0</v>
      </c>
      <c r="BM352" s="87"/>
      <c r="BN352" s="87"/>
      <c r="BO352" s="87"/>
      <c r="BP352" s="87">
        <v>1697.0</v>
      </c>
      <c r="BQ352" s="87">
        <v>158.0</v>
      </c>
      <c r="BR352" s="87">
        <v>10.0</v>
      </c>
      <c r="BS352" s="87">
        <v>725.0</v>
      </c>
      <c r="BT352" s="87">
        <v>32.0</v>
      </c>
      <c r="BU352" s="87"/>
      <c r="BV352" s="87">
        <v>217.0</v>
      </c>
      <c r="BW352" s="87">
        <v>100.0</v>
      </c>
      <c r="BX352" s="87">
        <v>1361.0</v>
      </c>
      <c r="BY352" s="87"/>
      <c r="BZ352" s="87"/>
      <c r="CA352" s="87">
        <v>105.0</v>
      </c>
      <c r="CB352" s="87">
        <v>28.0</v>
      </c>
      <c r="CC352" s="87"/>
      <c r="CD352" s="87">
        <v>10.0</v>
      </c>
      <c r="CE352" s="87"/>
      <c r="CF352" s="87"/>
      <c r="CG352" s="87">
        <v>491.0</v>
      </c>
      <c r="CH352" s="87">
        <v>3952.0</v>
      </c>
      <c r="CI352" s="87"/>
      <c r="CJ352" s="87">
        <v>2351.0</v>
      </c>
      <c r="CK352" s="87">
        <v>1036.0</v>
      </c>
      <c r="CL352" s="87">
        <v>894.0</v>
      </c>
      <c r="CM352" s="87">
        <v>24.0</v>
      </c>
      <c r="CN352" s="87"/>
      <c r="CO352" s="87">
        <v>18.0</v>
      </c>
      <c r="CP352" s="87"/>
      <c r="CQ352" s="87">
        <v>93.0</v>
      </c>
      <c r="CR352" s="87">
        <v>27.0</v>
      </c>
      <c r="CS352" s="87"/>
      <c r="CT352" s="87">
        <v>750.0</v>
      </c>
      <c r="CU352" s="87">
        <v>140.0</v>
      </c>
      <c r="CV352" s="87">
        <v>56.0</v>
      </c>
      <c r="CW352" s="87">
        <v>237.0</v>
      </c>
      <c r="CX352" s="87">
        <v>148.0</v>
      </c>
      <c r="CY352" s="87">
        <v>110.0</v>
      </c>
      <c r="CZ352" s="87">
        <v>2.0</v>
      </c>
      <c r="DA352" s="87">
        <v>3.0</v>
      </c>
      <c r="DB352" s="87">
        <v>456.0</v>
      </c>
      <c r="DC352" s="87">
        <v>273.0</v>
      </c>
      <c r="DD352" s="87">
        <v>490.0</v>
      </c>
      <c r="DE352" s="87">
        <v>127.0</v>
      </c>
      <c r="DF352" s="87">
        <v>648.0</v>
      </c>
      <c r="DG352" s="87">
        <v>258.0</v>
      </c>
      <c r="DH352" s="87"/>
      <c r="DI352" s="87"/>
      <c r="DJ352" s="87">
        <v>3.0</v>
      </c>
      <c r="DK352" s="87">
        <v>89.0</v>
      </c>
      <c r="DL352" s="87">
        <v>639.0</v>
      </c>
      <c r="DM352" s="87">
        <v>4.0</v>
      </c>
      <c r="DN352" s="87">
        <v>10.0</v>
      </c>
      <c r="DO352" s="87">
        <v>496.0</v>
      </c>
      <c r="DP352" s="87"/>
      <c r="DQ352" s="87">
        <v>203.0</v>
      </c>
      <c r="DR352" s="87">
        <v>321.0</v>
      </c>
      <c r="DS352" s="87">
        <v>3.0</v>
      </c>
      <c r="DT352" s="87">
        <v>1.0</v>
      </c>
      <c r="DU352" s="87"/>
      <c r="DV352" s="87">
        <v>94.0</v>
      </c>
      <c r="DW352" s="87">
        <v>10.0</v>
      </c>
      <c r="DX352" s="87">
        <v>91.0</v>
      </c>
      <c r="DY352" s="87">
        <v>1014.0</v>
      </c>
      <c r="DZ352" s="87">
        <v>30.0</v>
      </c>
      <c r="EA352" s="87">
        <v>13.0</v>
      </c>
      <c r="EB352" s="87">
        <v>46.0</v>
      </c>
      <c r="EC352" s="87">
        <v>51.0</v>
      </c>
      <c r="ED352" s="87">
        <v>1928.0</v>
      </c>
      <c r="EE352" s="87">
        <v>142.0</v>
      </c>
      <c r="EF352" s="87">
        <v>21.0</v>
      </c>
      <c r="EG352" s="87">
        <v>353.0</v>
      </c>
      <c r="EH352" s="87">
        <v>5.0</v>
      </c>
      <c r="EI352" s="87">
        <v>51.0</v>
      </c>
      <c r="EJ352" s="87">
        <v>4013.0</v>
      </c>
      <c r="EK352" s="88"/>
      <c r="EL352" s="88"/>
      <c r="EM352" s="88"/>
      <c r="EN352" s="88"/>
      <c r="EO352" s="88"/>
      <c r="EP352" s="88"/>
      <c r="EQ352" s="90"/>
    </row>
    <row r="353" ht="12.0" customHeight="1">
      <c r="A353" s="89">
        <v>1.06390846E8</v>
      </c>
      <c r="B353" s="89" t="s">
        <v>2259</v>
      </c>
      <c r="C353" s="89" t="s">
        <v>2260</v>
      </c>
      <c r="D353" s="89" t="s">
        <v>2261</v>
      </c>
      <c r="E353" s="89" t="s">
        <v>2262</v>
      </c>
      <c r="F353" s="89" t="s">
        <v>2263</v>
      </c>
      <c r="G353" s="89" t="s">
        <v>2264</v>
      </c>
      <c r="H353" s="89" t="s">
        <v>447</v>
      </c>
      <c r="I353" s="89" t="s">
        <v>456</v>
      </c>
      <c r="J353" s="89" t="s">
        <v>469</v>
      </c>
      <c r="K353" s="89" t="s">
        <v>545</v>
      </c>
      <c r="L353" s="89" t="s">
        <v>2265</v>
      </c>
      <c r="M353" s="89" t="s">
        <v>2266</v>
      </c>
      <c r="N353" s="89" t="s">
        <v>441</v>
      </c>
      <c r="O353" s="87">
        <v>2985.0</v>
      </c>
      <c r="P353" s="87"/>
      <c r="Q353" s="87"/>
      <c r="R353" s="87"/>
      <c r="S353" s="87"/>
      <c r="T353" s="87"/>
      <c r="U353" s="87">
        <v>1571.0</v>
      </c>
      <c r="V353" s="87">
        <v>1414.0</v>
      </c>
      <c r="W353" s="87"/>
      <c r="X353" s="87"/>
      <c r="Y353" s="87"/>
      <c r="Z353" s="87">
        <v>95.0</v>
      </c>
      <c r="AA353" s="87">
        <v>240.0</v>
      </c>
      <c r="AB353" s="87">
        <v>343.0</v>
      </c>
      <c r="AC353" s="87">
        <v>525.0</v>
      </c>
      <c r="AD353" s="87">
        <v>682.0</v>
      </c>
      <c r="AE353" s="87">
        <v>639.0</v>
      </c>
      <c r="AF353" s="87">
        <v>451.0</v>
      </c>
      <c r="AG353" s="87">
        <v>10.0</v>
      </c>
      <c r="AH353" s="87">
        <v>737.0</v>
      </c>
      <c r="AI353" s="87">
        <v>2196.0</v>
      </c>
      <c r="AJ353" s="87">
        <v>52.0</v>
      </c>
      <c r="AK353" s="87"/>
      <c r="AL353" s="87">
        <v>230.0</v>
      </c>
      <c r="AM353" s="87"/>
      <c r="AN353" s="87">
        <v>496.0</v>
      </c>
      <c r="AO353" s="87">
        <v>1192.0</v>
      </c>
      <c r="AP353" s="87">
        <v>24.0</v>
      </c>
      <c r="AQ353" s="87">
        <v>990.0</v>
      </c>
      <c r="AR353" s="87">
        <v>53.0</v>
      </c>
      <c r="AS353" s="87">
        <v>2627.0</v>
      </c>
      <c r="AT353" s="87">
        <v>2.0</v>
      </c>
      <c r="AU353" s="87">
        <v>250.0</v>
      </c>
      <c r="AV353" s="87">
        <v>81.0</v>
      </c>
      <c r="AW353" s="87">
        <v>10.0</v>
      </c>
      <c r="AX353" s="87"/>
      <c r="AY353" s="87"/>
      <c r="AZ353" s="87">
        <v>1.0</v>
      </c>
      <c r="BA353" s="87">
        <v>7.0</v>
      </c>
      <c r="BB353" s="87">
        <v>7.0</v>
      </c>
      <c r="BC353" s="87"/>
      <c r="BD353" s="87"/>
      <c r="BE353" s="87">
        <v>2587.0</v>
      </c>
      <c r="BF353" s="87">
        <v>2.0</v>
      </c>
      <c r="BG353" s="87">
        <v>396.0</v>
      </c>
      <c r="BH353" s="87"/>
      <c r="BI353" s="87">
        <v>13469.0</v>
      </c>
      <c r="BJ353" s="87">
        <v>2567.0</v>
      </c>
      <c r="BK353" s="87">
        <v>146.0</v>
      </c>
      <c r="BL353" s="87">
        <v>270.0</v>
      </c>
      <c r="BM353" s="87"/>
      <c r="BN353" s="87"/>
      <c r="BO353" s="87">
        <v>2.0</v>
      </c>
      <c r="BP353" s="87">
        <v>1227.0</v>
      </c>
      <c r="BQ353" s="87">
        <v>58.0</v>
      </c>
      <c r="BR353" s="87"/>
      <c r="BS353" s="87"/>
      <c r="BT353" s="87">
        <v>4.0</v>
      </c>
      <c r="BU353" s="87">
        <v>10.0</v>
      </c>
      <c r="BV353" s="87">
        <v>587.0</v>
      </c>
      <c r="BW353" s="87">
        <v>153.0</v>
      </c>
      <c r="BX353" s="87">
        <v>890.0</v>
      </c>
      <c r="BY353" s="87"/>
      <c r="BZ353" s="87"/>
      <c r="CA353" s="87">
        <v>52.0</v>
      </c>
      <c r="CB353" s="87">
        <v>4.0</v>
      </c>
      <c r="CC353" s="87"/>
      <c r="CD353" s="87"/>
      <c r="CE353" s="87"/>
      <c r="CF353" s="87"/>
      <c r="CG353" s="87">
        <v>303.0</v>
      </c>
      <c r="CH353" s="87">
        <v>2680.0</v>
      </c>
      <c r="CI353" s="87">
        <v>2.0</v>
      </c>
      <c r="CJ353" s="87">
        <v>1448.0</v>
      </c>
      <c r="CK353" s="87">
        <v>1042.0</v>
      </c>
      <c r="CL353" s="87">
        <v>346.0</v>
      </c>
      <c r="CM353" s="87">
        <v>10.0</v>
      </c>
      <c r="CN353" s="87"/>
      <c r="CO353" s="87">
        <v>112.0</v>
      </c>
      <c r="CP353" s="87"/>
      <c r="CQ353" s="87">
        <v>27.0</v>
      </c>
      <c r="CR353" s="87"/>
      <c r="CS353" s="87"/>
      <c r="CT353" s="87">
        <v>582.0</v>
      </c>
      <c r="CU353" s="87">
        <v>53.0</v>
      </c>
      <c r="CV353" s="87">
        <v>26.0</v>
      </c>
      <c r="CW353" s="87">
        <v>235.0</v>
      </c>
      <c r="CX353" s="87">
        <v>29.0</v>
      </c>
      <c r="CY353" s="87">
        <v>26.0</v>
      </c>
      <c r="CZ353" s="87"/>
      <c r="DA353" s="87"/>
      <c r="DB353" s="87">
        <v>705.0</v>
      </c>
      <c r="DC353" s="87">
        <v>242.0</v>
      </c>
      <c r="DD353" s="87">
        <v>522.0</v>
      </c>
      <c r="DE353" s="87">
        <v>69.0</v>
      </c>
      <c r="DF353" s="87">
        <v>100.0</v>
      </c>
      <c r="DG353" s="87">
        <v>164.0</v>
      </c>
      <c r="DH353" s="87"/>
      <c r="DI353" s="87"/>
      <c r="DJ353" s="87"/>
      <c r="DK353" s="87">
        <v>26.0</v>
      </c>
      <c r="DL353" s="87">
        <v>199.0</v>
      </c>
      <c r="DM353" s="87">
        <v>5.0</v>
      </c>
      <c r="DN353" s="87">
        <v>2.0</v>
      </c>
      <c r="DO353" s="87">
        <v>531.0</v>
      </c>
      <c r="DP353" s="87"/>
      <c r="DQ353" s="87">
        <v>499.0</v>
      </c>
      <c r="DR353" s="87">
        <v>503.0</v>
      </c>
      <c r="DS353" s="87"/>
      <c r="DT353" s="87"/>
      <c r="DU353" s="87"/>
      <c r="DV353" s="87">
        <v>4.0</v>
      </c>
      <c r="DW353" s="87">
        <v>1.0</v>
      </c>
      <c r="DX353" s="87">
        <v>61.0</v>
      </c>
      <c r="DY353" s="87">
        <v>254.0</v>
      </c>
      <c r="DZ353" s="87">
        <v>8.0</v>
      </c>
      <c r="EA353" s="87">
        <v>42.0</v>
      </c>
      <c r="EB353" s="87">
        <v>102.0</v>
      </c>
      <c r="EC353" s="87">
        <v>84.0</v>
      </c>
      <c r="ED353" s="87">
        <v>876.0</v>
      </c>
      <c r="EE353" s="87">
        <v>20.0</v>
      </c>
      <c r="EF353" s="87">
        <v>4.0</v>
      </c>
      <c r="EG353" s="87">
        <v>198.0</v>
      </c>
      <c r="EH353" s="87"/>
      <c r="EI353" s="87">
        <v>24.0</v>
      </c>
      <c r="EJ353" s="87">
        <v>2759.0</v>
      </c>
      <c r="EK353" s="88"/>
      <c r="EL353" s="88"/>
      <c r="EM353" s="88"/>
      <c r="EN353" s="88"/>
      <c r="EO353" s="88"/>
      <c r="EP353" s="88"/>
      <c r="EQ353" s="90"/>
    </row>
    <row r="354" ht="12.0" customHeight="1">
      <c r="A354" s="89">
        <v>1.06390923E8</v>
      </c>
      <c r="B354" s="89" t="s">
        <v>2267</v>
      </c>
      <c r="C354" s="89" t="s">
        <v>2260</v>
      </c>
      <c r="D354" s="89" t="s">
        <v>2268</v>
      </c>
      <c r="E354" s="89" t="s">
        <v>2269</v>
      </c>
      <c r="F354" s="89" t="s">
        <v>2270</v>
      </c>
      <c r="G354" s="89" t="s">
        <v>2271</v>
      </c>
      <c r="H354" s="89" t="s">
        <v>447</v>
      </c>
      <c r="I354" s="89" t="s">
        <v>456</v>
      </c>
      <c r="J354" s="89" t="s">
        <v>457</v>
      </c>
      <c r="K354" s="89" t="s">
        <v>545</v>
      </c>
      <c r="L354" s="89" t="s">
        <v>438</v>
      </c>
      <c r="M354" s="89" t="s">
        <v>2272</v>
      </c>
      <c r="N354" s="89" t="s">
        <v>441</v>
      </c>
      <c r="O354" s="87">
        <v>7826.0</v>
      </c>
      <c r="P354" s="87"/>
      <c r="Q354" s="87"/>
      <c r="R354" s="87"/>
      <c r="S354" s="87">
        <v>163.0</v>
      </c>
      <c r="T354" s="87"/>
      <c r="U354" s="87">
        <v>3515.0</v>
      </c>
      <c r="V354" s="87">
        <v>4471.0</v>
      </c>
      <c r="W354" s="87">
        <v>3.0</v>
      </c>
      <c r="X354" s="87">
        <v>1125.0</v>
      </c>
      <c r="Y354" s="87">
        <v>115.0</v>
      </c>
      <c r="Z354" s="87">
        <v>661.0</v>
      </c>
      <c r="AA354" s="87">
        <v>810.0</v>
      </c>
      <c r="AB354" s="87">
        <v>534.0</v>
      </c>
      <c r="AC354" s="87">
        <v>743.0</v>
      </c>
      <c r="AD354" s="87">
        <v>1253.0</v>
      </c>
      <c r="AE354" s="87">
        <v>1333.0</v>
      </c>
      <c r="AF354" s="87">
        <v>1415.0</v>
      </c>
      <c r="AG354" s="87"/>
      <c r="AH354" s="87">
        <v>2087.0</v>
      </c>
      <c r="AI354" s="87">
        <v>5762.0</v>
      </c>
      <c r="AJ354" s="87">
        <v>140.0</v>
      </c>
      <c r="AK354" s="87">
        <v>14.0</v>
      </c>
      <c r="AL354" s="87">
        <v>620.0</v>
      </c>
      <c r="AM354" s="87">
        <v>34.0</v>
      </c>
      <c r="AN354" s="87">
        <v>262.0</v>
      </c>
      <c r="AO354" s="87">
        <v>6163.0</v>
      </c>
      <c r="AP354" s="87">
        <v>428.0</v>
      </c>
      <c r="AQ354" s="87">
        <v>468.0</v>
      </c>
      <c r="AR354" s="87"/>
      <c r="AS354" s="87">
        <v>6244.0</v>
      </c>
      <c r="AT354" s="87">
        <v>137.0</v>
      </c>
      <c r="AU354" s="87">
        <v>205.0</v>
      </c>
      <c r="AV354" s="87">
        <v>287.0</v>
      </c>
      <c r="AW354" s="87">
        <v>9.0</v>
      </c>
      <c r="AX354" s="87">
        <v>149.0</v>
      </c>
      <c r="AY354" s="87">
        <v>9.0</v>
      </c>
      <c r="AZ354" s="87"/>
      <c r="BA354" s="87">
        <v>2.0</v>
      </c>
      <c r="BB354" s="87">
        <v>4.0</v>
      </c>
      <c r="BC354" s="87">
        <v>943.0</v>
      </c>
      <c r="BD354" s="87"/>
      <c r="BE354" s="87">
        <v>5102.0</v>
      </c>
      <c r="BF354" s="87">
        <v>13.0</v>
      </c>
      <c r="BG354" s="87">
        <v>2834.0</v>
      </c>
      <c r="BH354" s="87">
        <v>40.0</v>
      </c>
      <c r="BI354" s="87">
        <v>35488.0</v>
      </c>
      <c r="BJ354" s="87">
        <v>4914.0</v>
      </c>
      <c r="BK354" s="87">
        <v>1492.0</v>
      </c>
      <c r="BL354" s="87">
        <v>629.0</v>
      </c>
      <c r="BM354" s="87">
        <v>943.0</v>
      </c>
      <c r="BN354" s="87">
        <v>9.0</v>
      </c>
      <c r="BO354" s="87">
        <v>2.0</v>
      </c>
      <c r="BP354" s="87">
        <v>4837.0</v>
      </c>
      <c r="BQ354" s="87">
        <v>294.0</v>
      </c>
      <c r="BR354" s="87">
        <v>47.0</v>
      </c>
      <c r="BS354" s="87">
        <v>1032.0</v>
      </c>
      <c r="BT354" s="87">
        <v>24.0</v>
      </c>
      <c r="BU354" s="87"/>
      <c r="BV354" s="87">
        <v>203.0</v>
      </c>
      <c r="BW354" s="87">
        <v>283.0</v>
      </c>
      <c r="BX354" s="87">
        <v>1019.0</v>
      </c>
      <c r="BY354" s="87"/>
      <c r="BZ354" s="87">
        <v>1.0</v>
      </c>
      <c r="CA354" s="87">
        <v>218.0</v>
      </c>
      <c r="CB354" s="87">
        <v>11.0</v>
      </c>
      <c r="CC354" s="87"/>
      <c r="CD354" s="87">
        <v>10.0</v>
      </c>
      <c r="CE354" s="87">
        <v>10.0</v>
      </c>
      <c r="CF354" s="87"/>
      <c r="CG354" s="87">
        <v>1090.0</v>
      </c>
      <c r="CH354" s="87">
        <v>6899.0</v>
      </c>
      <c r="CI354" s="87"/>
      <c r="CJ354" s="87">
        <v>3442.0</v>
      </c>
      <c r="CK354" s="87">
        <v>2688.0</v>
      </c>
      <c r="CL354" s="87">
        <v>1591.0</v>
      </c>
      <c r="CM354" s="87">
        <v>11.0</v>
      </c>
      <c r="CN354" s="87"/>
      <c r="CO354" s="87">
        <v>156.0</v>
      </c>
      <c r="CP354" s="87"/>
      <c r="CQ354" s="87">
        <v>96.0</v>
      </c>
      <c r="CR354" s="87">
        <v>2.0</v>
      </c>
      <c r="CS354" s="87">
        <v>3.0</v>
      </c>
      <c r="CT354" s="87">
        <v>1351.0</v>
      </c>
      <c r="CU354" s="87">
        <v>121.0</v>
      </c>
      <c r="CV354" s="87">
        <v>43.0</v>
      </c>
      <c r="CW354" s="87">
        <v>364.0</v>
      </c>
      <c r="CX354" s="87">
        <v>96.0</v>
      </c>
      <c r="CY354" s="87">
        <v>181.0</v>
      </c>
      <c r="CZ354" s="87">
        <v>8.0</v>
      </c>
      <c r="DA354" s="87">
        <v>6.0</v>
      </c>
      <c r="DB354" s="87">
        <v>965.0</v>
      </c>
      <c r="DC354" s="87">
        <v>639.0</v>
      </c>
      <c r="DD354" s="87">
        <v>906.0</v>
      </c>
      <c r="DE354" s="87">
        <v>128.0</v>
      </c>
      <c r="DF354" s="87">
        <v>99.0</v>
      </c>
      <c r="DG354" s="87">
        <v>418.0</v>
      </c>
      <c r="DH354" s="87">
        <v>1001.0</v>
      </c>
      <c r="DI354" s="87">
        <v>980.0</v>
      </c>
      <c r="DJ354" s="87">
        <v>1.0</v>
      </c>
      <c r="DK354" s="87">
        <v>71.0</v>
      </c>
      <c r="DL354" s="87">
        <v>470.0</v>
      </c>
      <c r="DM354" s="87">
        <v>140.0</v>
      </c>
      <c r="DN354" s="87">
        <v>1.0</v>
      </c>
      <c r="DO354" s="87">
        <v>2232.0</v>
      </c>
      <c r="DP354" s="87">
        <v>944.0</v>
      </c>
      <c r="DQ354" s="87">
        <v>496.0</v>
      </c>
      <c r="DR354" s="87">
        <v>755.0</v>
      </c>
      <c r="DS354" s="87">
        <v>3.0</v>
      </c>
      <c r="DT354" s="87">
        <v>3.0</v>
      </c>
      <c r="DU354" s="87"/>
      <c r="DV354" s="87">
        <v>28.0</v>
      </c>
      <c r="DW354" s="87">
        <v>9.0</v>
      </c>
      <c r="DX354" s="87">
        <v>116.0</v>
      </c>
      <c r="DY354" s="87">
        <v>374.0</v>
      </c>
      <c r="DZ354" s="87">
        <v>36.0</v>
      </c>
      <c r="EA354" s="87">
        <v>37.0</v>
      </c>
      <c r="EB354" s="87">
        <v>139.0</v>
      </c>
      <c r="EC354" s="87">
        <v>112.0</v>
      </c>
      <c r="ED354" s="87">
        <v>2564.0</v>
      </c>
      <c r="EE354" s="87">
        <v>141.0</v>
      </c>
      <c r="EF354" s="87">
        <v>27.0</v>
      </c>
      <c r="EG354" s="87">
        <v>144.0</v>
      </c>
      <c r="EH354" s="87">
        <v>1.0</v>
      </c>
      <c r="EI354" s="87">
        <v>46.0</v>
      </c>
      <c r="EJ354" s="87">
        <v>7771.0</v>
      </c>
      <c r="EK354" s="88"/>
      <c r="EL354" s="88"/>
      <c r="EM354" s="88"/>
      <c r="EN354" s="88"/>
      <c r="EO354" s="88"/>
      <c r="EP354" s="88"/>
      <c r="EQ354" s="90"/>
    </row>
    <row r="355" ht="12.0" customHeight="1">
      <c r="A355" s="89">
        <v>1.0639101E8</v>
      </c>
      <c r="B355" s="89" t="s">
        <v>2273</v>
      </c>
      <c r="C355" s="89" t="s">
        <v>2260</v>
      </c>
      <c r="D355" s="89" t="s">
        <v>2274</v>
      </c>
      <c r="E355" s="89" t="s">
        <v>2275</v>
      </c>
      <c r="F355" s="89" t="s">
        <v>2276</v>
      </c>
      <c r="G355" s="89" t="s">
        <v>2277</v>
      </c>
      <c r="H355" s="89" t="s">
        <v>435</v>
      </c>
      <c r="I355" s="89" t="s">
        <v>456</v>
      </c>
      <c r="J355" s="89" t="s">
        <v>457</v>
      </c>
      <c r="K355" s="89" t="s">
        <v>545</v>
      </c>
      <c r="L355" s="89" t="s">
        <v>2265</v>
      </c>
      <c r="M355" s="89" t="s">
        <v>2266</v>
      </c>
      <c r="N355" s="89" t="s">
        <v>441</v>
      </c>
      <c r="O355" s="87">
        <v>11980.0</v>
      </c>
      <c r="P355" s="87"/>
      <c r="Q355" s="87"/>
      <c r="R355" s="87"/>
      <c r="S355" s="87"/>
      <c r="T355" s="87"/>
      <c r="U355" s="87">
        <v>6150.0</v>
      </c>
      <c r="V355" s="87">
        <v>5830.0</v>
      </c>
      <c r="W355" s="87"/>
      <c r="X355" s="87">
        <v>2020.0</v>
      </c>
      <c r="Y355" s="87">
        <v>288.0</v>
      </c>
      <c r="Z355" s="87">
        <v>1597.0</v>
      </c>
      <c r="AA355" s="87">
        <v>1799.0</v>
      </c>
      <c r="AB355" s="87">
        <v>1238.0</v>
      </c>
      <c r="AC355" s="87">
        <v>1405.0</v>
      </c>
      <c r="AD355" s="87">
        <v>1674.0</v>
      </c>
      <c r="AE355" s="87">
        <v>1113.0</v>
      </c>
      <c r="AF355" s="87">
        <v>846.0</v>
      </c>
      <c r="AG355" s="87"/>
      <c r="AH355" s="87">
        <v>5544.0</v>
      </c>
      <c r="AI355" s="87">
        <v>6124.0</v>
      </c>
      <c r="AJ355" s="87">
        <v>312.0</v>
      </c>
      <c r="AK355" s="87">
        <v>91.0</v>
      </c>
      <c r="AL355" s="87">
        <v>1114.0</v>
      </c>
      <c r="AM355" s="87">
        <v>48.0</v>
      </c>
      <c r="AN355" s="87">
        <v>1733.0</v>
      </c>
      <c r="AO355" s="87">
        <v>3144.0</v>
      </c>
      <c r="AP355" s="87">
        <v>178.0</v>
      </c>
      <c r="AQ355" s="87">
        <v>5485.0</v>
      </c>
      <c r="AR355" s="87">
        <v>187.0</v>
      </c>
      <c r="AS355" s="87">
        <v>7238.0</v>
      </c>
      <c r="AT355" s="87">
        <v>1453.0</v>
      </c>
      <c r="AU355" s="87">
        <v>172.0</v>
      </c>
      <c r="AV355" s="87">
        <v>52.0</v>
      </c>
      <c r="AW355" s="87">
        <v>12.0</v>
      </c>
      <c r="AX355" s="87"/>
      <c r="AY355" s="87"/>
      <c r="AZ355" s="87">
        <v>1.0</v>
      </c>
      <c r="BA355" s="87">
        <v>1089.0</v>
      </c>
      <c r="BB355" s="87">
        <v>41.0</v>
      </c>
      <c r="BC355" s="87">
        <v>1922.0</v>
      </c>
      <c r="BD355" s="87"/>
      <c r="BE355" s="87">
        <v>9293.0</v>
      </c>
      <c r="BF355" s="87"/>
      <c r="BG355" s="87">
        <v>2687.0</v>
      </c>
      <c r="BH355" s="87"/>
      <c r="BI355" s="87">
        <v>60520.0</v>
      </c>
      <c r="BJ355" s="87">
        <v>6461.0</v>
      </c>
      <c r="BK355" s="87">
        <v>1798.0</v>
      </c>
      <c r="BL355" s="87">
        <v>765.0</v>
      </c>
      <c r="BM355" s="87">
        <v>1922.0</v>
      </c>
      <c r="BN355" s="87">
        <v>1032.0</v>
      </c>
      <c r="BO355" s="87">
        <v>2.0</v>
      </c>
      <c r="BP355" s="87">
        <v>8146.0</v>
      </c>
      <c r="BQ355" s="87">
        <v>211.0</v>
      </c>
      <c r="BR355" s="87">
        <v>78.0</v>
      </c>
      <c r="BS355" s="87">
        <v>877.0</v>
      </c>
      <c r="BT355" s="87">
        <v>493.0</v>
      </c>
      <c r="BU355" s="87">
        <v>749.0</v>
      </c>
      <c r="BV355" s="87">
        <v>520.0</v>
      </c>
      <c r="BW355" s="87">
        <v>272.0</v>
      </c>
      <c r="BX355" s="87">
        <v>451.0</v>
      </c>
      <c r="BY355" s="87"/>
      <c r="BZ355" s="87">
        <v>14.0</v>
      </c>
      <c r="CA355" s="87">
        <v>101.0</v>
      </c>
      <c r="CB355" s="87">
        <v>30.0</v>
      </c>
      <c r="CC355" s="87">
        <v>10.0</v>
      </c>
      <c r="CD355" s="87">
        <v>12.0</v>
      </c>
      <c r="CE355" s="87">
        <v>10.0</v>
      </c>
      <c r="CF355" s="87">
        <v>6.0</v>
      </c>
      <c r="CG355" s="87">
        <v>598.0</v>
      </c>
      <c r="CH355" s="87">
        <v>11382.0</v>
      </c>
      <c r="CI355" s="87"/>
      <c r="CJ355" s="87">
        <v>2249.0</v>
      </c>
      <c r="CK355" s="87">
        <v>7582.0</v>
      </c>
      <c r="CL355" s="87">
        <v>581.0</v>
      </c>
      <c r="CM355" s="87">
        <v>85.0</v>
      </c>
      <c r="CN355" s="87"/>
      <c r="CO355" s="87">
        <v>1193.0</v>
      </c>
      <c r="CP355" s="87"/>
      <c r="CQ355" s="87">
        <v>5.0</v>
      </c>
      <c r="CR355" s="87">
        <v>285.0</v>
      </c>
      <c r="CS355" s="87"/>
      <c r="CT355" s="87">
        <v>804.0</v>
      </c>
      <c r="CU355" s="87">
        <v>229.0</v>
      </c>
      <c r="CV355" s="87">
        <v>123.0</v>
      </c>
      <c r="CW355" s="87">
        <v>468.0</v>
      </c>
      <c r="CX355" s="87">
        <v>225.0</v>
      </c>
      <c r="CY355" s="87">
        <v>316.0</v>
      </c>
      <c r="CZ355" s="87">
        <v>5.0</v>
      </c>
      <c r="DA355" s="87">
        <v>11.0</v>
      </c>
      <c r="DB355" s="87">
        <v>1089.0</v>
      </c>
      <c r="DC355" s="87">
        <v>472.0</v>
      </c>
      <c r="DD355" s="87">
        <v>865.0</v>
      </c>
      <c r="DE355" s="87">
        <v>190.0</v>
      </c>
      <c r="DF355" s="87">
        <v>318.0</v>
      </c>
      <c r="DG355" s="87">
        <v>535.0</v>
      </c>
      <c r="DH355" s="87">
        <v>2025.0</v>
      </c>
      <c r="DI355" s="87">
        <v>2014.0</v>
      </c>
      <c r="DJ355" s="87">
        <v>5.0</v>
      </c>
      <c r="DK355" s="87">
        <v>250.0</v>
      </c>
      <c r="DL355" s="87">
        <v>1918.0</v>
      </c>
      <c r="DM355" s="87">
        <v>114.0</v>
      </c>
      <c r="DN355" s="87">
        <v>4.0</v>
      </c>
      <c r="DO355" s="87">
        <v>3365.0</v>
      </c>
      <c r="DP355" s="87">
        <v>1910.0</v>
      </c>
      <c r="DQ355" s="87">
        <v>620.0</v>
      </c>
      <c r="DR355" s="87">
        <v>832.0</v>
      </c>
      <c r="DS355" s="87">
        <v>10.0</v>
      </c>
      <c r="DT355" s="87">
        <v>10.0</v>
      </c>
      <c r="DU355" s="87">
        <v>5.0</v>
      </c>
      <c r="DV355" s="87">
        <v>108.0</v>
      </c>
      <c r="DW355" s="87">
        <v>38.0</v>
      </c>
      <c r="DX355" s="87">
        <v>355.0</v>
      </c>
      <c r="DY355" s="87">
        <v>1084.0</v>
      </c>
      <c r="DZ355" s="87">
        <v>185.0</v>
      </c>
      <c r="EA355" s="87">
        <v>35.0</v>
      </c>
      <c r="EB355" s="87">
        <v>175.0</v>
      </c>
      <c r="EC355" s="87">
        <v>114.0</v>
      </c>
      <c r="ED355" s="87">
        <v>2991.0</v>
      </c>
      <c r="EE355" s="87">
        <v>143.0</v>
      </c>
      <c r="EF355" s="87"/>
      <c r="EG355" s="87">
        <v>245.0</v>
      </c>
      <c r="EH355" s="87">
        <v>2.0</v>
      </c>
      <c r="EI355" s="87">
        <v>38.0</v>
      </c>
      <c r="EJ355" s="87">
        <v>11695.0</v>
      </c>
      <c r="EK355" s="88"/>
      <c r="EL355" s="88"/>
      <c r="EM355" s="88"/>
      <c r="EN355" s="88"/>
      <c r="EO355" s="88"/>
      <c r="EP355" s="88"/>
      <c r="EQ355" s="90"/>
    </row>
    <row r="356" ht="12.0" customHeight="1">
      <c r="A356" s="89">
        <v>1.06391042E8</v>
      </c>
      <c r="B356" s="89" t="s">
        <v>2278</v>
      </c>
      <c r="C356" s="89" t="s">
        <v>2260</v>
      </c>
      <c r="D356" s="89" t="s">
        <v>2279</v>
      </c>
      <c r="E356" s="89" t="s">
        <v>2280</v>
      </c>
      <c r="F356" s="89" t="s">
        <v>2263</v>
      </c>
      <c r="G356" s="89" t="s">
        <v>2281</v>
      </c>
      <c r="H356" s="89" t="s">
        <v>475</v>
      </c>
      <c r="I356" s="89" t="s">
        <v>456</v>
      </c>
      <c r="J356" s="89" t="s">
        <v>448</v>
      </c>
      <c r="K356" s="89" t="s">
        <v>545</v>
      </c>
      <c r="L356" s="89" t="s">
        <v>2265</v>
      </c>
      <c r="M356" s="89" t="s">
        <v>2282</v>
      </c>
      <c r="N356" s="89" t="s">
        <v>441</v>
      </c>
      <c r="O356" s="87">
        <v>21726.0</v>
      </c>
      <c r="P356" s="87"/>
      <c r="Q356" s="87"/>
      <c r="R356" s="87"/>
      <c r="S356" s="87"/>
      <c r="T356" s="87"/>
      <c r="U356" s="87">
        <v>9487.0</v>
      </c>
      <c r="V356" s="87">
        <v>12239.0</v>
      </c>
      <c r="W356" s="87"/>
      <c r="X356" s="87">
        <v>3714.0</v>
      </c>
      <c r="Y356" s="87">
        <v>274.0</v>
      </c>
      <c r="Z356" s="87">
        <v>2086.0</v>
      </c>
      <c r="AA356" s="87">
        <v>2463.0</v>
      </c>
      <c r="AB356" s="87">
        <v>1339.0</v>
      </c>
      <c r="AC356" s="87">
        <v>2277.0</v>
      </c>
      <c r="AD356" s="87">
        <v>3365.0</v>
      </c>
      <c r="AE356" s="87">
        <v>3282.0</v>
      </c>
      <c r="AF356" s="87">
        <v>2923.0</v>
      </c>
      <c r="AG356" s="87">
        <v>3.0</v>
      </c>
      <c r="AH356" s="87">
        <v>7695.0</v>
      </c>
      <c r="AI356" s="87">
        <v>13789.0</v>
      </c>
      <c r="AJ356" s="87">
        <v>242.0</v>
      </c>
      <c r="AK356" s="87">
        <v>62.0</v>
      </c>
      <c r="AL356" s="87">
        <v>2717.0</v>
      </c>
      <c r="AM356" s="87">
        <v>98.0</v>
      </c>
      <c r="AN356" s="87">
        <v>2251.0</v>
      </c>
      <c r="AO356" s="87">
        <v>7732.0</v>
      </c>
      <c r="AP356" s="87">
        <v>397.0</v>
      </c>
      <c r="AQ356" s="87">
        <v>4507.0</v>
      </c>
      <c r="AR356" s="87">
        <v>3962.0</v>
      </c>
      <c r="AS356" s="87">
        <v>15462.0</v>
      </c>
      <c r="AT356" s="87">
        <v>1696.0</v>
      </c>
      <c r="AU356" s="87">
        <v>683.0</v>
      </c>
      <c r="AV356" s="87">
        <v>556.0</v>
      </c>
      <c r="AW356" s="87">
        <v>27.0</v>
      </c>
      <c r="AX356" s="87">
        <v>5.0</v>
      </c>
      <c r="AY356" s="87"/>
      <c r="AZ356" s="87">
        <v>1.0</v>
      </c>
      <c r="BA356" s="87">
        <v>15.0</v>
      </c>
      <c r="BB356" s="87">
        <v>4.0</v>
      </c>
      <c r="BC356" s="87">
        <v>3277.0</v>
      </c>
      <c r="BD356" s="87"/>
      <c r="BE356" s="87">
        <v>12832.0</v>
      </c>
      <c r="BF356" s="87">
        <v>145.0</v>
      </c>
      <c r="BG356" s="87">
        <v>8749.0</v>
      </c>
      <c r="BH356" s="87"/>
      <c r="BI356" s="87">
        <v>101621.0</v>
      </c>
      <c r="BJ356" s="87">
        <v>10224.0</v>
      </c>
      <c r="BK356" s="87">
        <v>6928.0</v>
      </c>
      <c r="BL356" s="87">
        <v>1295.0</v>
      </c>
      <c r="BM356" s="87">
        <v>3277.0</v>
      </c>
      <c r="BN356" s="87">
        <v>2.0</v>
      </c>
      <c r="BO356" s="87"/>
      <c r="BP356" s="87">
        <v>13442.0</v>
      </c>
      <c r="BQ356" s="87">
        <v>415.0</v>
      </c>
      <c r="BR356" s="87">
        <v>47.0</v>
      </c>
      <c r="BS356" s="87">
        <v>2482.0</v>
      </c>
      <c r="BT356" s="87">
        <v>111.0</v>
      </c>
      <c r="BU356" s="87">
        <v>43.0</v>
      </c>
      <c r="BV356" s="87">
        <v>726.0</v>
      </c>
      <c r="BW356" s="87">
        <v>890.0</v>
      </c>
      <c r="BX356" s="87">
        <v>3020.0</v>
      </c>
      <c r="BY356" s="87"/>
      <c r="BZ356" s="87">
        <v>17.0</v>
      </c>
      <c r="CA356" s="87">
        <v>459.0</v>
      </c>
      <c r="CB356" s="87">
        <v>50.0</v>
      </c>
      <c r="CC356" s="87"/>
      <c r="CD356" s="87">
        <v>24.0</v>
      </c>
      <c r="CE356" s="87"/>
      <c r="CF356" s="87"/>
      <c r="CG356" s="87">
        <v>871.0</v>
      </c>
      <c r="CH356" s="87">
        <v>20855.0</v>
      </c>
      <c r="CI356" s="87"/>
      <c r="CJ356" s="87">
        <v>8513.0</v>
      </c>
      <c r="CK356" s="87">
        <v>7884.0</v>
      </c>
      <c r="CL356" s="87">
        <v>4744.0</v>
      </c>
      <c r="CM356" s="87">
        <v>26.0</v>
      </c>
      <c r="CN356" s="87"/>
      <c r="CO356" s="87">
        <v>183.0</v>
      </c>
      <c r="CP356" s="87"/>
      <c r="CQ356" s="87">
        <v>175.0</v>
      </c>
      <c r="CR356" s="87"/>
      <c r="CS356" s="87">
        <v>201.0</v>
      </c>
      <c r="CT356" s="87">
        <v>4070.0</v>
      </c>
      <c r="CU356" s="87">
        <v>425.0</v>
      </c>
      <c r="CV356" s="87">
        <v>114.0</v>
      </c>
      <c r="CW356" s="87">
        <v>835.0</v>
      </c>
      <c r="CX356" s="87">
        <v>182.0</v>
      </c>
      <c r="CY356" s="87">
        <v>346.0</v>
      </c>
      <c r="CZ356" s="87">
        <v>9.0</v>
      </c>
      <c r="DA356" s="87">
        <v>9.0</v>
      </c>
      <c r="DB356" s="87">
        <v>3623.0</v>
      </c>
      <c r="DC356" s="87">
        <v>840.0</v>
      </c>
      <c r="DD356" s="87">
        <v>1502.0</v>
      </c>
      <c r="DE356" s="87">
        <v>188.0</v>
      </c>
      <c r="DF356" s="87">
        <v>306.0</v>
      </c>
      <c r="DG356" s="87">
        <v>990.0</v>
      </c>
      <c r="DH356" s="87">
        <v>3570.0</v>
      </c>
      <c r="DI356" s="87">
        <v>3403.0</v>
      </c>
      <c r="DJ356" s="87">
        <v>14.0</v>
      </c>
      <c r="DK356" s="87">
        <v>214.0</v>
      </c>
      <c r="DL356" s="87">
        <v>885.0</v>
      </c>
      <c r="DM356" s="87">
        <v>201.0</v>
      </c>
      <c r="DN356" s="87"/>
      <c r="DO356" s="87">
        <v>4634.0</v>
      </c>
      <c r="DP356" s="87">
        <v>3197.0</v>
      </c>
      <c r="DQ356" s="87">
        <v>2614.0</v>
      </c>
      <c r="DR356" s="87">
        <v>1317.0</v>
      </c>
      <c r="DS356" s="87">
        <v>3.0</v>
      </c>
      <c r="DT356" s="87">
        <v>8.0</v>
      </c>
      <c r="DU356" s="87">
        <v>1.0</v>
      </c>
      <c r="DV356" s="87">
        <v>305.0</v>
      </c>
      <c r="DW356" s="87">
        <v>50.0</v>
      </c>
      <c r="DX356" s="87">
        <v>361.0</v>
      </c>
      <c r="DY356" s="87">
        <v>612.0</v>
      </c>
      <c r="DZ356" s="87">
        <v>145.0</v>
      </c>
      <c r="EA356" s="87">
        <v>42.0</v>
      </c>
      <c r="EB356" s="87">
        <v>411.0</v>
      </c>
      <c r="EC356" s="87">
        <v>381.0</v>
      </c>
      <c r="ED356" s="87">
        <v>7459.0</v>
      </c>
      <c r="EE356" s="87">
        <v>186.0</v>
      </c>
      <c r="EF356" s="87">
        <v>76.0</v>
      </c>
      <c r="EG356" s="87">
        <v>767.0</v>
      </c>
      <c r="EH356" s="87">
        <v>1.0</v>
      </c>
      <c r="EI356" s="87">
        <v>66.0</v>
      </c>
      <c r="EJ356" s="87">
        <v>20816.0</v>
      </c>
      <c r="EK356" s="88"/>
      <c r="EL356" s="88"/>
      <c r="EM356" s="88"/>
      <c r="EN356" s="88"/>
      <c r="EO356" s="88"/>
      <c r="EP356" s="88"/>
      <c r="EQ356" s="90"/>
    </row>
    <row r="357" ht="12.0" customHeight="1">
      <c r="A357" s="89">
        <v>1.06391056E8</v>
      </c>
      <c r="B357" s="89" t="s">
        <v>2283</v>
      </c>
      <c r="C357" s="89" t="s">
        <v>2260</v>
      </c>
      <c r="D357" s="89" t="s">
        <v>2284</v>
      </c>
      <c r="E357" s="89" t="s">
        <v>2285</v>
      </c>
      <c r="F357" s="89" t="s">
        <v>2286</v>
      </c>
      <c r="G357" s="89" t="s">
        <v>2287</v>
      </c>
      <c r="H357" s="89" t="s">
        <v>447</v>
      </c>
      <c r="I357" s="89" t="s">
        <v>456</v>
      </c>
      <c r="J357" s="89" t="s">
        <v>463</v>
      </c>
      <c r="K357" s="89" t="s">
        <v>545</v>
      </c>
      <c r="L357" s="89" t="s">
        <v>2265</v>
      </c>
      <c r="M357" s="89" t="s">
        <v>2288</v>
      </c>
      <c r="N357" s="89" t="s">
        <v>441</v>
      </c>
      <c r="O357" s="87">
        <v>3674.0</v>
      </c>
      <c r="P357" s="87"/>
      <c r="Q357" s="87"/>
      <c r="R357" s="87"/>
      <c r="S357" s="87"/>
      <c r="T357" s="87"/>
      <c r="U357" s="87">
        <v>1608.0</v>
      </c>
      <c r="V357" s="87">
        <v>2066.0</v>
      </c>
      <c r="W357" s="87"/>
      <c r="X357" s="87">
        <v>508.0</v>
      </c>
      <c r="Y357" s="87">
        <v>32.0</v>
      </c>
      <c r="Z357" s="87">
        <v>273.0</v>
      </c>
      <c r="AA357" s="87">
        <v>412.0</v>
      </c>
      <c r="AB357" s="87">
        <v>268.0</v>
      </c>
      <c r="AC357" s="87">
        <v>386.0</v>
      </c>
      <c r="AD357" s="87">
        <v>585.0</v>
      </c>
      <c r="AE357" s="87">
        <v>630.0</v>
      </c>
      <c r="AF357" s="87">
        <v>580.0</v>
      </c>
      <c r="AG357" s="87"/>
      <c r="AH357" s="87">
        <v>1203.0</v>
      </c>
      <c r="AI357" s="87">
        <v>2437.0</v>
      </c>
      <c r="AJ357" s="87">
        <v>34.0</v>
      </c>
      <c r="AK357" s="87">
        <v>17.0</v>
      </c>
      <c r="AL357" s="87">
        <v>483.0</v>
      </c>
      <c r="AM357" s="87">
        <v>228.0</v>
      </c>
      <c r="AN357" s="87">
        <v>274.0</v>
      </c>
      <c r="AO357" s="87">
        <v>1536.0</v>
      </c>
      <c r="AP357" s="87">
        <v>22.0</v>
      </c>
      <c r="AQ357" s="87">
        <v>1067.0</v>
      </c>
      <c r="AR357" s="87">
        <v>47.0</v>
      </c>
      <c r="AS357" s="87">
        <v>3040.0</v>
      </c>
      <c r="AT357" s="87">
        <v>42.0</v>
      </c>
      <c r="AU357" s="87">
        <v>37.0</v>
      </c>
      <c r="AV357" s="87">
        <v>83.0</v>
      </c>
      <c r="AW357" s="87"/>
      <c r="AX357" s="87">
        <v>1.0</v>
      </c>
      <c r="AY357" s="87">
        <v>2.0</v>
      </c>
      <c r="AZ357" s="87"/>
      <c r="BA357" s="87"/>
      <c r="BB357" s="87">
        <v>5.0</v>
      </c>
      <c r="BC357" s="87">
        <v>464.0</v>
      </c>
      <c r="BD357" s="87"/>
      <c r="BE357" s="87">
        <v>2405.0</v>
      </c>
      <c r="BF357" s="87">
        <v>12.0</v>
      </c>
      <c r="BG357" s="87">
        <v>1257.0</v>
      </c>
      <c r="BH357" s="87"/>
      <c r="BI357" s="87">
        <v>11219.0</v>
      </c>
      <c r="BJ357" s="87">
        <v>1453.0</v>
      </c>
      <c r="BK357" s="87">
        <v>1307.0</v>
      </c>
      <c r="BL357" s="87">
        <v>450.0</v>
      </c>
      <c r="BM357" s="87">
        <v>464.0</v>
      </c>
      <c r="BN357" s="87"/>
      <c r="BO357" s="87"/>
      <c r="BP357" s="87">
        <v>2216.0</v>
      </c>
      <c r="BQ357" s="87">
        <v>227.0</v>
      </c>
      <c r="BR357" s="87">
        <v>12.0</v>
      </c>
      <c r="BS357" s="87">
        <v>343.0</v>
      </c>
      <c r="BT357" s="87">
        <v>7.0</v>
      </c>
      <c r="BU357" s="87"/>
      <c r="BV357" s="87">
        <v>55.0</v>
      </c>
      <c r="BW357" s="87">
        <v>87.0</v>
      </c>
      <c r="BX357" s="87">
        <v>647.0</v>
      </c>
      <c r="BY357" s="87"/>
      <c r="BZ357" s="87">
        <v>1.0</v>
      </c>
      <c r="CA357" s="87">
        <v>65.0</v>
      </c>
      <c r="CB357" s="87">
        <v>8.0</v>
      </c>
      <c r="CC357" s="87"/>
      <c r="CD357" s="87">
        <v>6.0</v>
      </c>
      <c r="CE357" s="87"/>
      <c r="CF357" s="87"/>
      <c r="CG357" s="87">
        <v>154.0</v>
      </c>
      <c r="CH357" s="87">
        <v>3520.0</v>
      </c>
      <c r="CI357" s="87"/>
      <c r="CJ357" s="87">
        <v>1413.0</v>
      </c>
      <c r="CK357" s="87">
        <v>705.0</v>
      </c>
      <c r="CL357" s="87">
        <v>1362.0</v>
      </c>
      <c r="CM357" s="87">
        <v>7.0</v>
      </c>
      <c r="CN357" s="87"/>
      <c r="CO357" s="87">
        <v>81.0</v>
      </c>
      <c r="CP357" s="87"/>
      <c r="CQ357" s="87">
        <v>102.0</v>
      </c>
      <c r="CR357" s="87">
        <v>4.0</v>
      </c>
      <c r="CS357" s="87"/>
      <c r="CT357" s="87">
        <v>668.0</v>
      </c>
      <c r="CU357" s="87">
        <v>72.0</v>
      </c>
      <c r="CV357" s="87">
        <v>58.0</v>
      </c>
      <c r="CW357" s="87">
        <v>186.0</v>
      </c>
      <c r="CX357" s="87">
        <v>34.0</v>
      </c>
      <c r="CY357" s="87">
        <v>58.0</v>
      </c>
      <c r="CZ357" s="87"/>
      <c r="DA357" s="87">
        <v>2.0</v>
      </c>
      <c r="DB357" s="87">
        <v>410.0</v>
      </c>
      <c r="DC357" s="87">
        <v>188.0</v>
      </c>
      <c r="DD357" s="87">
        <v>392.0</v>
      </c>
      <c r="DE357" s="87">
        <v>33.0</v>
      </c>
      <c r="DF357" s="87">
        <v>191.0</v>
      </c>
      <c r="DG357" s="87">
        <v>178.0</v>
      </c>
      <c r="DH357" s="87">
        <v>488.0</v>
      </c>
      <c r="DI357" s="87">
        <v>479.0</v>
      </c>
      <c r="DJ357" s="87"/>
      <c r="DK357" s="87">
        <v>41.0</v>
      </c>
      <c r="DL357" s="87">
        <v>187.0</v>
      </c>
      <c r="DM357" s="87">
        <v>9.0</v>
      </c>
      <c r="DN357" s="87"/>
      <c r="DO357" s="87">
        <v>471.0</v>
      </c>
      <c r="DP357" s="87">
        <v>468.0</v>
      </c>
      <c r="DQ357" s="87">
        <v>189.0</v>
      </c>
      <c r="DR357" s="87">
        <v>375.0</v>
      </c>
      <c r="DS357" s="87"/>
      <c r="DT357" s="87"/>
      <c r="DU357" s="87"/>
      <c r="DV357" s="87">
        <v>137.0</v>
      </c>
      <c r="DW357" s="87">
        <v>3.0</v>
      </c>
      <c r="DX357" s="87">
        <v>60.0</v>
      </c>
      <c r="DY357" s="87">
        <v>243.0</v>
      </c>
      <c r="DZ357" s="87">
        <v>17.0</v>
      </c>
      <c r="EA357" s="87">
        <v>8.0</v>
      </c>
      <c r="EB357" s="87">
        <v>43.0</v>
      </c>
      <c r="EC357" s="87">
        <v>38.0</v>
      </c>
      <c r="ED357" s="87">
        <v>1502.0</v>
      </c>
      <c r="EE357" s="87">
        <v>120.0</v>
      </c>
      <c r="EF357" s="87">
        <v>4.0</v>
      </c>
      <c r="EG357" s="87">
        <v>46.0</v>
      </c>
      <c r="EH357" s="87"/>
      <c r="EI357" s="87">
        <v>17.0</v>
      </c>
      <c r="EJ357" s="87">
        <v>3607.0</v>
      </c>
      <c r="EK357" s="88"/>
      <c r="EL357" s="88"/>
      <c r="EM357" s="88"/>
      <c r="EN357" s="88"/>
      <c r="EO357" s="88"/>
      <c r="EP357" s="88"/>
      <c r="EQ357" s="90"/>
    </row>
    <row r="358" ht="12.0" customHeight="1">
      <c r="A358" s="89">
        <v>1.06392232E8</v>
      </c>
      <c r="B358" s="89" t="s">
        <v>2289</v>
      </c>
      <c r="C358" s="89" t="s">
        <v>2260</v>
      </c>
      <c r="D358" s="89" t="s">
        <v>2290</v>
      </c>
      <c r="E358" s="89" t="s">
        <v>2291</v>
      </c>
      <c r="F358" s="89" t="s">
        <v>2263</v>
      </c>
      <c r="G358" s="89" t="s">
        <v>2281</v>
      </c>
      <c r="H358" s="89" t="s">
        <v>475</v>
      </c>
      <c r="I358" s="89" t="s">
        <v>456</v>
      </c>
      <c r="J358" s="89" t="s">
        <v>499</v>
      </c>
      <c r="K358" s="89" t="s">
        <v>545</v>
      </c>
      <c r="L358" s="89" t="s">
        <v>2265</v>
      </c>
      <c r="M358" s="89" t="s">
        <v>2282</v>
      </c>
      <c r="N358" s="89" t="s">
        <v>441</v>
      </c>
      <c r="O358" s="87"/>
      <c r="P358" s="87"/>
      <c r="Q358" s="87">
        <v>1739.0</v>
      </c>
      <c r="R358" s="87"/>
      <c r="S358" s="87"/>
      <c r="T358" s="87"/>
      <c r="U358" s="87">
        <v>811.0</v>
      </c>
      <c r="V358" s="87">
        <v>928.0</v>
      </c>
      <c r="W358" s="87"/>
      <c r="X358" s="87"/>
      <c r="Y358" s="87">
        <v>101.0</v>
      </c>
      <c r="Z358" s="87">
        <v>382.0</v>
      </c>
      <c r="AA358" s="87">
        <v>273.0</v>
      </c>
      <c r="AB358" s="87">
        <v>273.0</v>
      </c>
      <c r="AC358" s="87">
        <v>308.0</v>
      </c>
      <c r="AD358" s="87">
        <v>263.0</v>
      </c>
      <c r="AE358" s="87">
        <v>125.0</v>
      </c>
      <c r="AF358" s="87">
        <v>14.0</v>
      </c>
      <c r="AG358" s="87"/>
      <c r="AH358" s="87">
        <v>331.0</v>
      </c>
      <c r="AI358" s="87">
        <v>1380.0</v>
      </c>
      <c r="AJ358" s="87">
        <v>28.0</v>
      </c>
      <c r="AK358" s="87"/>
      <c r="AL358" s="87">
        <v>89.0</v>
      </c>
      <c r="AM358" s="87"/>
      <c r="AN358" s="87">
        <v>133.0</v>
      </c>
      <c r="AO358" s="87">
        <v>770.0</v>
      </c>
      <c r="AP358" s="87">
        <v>110.0</v>
      </c>
      <c r="AQ358" s="87">
        <v>332.0</v>
      </c>
      <c r="AR358" s="87">
        <v>305.0</v>
      </c>
      <c r="AS358" s="87">
        <v>7.0</v>
      </c>
      <c r="AT358" s="87">
        <v>4.0</v>
      </c>
      <c r="AU358" s="87">
        <v>1726.0</v>
      </c>
      <c r="AV358" s="87"/>
      <c r="AW358" s="87">
        <v>2.0</v>
      </c>
      <c r="AX358" s="87"/>
      <c r="AY358" s="87"/>
      <c r="AZ358" s="87"/>
      <c r="BA358" s="87"/>
      <c r="BB358" s="87"/>
      <c r="BC358" s="87"/>
      <c r="BD358" s="87"/>
      <c r="BE358" s="87">
        <v>4.0</v>
      </c>
      <c r="BF358" s="87">
        <v>1532.0</v>
      </c>
      <c r="BG358" s="87">
        <v>203.0</v>
      </c>
      <c r="BH358" s="87"/>
      <c r="BI358" s="87">
        <v>10409.0</v>
      </c>
      <c r="BJ358" s="87">
        <v>111.0</v>
      </c>
      <c r="BK358" s="87">
        <v>1625.0</v>
      </c>
      <c r="BL358" s="87">
        <v>3.0</v>
      </c>
      <c r="BM358" s="87"/>
      <c r="BN358" s="87"/>
      <c r="BO358" s="87"/>
      <c r="BP358" s="87">
        <v>1510.0</v>
      </c>
      <c r="BQ358" s="87">
        <v>46.0</v>
      </c>
      <c r="BR358" s="87">
        <v>24.0</v>
      </c>
      <c r="BS358" s="87">
        <v>9.0</v>
      </c>
      <c r="BT358" s="87">
        <v>67.0</v>
      </c>
      <c r="BU358" s="87">
        <v>2.0</v>
      </c>
      <c r="BV358" s="87">
        <v>46.0</v>
      </c>
      <c r="BW358" s="87"/>
      <c r="BX358" s="87">
        <v>7.0</v>
      </c>
      <c r="BY358" s="87"/>
      <c r="BZ358" s="87"/>
      <c r="CA358" s="87"/>
      <c r="CB358" s="87">
        <v>24.0</v>
      </c>
      <c r="CC358" s="87"/>
      <c r="CD358" s="87">
        <v>4.0</v>
      </c>
      <c r="CE358" s="87"/>
      <c r="CF358" s="87"/>
      <c r="CG358" s="87"/>
      <c r="CH358" s="87">
        <v>1739.0</v>
      </c>
      <c r="CI358" s="87"/>
      <c r="CJ358" s="87">
        <v>820.0</v>
      </c>
      <c r="CK358" s="87">
        <v>86.0</v>
      </c>
      <c r="CL358" s="87">
        <v>785.0</v>
      </c>
      <c r="CM358" s="87"/>
      <c r="CN358" s="87"/>
      <c r="CO358" s="87">
        <v>16.0</v>
      </c>
      <c r="CP358" s="87"/>
      <c r="CQ358" s="87">
        <v>5.0</v>
      </c>
      <c r="CR358" s="87">
        <v>27.0</v>
      </c>
      <c r="CS358" s="87"/>
      <c r="CT358" s="87"/>
      <c r="CU358" s="87"/>
      <c r="CV358" s="87"/>
      <c r="CW358" s="87"/>
      <c r="CX358" s="87">
        <v>1709.0</v>
      </c>
      <c r="CY358" s="87">
        <v>8.0</v>
      </c>
      <c r="CZ358" s="87"/>
      <c r="DA358" s="87"/>
      <c r="DB358" s="87"/>
      <c r="DC358" s="87"/>
      <c r="DD358" s="87"/>
      <c r="DE358" s="87"/>
      <c r="DF358" s="87"/>
      <c r="DG358" s="87">
        <v>1.0</v>
      </c>
      <c r="DH358" s="87">
        <v>13.0</v>
      </c>
      <c r="DI358" s="87"/>
      <c r="DJ358" s="87"/>
      <c r="DK358" s="87">
        <v>4.0</v>
      </c>
      <c r="DL358" s="87"/>
      <c r="DM358" s="87">
        <v>4.0</v>
      </c>
      <c r="DN358" s="87"/>
      <c r="DO358" s="87">
        <v>1690.0</v>
      </c>
      <c r="DP358" s="87"/>
      <c r="DQ358" s="87"/>
      <c r="DR358" s="87"/>
      <c r="DS358" s="87"/>
      <c r="DT358" s="87"/>
      <c r="DU358" s="87"/>
      <c r="DV358" s="87"/>
      <c r="DW358" s="87"/>
      <c r="DX358" s="87"/>
      <c r="DY358" s="87"/>
      <c r="DZ358" s="87"/>
      <c r="EA358" s="87"/>
      <c r="EB358" s="87"/>
      <c r="EC358" s="87"/>
      <c r="ED358" s="87">
        <v>49.0</v>
      </c>
      <c r="EE358" s="87"/>
      <c r="EF358" s="87">
        <v>17.0</v>
      </c>
      <c r="EG358" s="87">
        <v>271.0</v>
      </c>
      <c r="EH358" s="87"/>
      <c r="EI358" s="87">
        <v>12.0</v>
      </c>
      <c r="EJ358" s="87">
        <v>1439.0</v>
      </c>
      <c r="EK358" s="88"/>
      <c r="EL358" s="88"/>
      <c r="EM358" s="88"/>
      <c r="EN358" s="88"/>
      <c r="EO358" s="88"/>
      <c r="EP358" s="88"/>
      <c r="EQ358" s="90"/>
    </row>
    <row r="359" ht="12.0" customHeight="1">
      <c r="A359" s="89">
        <v>1.06392287E8</v>
      </c>
      <c r="B359" s="89" t="s">
        <v>2292</v>
      </c>
      <c r="C359" s="89" t="s">
        <v>2260</v>
      </c>
      <c r="D359" s="89" t="s">
        <v>2293</v>
      </c>
      <c r="E359" s="89" t="s">
        <v>2294</v>
      </c>
      <c r="F359" s="89" t="s">
        <v>2295</v>
      </c>
      <c r="G359" s="89" t="s">
        <v>2296</v>
      </c>
      <c r="H359" s="89" t="s">
        <v>503</v>
      </c>
      <c r="I359" s="89" t="s">
        <v>456</v>
      </c>
      <c r="J359" s="89" t="s">
        <v>463</v>
      </c>
      <c r="K359" s="89" t="s">
        <v>545</v>
      </c>
      <c r="L359" s="89" t="s">
        <v>669</v>
      </c>
      <c r="M359" s="89" t="s">
        <v>2297</v>
      </c>
      <c r="N359" s="89" t="s">
        <v>441</v>
      </c>
      <c r="O359" s="87">
        <v>3718.0</v>
      </c>
      <c r="P359" s="87"/>
      <c r="Q359" s="87"/>
      <c r="R359" s="87"/>
      <c r="S359" s="87"/>
      <c r="T359" s="87"/>
      <c r="U359" s="87">
        <v>1520.0</v>
      </c>
      <c r="V359" s="87">
        <v>2198.0</v>
      </c>
      <c r="W359" s="87"/>
      <c r="X359" s="87">
        <v>411.0</v>
      </c>
      <c r="Y359" s="87">
        <v>38.0</v>
      </c>
      <c r="Z359" s="87">
        <v>336.0</v>
      </c>
      <c r="AA359" s="87">
        <v>463.0</v>
      </c>
      <c r="AB359" s="87">
        <v>303.0</v>
      </c>
      <c r="AC359" s="87">
        <v>415.0</v>
      </c>
      <c r="AD359" s="87">
        <v>531.0</v>
      </c>
      <c r="AE359" s="87">
        <v>599.0</v>
      </c>
      <c r="AF359" s="87">
        <v>622.0</v>
      </c>
      <c r="AG359" s="87"/>
      <c r="AH359" s="87">
        <v>1224.0</v>
      </c>
      <c r="AI359" s="87">
        <v>2316.0</v>
      </c>
      <c r="AJ359" s="87">
        <v>178.0</v>
      </c>
      <c r="AK359" s="87">
        <v>23.0</v>
      </c>
      <c r="AL359" s="87">
        <v>239.0</v>
      </c>
      <c r="AM359" s="87">
        <v>24.0</v>
      </c>
      <c r="AN359" s="87">
        <v>199.0</v>
      </c>
      <c r="AO359" s="87">
        <v>1777.0</v>
      </c>
      <c r="AP359" s="87">
        <v>131.0</v>
      </c>
      <c r="AQ359" s="87">
        <v>1325.0</v>
      </c>
      <c r="AR359" s="87"/>
      <c r="AS359" s="87">
        <v>3107.0</v>
      </c>
      <c r="AT359" s="87">
        <v>2.0</v>
      </c>
      <c r="AU359" s="87">
        <v>64.0</v>
      </c>
      <c r="AV359" s="87">
        <v>70.0</v>
      </c>
      <c r="AW359" s="87">
        <v>57.0</v>
      </c>
      <c r="AX359" s="87">
        <v>1.0</v>
      </c>
      <c r="AY359" s="87">
        <v>16.0</v>
      </c>
      <c r="AZ359" s="87">
        <v>1.0</v>
      </c>
      <c r="BA359" s="87">
        <v>1.0</v>
      </c>
      <c r="BB359" s="87"/>
      <c r="BC359" s="87">
        <v>399.0</v>
      </c>
      <c r="BD359" s="87"/>
      <c r="BE359" s="87">
        <v>2475.0</v>
      </c>
      <c r="BF359" s="87">
        <v>23.0</v>
      </c>
      <c r="BG359" s="87">
        <v>1220.0</v>
      </c>
      <c r="BH359" s="87"/>
      <c r="BI359" s="87">
        <v>13995.0</v>
      </c>
      <c r="BJ359" s="87">
        <v>779.0</v>
      </c>
      <c r="BK359" s="87">
        <v>2206.0</v>
      </c>
      <c r="BL359" s="87">
        <v>333.0</v>
      </c>
      <c r="BM359" s="87">
        <v>399.0</v>
      </c>
      <c r="BN359" s="87"/>
      <c r="BO359" s="87">
        <v>1.0</v>
      </c>
      <c r="BP359" s="87">
        <v>2507.0</v>
      </c>
      <c r="BQ359" s="87">
        <v>130.0</v>
      </c>
      <c r="BR359" s="87"/>
      <c r="BS359" s="87">
        <v>352.0</v>
      </c>
      <c r="BT359" s="87">
        <v>14.0</v>
      </c>
      <c r="BU359" s="87">
        <v>1.0</v>
      </c>
      <c r="BV359" s="87">
        <v>84.0</v>
      </c>
      <c r="BW359" s="87">
        <v>102.0</v>
      </c>
      <c r="BX359" s="87">
        <v>468.0</v>
      </c>
      <c r="BY359" s="87"/>
      <c r="BZ359" s="87"/>
      <c r="CA359" s="87">
        <v>59.0</v>
      </c>
      <c r="CB359" s="87">
        <v>1.0</v>
      </c>
      <c r="CC359" s="87"/>
      <c r="CD359" s="87"/>
      <c r="CE359" s="87"/>
      <c r="CF359" s="87"/>
      <c r="CG359" s="87">
        <v>306.0</v>
      </c>
      <c r="CH359" s="87">
        <v>3411.0</v>
      </c>
      <c r="CI359" s="87">
        <v>1.0</v>
      </c>
      <c r="CJ359" s="87">
        <v>1451.0</v>
      </c>
      <c r="CK359" s="87">
        <v>326.0</v>
      </c>
      <c r="CL359" s="87">
        <v>1710.0</v>
      </c>
      <c r="CM359" s="87">
        <v>3.0</v>
      </c>
      <c r="CN359" s="87">
        <v>2.0</v>
      </c>
      <c r="CO359" s="87">
        <v>13.0</v>
      </c>
      <c r="CP359" s="87">
        <v>9.0</v>
      </c>
      <c r="CQ359" s="87">
        <v>39.0</v>
      </c>
      <c r="CR359" s="87">
        <v>165.0</v>
      </c>
      <c r="CS359" s="87"/>
      <c r="CT359" s="87">
        <v>592.0</v>
      </c>
      <c r="CU359" s="87">
        <v>59.0</v>
      </c>
      <c r="CV359" s="87">
        <v>34.0</v>
      </c>
      <c r="CW359" s="87">
        <v>486.0</v>
      </c>
      <c r="CX359" s="87">
        <v>24.0</v>
      </c>
      <c r="CY359" s="87">
        <v>71.0</v>
      </c>
      <c r="CZ359" s="87">
        <v>1.0</v>
      </c>
      <c r="DA359" s="87">
        <v>3.0</v>
      </c>
      <c r="DB359" s="87">
        <v>441.0</v>
      </c>
      <c r="DC359" s="87">
        <v>226.0</v>
      </c>
      <c r="DD359" s="87">
        <v>459.0</v>
      </c>
      <c r="DE359" s="87">
        <v>38.0</v>
      </c>
      <c r="DF359" s="87">
        <v>42.0</v>
      </c>
      <c r="DG359" s="87">
        <v>169.0</v>
      </c>
      <c r="DH359" s="87">
        <v>429.0</v>
      </c>
      <c r="DI359" s="87">
        <v>401.0</v>
      </c>
      <c r="DJ359" s="87"/>
      <c r="DK359" s="87">
        <v>50.0</v>
      </c>
      <c r="DL359" s="87">
        <v>191.0</v>
      </c>
      <c r="DM359" s="87">
        <v>2.0</v>
      </c>
      <c r="DN359" s="87"/>
      <c r="DO359" s="87">
        <v>1676.0</v>
      </c>
      <c r="DP359" s="87">
        <v>403.0</v>
      </c>
      <c r="DQ359" s="87">
        <v>184.0</v>
      </c>
      <c r="DR359" s="87">
        <v>618.0</v>
      </c>
      <c r="DS359" s="87"/>
      <c r="DT359" s="87"/>
      <c r="DU359" s="87">
        <v>1.0</v>
      </c>
      <c r="DV359" s="87">
        <v>16.0</v>
      </c>
      <c r="DW359" s="87">
        <v>2.0</v>
      </c>
      <c r="DX359" s="87">
        <v>61.0</v>
      </c>
      <c r="DY359" s="87">
        <v>120.0</v>
      </c>
      <c r="DZ359" s="87">
        <v>26.0</v>
      </c>
      <c r="EA359" s="87">
        <v>8.0</v>
      </c>
      <c r="EB359" s="87">
        <v>55.0</v>
      </c>
      <c r="EC359" s="87">
        <v>14.0</v>
      </c>
      <c r="ED359" s="87">
        <v>463.0</v>
      </c>
      <c r="EE359" s="87">
        <v>71.0</v>
      </c>
      <c r="EF359" s="87">
        <v>9.0</v>
      </c>
      <c r="EG359" s="87">
        <v>43.0</v>
      </c>
      <c r="EH359" s="87"/>
      <c r="EI359" s="87">
        <v>17.0</v>
      </c>
      <c r="EJ359" s="87">
        <v>3649.0</v>
      </c>
      <c r="EK359" s="88"/>
      <c r="EL359" s="88"/>
      <c r="EM359" s="88"/>
      <c r="EN359" s="88"/>
      <c r="EO359" s="88"/>
      <c r="EP359" s="88"/>
      <c r="EQ359" s="90"/>
    </row>
    <row r="360" ht="12.0" customHeight="1">
      <c r="A360" s="89">
        <v>1.06394003E8</v>
      </c>
      <c r="B360" s="89" t="s">
        <v>2298</v>
      </c>
      <c r="C360" s="89" t="s">
        <v>2260</v>
      </c>
      <c r="D360" s="89" t="s">
        <v>2299</v>
      </c>
      <c r="E360" s="89" t="s">
        <v>2300</v>
      </c>
      <c r="F360" s="89" t="s">
        <v>2263</v>
      </c>
      <c r="G360" s="89" t="s">
        <v>2301</v>
      </c>
      <c r="H360" s="89" t="s">
        <v>435</v>
      </c>
      <c r="I360" s="89" t="s">
        <v>456</v>
      </c>
      <c r="J360" s="89" t="s">
        <v>499</v>
      </c>
      <c r="K360" s="89" t="s">
        <v>545</v>
      </c>
      <c r="L360" s="89" t="s">
        <v>2265</v>
      </c>
      <c r="M360" s="89" t="s">
        <v>2266</v>
      </c>
      <c r="N360" s="89" t="s">
        <v>441</v>
      </c>
      <c r="O360" s="87"/>
      <c r="P360" s="87"/>
      <c r="Q360" s="87">
        <v>207.0</v>
      </c>
      <c r="R360" s="87"/>
      <c r="S360" s="87"/>
      <c r="T360" s="87"/>
      <c r="U360" s="87">
        <v>116.0</v>
      </c>
      <c r="V360" s="87">
        <v>91.0</v>
      </c>
      <c r="W360" s="87"/>
      <c r="X360" s="87"/>
      <c r="Y360" s="87"/>
      <c r="Z360" s="87">
        <v>64.0</v>
      </c>
      <c r="AA360" s="87">
        <v>66.0</v>
      </c>
      <c r="AB360" s="87">
        <v>35.0</v>
      </c>
      <c r="AC360" s="87">
        <v>28.0</v>
      </c>
      <c r="AD360" s="87"/>
      <c r="AE360" s="87"/>
      <c r="AF360" s="87"/>
      <c r="AG360" s="87">
        <v>14.0</v>
      </c>
      <c r="AH360" s="87">
        <v>69.0</v>
      </c>
      <c r="AI360" s="87">
        <v>134.0</v>
      </c>
      <c r="AJ360" s="87">
        <v>4.0</v>
      </c>
      <c r="AK360" s="87"/>
      <c r="AL360" s="87">
        <v>23.0</v>
      </c>
      <c r="AM360" s="87"/>
      <c r="AN360" s="87">
        <v>43.0</v>
      </c>
      <c r="AO360" s="87">
        <v>71.0</v>
      </c>
      <c r="AP360" s="87">
        <v>1.0</v>
      </c>
      <c r="AQ360" s="87">
        <v>55.0</v>
      </c>
      <c r="AR360" s="87">
        <v>14.0</v>
      </c>
      <c r="AS360" s="87"/>
      <c r="AT360" s="87">
        <v>196.0</v>
      </c>
      <c r="AU360" s="87">
        <v>5.0</v>
      </c>
      <c r="AV360" s="87"/>
      <c r="AW360" s="87"/>
      <c r="AX360" s="87"/>
      <c r="AY360" s="87"/>
      <c r="AZ360" s="87"/>
      <c r="BA360" s="87">
        <v>6.0</v>
      </c>
      <c r="BB360" s="87"/>
      <c r="BC360" s="87"/>
      <c r="BD360" s="87"/>
      <c r="BE360" s="87"/>
      <c r="BF360" s="87">
        <v>1.0</v>
      </c>
      <c r="BG360" s="87">
        <v>206.0</v>
      </c>
      <c r="BH360" s="87"/>
      <c r="BI360" s="87">
        <v>4967.0</v>
      </c>
      <c r="BJ360" s="87">
        <v>1.0</v>
      </c>
      <c r="BK360" s="87">
        <v>206.0</v>
      </c>
      <c r="BL360" s="87"/>
      <c r="BM360" s="87"/>
      <c r="BN360" s="87"/>
      <c r="BO360" s="87"/>
      <c r="BP360" s="87">
        <v>107.0</v>
      </c>
      <c r="BQ360" s="87"/>
      <c r="BR360" s="87"/>
      <c r="BS360" s="87"/>
      <c r="BT360" s="87">
        <v>65.0</v>
      </c>
      <c r="BU360" s="87">
        <v>5.0</v>
      </c>
      <c r="BV360" s="87">
        <v>1.0</v>
      </c>
      <c r="BW360" s="87"/>
      <c r="BX360" s="87"/>
      <c r="BY360" s="87"/>
      <c r="BZ360" s="87"/>
      <c r="CA360" s="87"/>
      <c r="CB360" s="87">
        <v>13.0</v>
      </c>
      <c r="CC360" s="87"/>
      <c r="CD360" s="87">
        <v>16.0</v>
      </c>
      <c r="CE360" s="87"/>
      <c r="CF360" s="87"/>
      <c r="CG360" s="87"/>
      <c r="CH360" s="87">
        <v>207.0</v>
      </c>
      <c r="CI360" s="87"/>
      <c r="CJ360" s="87">
        <v>13.0</v>
      </c>
      <c r="CK360" s="87">
        <v>171.0</v>
      </c>
      <c r="CL360" s="87"/>
      <c r="CM360" s="87"/>
      <c r="CN360" s="87">
        <v>23.0</v>
      </c>
      <c r="CO360" s="87"/>
      <c r="CP360" s="87"/>
      <c r="CQ360" s="87"/>
      <c r="CR360" s="87"/>
      <c r="CS360" s="87"/>
      <c r="CT360" s="87"/>
      <c r="CU360" s="87"/>
      <c r="CV360" s="87"/>
      <c r="CW360" s="87"/>
      <c r="CX360" s="87">
        <v>207.0</v>
      </c>
      <c r="CY360" s="87"/>
      <c r="CZ360" s="87"/>
      <c r="DA360" s="87"/>
      <c r="DB360" s="87"/>
      <c r="DC360" s="87"/>
      <c r="DD360" s="87"/>
      <c r="DE360" s="87"/>
      <c r="DF360" s="87"/>
      <c r="DG360" s="87"/>
      <c r="DH360" s="87"/>
      <c r="DI360" s="87"/>
      <c r="DJ360" s="87"/>
      <c r="DK360" s="87"/>
      <c r="DL360" s="87"/>
      <c r="DM360" s="87"/>
      <c r="DN360" s="87"/>
      <c r="DO360" s="87">
        <v>48.0</v>
      </c>
      <c r="DP360" s="87"/>
      <c r="DQ360" s="87"/>
      <c r="DR360" s="87"/>
      <c r="DS360" s="87"/>
      <c r="DT360" s="87"/>
      <c r="DU360" s="87"/>
      <c r="DV360" s="87"/>
      <c r="DW360" s="87"/>
      <c r="DX360" s="87"/>
      <c r="DY360" s="87"/>
      <c r="DZ360" s="87"/>
      <c r="EA360" s="87"/>
      <c r="EB360" s="87"/>
      <c r="EC360" s="87"/>
      <c r="ED360" s="87">
        <v>159.0</v>
      </c>
      <c r="EE360" s="87"/>
      <c r="EF360" s="87"/>
      <c r="EG360" s="87">
        <v>31.0</v>
      </c>
      <c r="EH360" s="87"/>
      <c r="EI360" s="87"/>
      <c r="EJ360" s="87">
        <v>176.0</v>
      </c>
      <c r="EK360" s="88"/>
      <c r="EL360" s="88"/>
      <c r="EM360" s="88"/>
      <c r="EN360" s="88"/>
      <c r="EO360" s="88"/>
      <c r="EP360" s="88"/>
      <c r="EQ360" s="90"/>
    </row>
    <row r="361" ht="12.0" customHeight="1">
      <c r="A361" s="89">
        <v>1.06394009E8</v>
      </c>
      <c r="B361" s="89" t="s">
        <v>2302</v>
      </c>
      <c r="C361" s="89" t="s">
        <v>2260</v>
      </c>
      <c r="D361" s="89" t="s">
        <v>2303</v>
      </c>
      <c r="E361" s="89" t="s">
        <v>2304</v>
      </c>
      <c r="F361" s="89" t="s">
        <v>2295</v>
      </c>
      <c r="G361" s="89" t="s">
        <v>2305</v>
      </c>
      <c r="H361" s="89" t="s">
        <v>447</v>
      </c>
      <c r="I361" s="89" t="s">
        <v>456</v>
      </c>
      <c r="J361" s="89" t="s">
        <v>463</v>
      </c>
      <c r="K361" s="89" t="s">
        <v>545</v>
      </c>
      <c r="L361" s="89" t="s">
        <v>669</v>
      </c>
      <c r="M361" s="89" t="s">
        <v>2297</v>
      </c>
      <c r="N361" s="89" t="s">
        <v>441</v>
      </c>
      <c r="O361" s="87">
        <v>18327.0</v>
      </c>
      <c r="P361" s="87"/>
      <c r="Q361" s="87"/>
      <c r="R361" s="87"/>
      <c r="S361" s="87"/>
      <c r="T361" s="87"/>
      <c r="U361" s="87">
        <v>7293.0</v>
      </c>
      <c r="V361" s="87">
        <v>11034.0</v>
      </c>
      <c r="W361" s="87"/>
      <c r="X361" s="87">
        <v>4360.0</v>
      </c>
      <c r="Y361" s="87">
        <v>217.0</v>
      </c>
      <c r="Z361" s="87">
        <v>2023.0</v>
      </c>
      <c r="AA361" s="87">
        <v>2815.0</v>
      </c>
      <c r="AB361" s="87">
        <v>1061.0</v>
      </c>
      <c r="AC361" s="87">
        <v>1430.0</v>
      </c>
      <c r="AD361" s="87">
        <v>2287.0</v>
      </c>
      <c r="AE361" s="87">
        <v>2256.0</v>
      </c>
      <c r="AF361" s="87">
        <v>1872.0</v>
      </c>
      <c r="AG361" s="87">
        <v>6.0</v>
      </c>
      <c r="AH361" s="87">
        <v>6894.0</v>
      </c>
      <c r="AI361" s="87">
        <v>11418.0</v>
      </c>
      <c r="AJ361" s="87">
        <v>15.0</v>
      </c>
      <c r="AK361" s="87">
        <v>78.0</v>
      </c>
      <c r="AL361" s="87">
        <v>2279.0</v>
      </c>
      <c r="AM361" s="87">
        <v>150.0</v>
      </c>
      <c r="AN361" s="87">
        <v>1363.0</v>
      </c>
      <c r="AO361" s="87">
        <v>7912.0</v>
      </c>
      <c r="AP361" s="87">
        <v>30.0</v>
      </c>
      <c r="AQ361" s="87">
        <v>6112.0</v>
      </c>
      <c r="AR361" s="87">
        <v>403.0</v>
      </c>
      <c r="AS361" s="87">
        <v>12970.0</v>
      </c>
      <c r="AT361" s="87">
        <v>211.0</v>
      </c>
      <c r="AU361" s="87">
        <v>888.0</v>
      </c>
      <c r="AV361" s="87">
        <v>159.0</v>
      </c>
      <c r="AW361" s="87">
        <v>95.0</v>
      </c>
      <c r="AX361" s="87"/>
      <c r="AY361" s="87"/>
      <c r="AZ361" s="87"/>
      <c r="BA361" s="87"/>
      <c r="BB361" s="87">
        <v>14.0</v>
      </c>
      <c r="BC361" s="87">
        <v>3989.0</v>
      </c>
      <c r="BD361" s="87">
        <v>1.0</v>
      </c>
      <c r="BE361" s="87">
        <v>8107.0</v>
      </c>
      <c r="BF361" s="87">
        <v>457.0</v>
      </c>
      <c r="BG361" s="87">
        <v>9762.0</v>
      </c>
      <c r="BH361" s="87">
        <v>1.0</v>
      </c>
      <c r="BI361" s="87">
        <v>60706.0</v>
      </c>
      <c r="BJ361" s="87">
        <v>951.0</v>
      </c>
      <c r="BK361" s="87">
        <v>12046.0</v>
      </c>
      <c r="BL361" s="87">
        <v>1338.0</v>
      </c>
      <c r="BM361" s="87">
        <v>3989.0</v>
      </c>
      <c r="BN361" s="87"/>
      <c r="BO361" s="87">
        <v>3.0</v>
      </c>
      <c r="BP361" s="87">
        <v>13980.0</v>
      </c>
      <c r="BQ361" s="87">
        <v>354.0</v>
      </c>
      <c r="BR361" s="87">
        <v>39.0</v>
      </c>
      <c r="BS361" s="87">
        <v>1154.0</v>
      </c>
      <c r="BT361" s="87">
        <v>2.0</v>
      </c>
      <c r="BU361" s="87">
        <v>2.0</v>
      </c>
      <c r="BV361" s="87">
        <v>171.0</v>
      </c>
      <c r="BW361" s="87">
        <v>354.0</v>
      </c>
      <c r="BX361" s="87">
        <v>1982.0</v>
      </c>
      <c r="BY361" s="87"/>
      <c r="BZ361" s="87">
        <v>2.0</v>
      </c>
      <c r="CA361" s="87">
        <v>266.0</v>
      </c>
      <c r="CB361" s="87">
        <v>13.0</v>
      </c>
      <c r="CC361" s="87"/>
      <c r="CD361" s="87">
        <v>2.0</v>
      </c>
      <c r="CE361" s="87">
        <v>6.0</v>
      </c>
      <c r="CF361" s="87"/>
      <c r="CG361" s="87">
        <v>1002.0</v>
      </c>
      <c r="CH361" s="87">
        <v>17325.0</v>
      </c>
      <c r="CI361" s="87"/>
      <c r="CJ361" s="87">
        <v>5423.0</v>
      </c>
      <c r="CK361" s="87">
        <v>933.0</v>
      </c>
      <c r="CL361" s="87">
        <v>11779.0</v>
      </c>
      <c r="CM361" s="87">
        <v>16.0</v>
      </c>
      <c r="CN361" s="87"/>
      <c r="CO361" s="87">
        <v>16.0</v>
      </c>
      <c r="CP361" s="87"/>
      <c r="CQ361" s="87">
        <v>160.0</v>
      </c>
      <c r="CR361" s="87"/>
      <c r="CS361" s="87"/>
      <c r="CT361" s="87">
        <v>2364.0</v>
      </c>
      <c r="CU361" s="87">
        <v>390.0</v>
      </c>
      <c r="CV361" s="87">
        <v>125.0</v>
      </c>
      <c r="CW361" s="87">
        <v>522.0</v>
      </c>
      <c r="CX361" s="87">
        <v>103.0</v>
      </c>
      <c r="CY361" s="87">
        <v>249.0</v>
      </c>
      <c r="CZ361" s="87">
        <v>12.0</v>
      </c>
      <c r="DA361" s="87">
        <v>2.0</v>
      </c>
      <c r="DB361" s="87">
        <v>1808.0</v>
      </c>
      <c r="DC361" s="87">
        <v>883.0</v>
      </c>
      <c r="DD361" s="87">
        <v>1589.0</v>
      </c>
      <c r="DE361" s="87">
        <v>182.0</v>
      </c>
      <c r="DF361" s="87">
        <v>144.0</v>
      </c>
      <c r="DG361" s="87">
        <v>606.0</v>
      </c>
      <c r="DH361" s="87">
        <v>4221.0</v>
      </c>
      <c r="DI361" s="87">
        <v>4075.0</v>
      </c>
      <c r="DJ361" s="87">
        <v>3.0</v>
      </c>
      <c r="DK361" s="87">
        <v>284.0</v>
      </c>
      <c r="DL361" s="87">
        <v>679.0</v>
      </c>
      <c r="DM361" s="87">
        <v>86.0</v>
      </c>
      <c r="DN361" s="87"/>
      <c r="DO361" s="87">
        <v>6212.0</v>
      </c>
      <c r="DP361" s="87">
        <v>3985.0</v>
      </c>
      <c r="DQ361" s="87">
        <v>1062.0</v>
      </c>
      <c r="DR361" s="87">
        <v>1420.0</v>
      </c>
      <c r="DS361" s="87">
        <v>5.0</v>
      </c>
      <c r="DT361" s="87">
        <v>7.0</v>
      </c>
      <c r="DU361" s="87">
        <v>1.0</v>
      </c>
      <c r="DV361" s="87">
        <v>908.0</v>
      </c>
      <c r="DW361" s="87">
        <v>49.0</v>
      </c>
      <c r="DX361" s="87">
        <v>242.0</v>
      </c>
      <c r="DY361" s="87">
        <v>618.0</v>
      </c>
      <c r="DZ361" s="87">
        <v>128.0</v>
      </c>
      <c r="EA361" s="87">
        <v>40.0</v>
      </c>
      <c r="EB361" s="87">
        <v>268.0</v>
      </c>
      <c r="EC361" s="87">
        <v>370.0</v>
      </c>
      <c r="ED361" s="87">
        <v>2684.0</v>
      </c>
      <c r="EE361" s="87">
        <v>328.0</v>
      </c>
      <c r="EF361" s="87">
        <v>3.0</v>
      </c>
      <c r="EG361" s="87">
        <v>66.0</v>
      </c>
      <c r="EH361" s="87">
        <v>1.0</v>
      </c>
      <c r="EI361" s="87">
        <v>28.0</v>
      </c>
      <c r="EJ361" s="87">
        <v>18229.0</v>
      </c>
      <c r="EK361" s="88"/>
      <c r="EL361" s="88"/>
      <c r="EM361" s="88"/>
      <c r="EN361" s="88"/>
      <c r="EO361" s="88"/>
      <c r="EP361" s="88"/>
      <c r="EQ361" s="90"/>
    </row>
    <row r="362" ht="12.0" customHeight="1">
      <c r="A362" s="89">
        <v>1.06400466E8</v>
      </c>
      <c r="B362" s="89" t="s">
        <v>2306</v>
      </c>
      <c r="C362" s="89" t="s">
        <v>2307</v>
      </c>
      <c r="D362" s="89" t="s">
        <v>2308</v>
      </c>
      <c r="E362" s="89" t="s">
        <v>2309</v>
      </c>
      <c r="F362" s="89" t="s">
        <v>2310</v>
      </c>
      <c r="G362" s="89" t="s">
        <v>2311</v>
      </c>
      <c r="H362" s="89" t="s">
        <v>447</v>
      </c>
      <c r="I362" s="89" t="s">
        <v>456</v>
      </c>
      <c r="J362" s="89" t="s">
        <v>463</v>
      </c>
      <c r="K362" s="89" t="s">
        <v>1504</v>
      </c>
      <c r="L362" s="89" t="s">
        <v>954</v>
      </c>
      <c r="M362" s="89" t="s">
        <v>2312</v>
      </c>
      <c r="N362" s="89" t="s">
        <v>547</v>
      </c>
      <c r="O362" s="87">
        <v>2537.0</v>
      </c>
      <c r="P362" s="87"/>
      <c r="Q362" s="87"/>
      <c r="R362" s="87"/>
      <c r="S362" s="87">
        <v>603.0</v>
      </c>
      <c r="T362" s="87"/>
      <c r="U362" s="87">
        <v>1491.0</v>
      </c>
      <c r="V362" s="87">
        <v>1649.0</v>
      </c>
      <c r="W362" s="87"/>
      <c r="X362" s="87"/>
      <c r="Y362" s="87">
        <v>14.0</v>
      </c>
      <c r="Z362" s="87">
        <v>81.0</v>
      </c>
      <c r="AA362" s="87">
        <v>174.0</v>
      </c>
      <c r="AB362" s="87">
        <v>195.0</v>
      </c>
      <c r="AC362" s="87">
        <v>354.0</v>
      </c>
      <c r="AD362" s="87">
        <v>548.0</v>
      </c>
      <c r="AE362" s="87">
        <v>846.0</v>
      </c>
      <c r="AF362" s="87">
        <v>927.0</v>
      </c>
      <c r="AG362" s="87">
        <v>1.0</v>
      </c>
      <c r="AH362" s="87">
        <v>613.0</v>
      </c>
      <c r="AI362" s="87">
        <v>2505.0</v>
      </c>
      <c r="AJ362" s="87">
        <v>22.0</v>
      </c>
      <c r="AK362" s="87"/>
      <c r="AL362" s="87">
        <v>59.0</v>
      </c>
      <c r="AM362" s="87"/>
      <c r="AN362" s="87">
        <v>32.0</v>
      </c>
      <c r="AO362" s="87">
        <v>2615.0</v>
      </c>
      <c r="AP362" s="87">
        <v>136.0</v>
      </c>
      <c r="AQ362" s="87">
        <v>298.0</v>
      </c>
      <c r="AR362" s="87"/>
      <c r="AS362" s="87">
        <v>2402.0</v>
      </c>
      <c r="AT362" s="87">
        <v>11.0</v>
      </c>
      <c r="AU362" s="87">
        <v>669.0</v>
      </c>
      <c r="AV362" s="87">
        <v>26.0</v>
      </c>
      <c r="AW362" s="87">
        <v>2.0</v>
      </c>
      <c r="AX362" s="87">
        <v>30.0</v>
      </c>
      <c r="AY362" s="87"/>
      <c r="AZ362" s="87"/>
      <c r="BA362" s="87"/>
      <c r="BB362" s="87"/>
      <c r="BC362" s="87"/>
      <c r="BD362" s="87"/>
      <c r="BE362" s="87">
        <v>2203.0</v>
      </c>
      <c r="BF362" s="87">
        <v>19.0</v>
      </c>
      <c r="BG362" s="87">
        <v>913.0</v>
      </c>
      <c r="BH362" s="87">
        <v>5.0</v>
      </c>
      <c r="BI362" s="87">
        <v>15514.0</v>
      </c>
      <c r="BJ362" s="87">
        <v>2208.0</v>
      </c>
      <c r="BK362" s="87">
        <v>94.0</v>
      </c>
      <c r="BL362" s="87">
        <v>813.0</v>
      </c>
      <c r="BM362" s="87"/>
      <c r="BN362" s="87">
        <v>25.0</v>
      </c>
      <c r="BO362" s="87"/>
      <c r="BP362" s="87">
        <v>1295.0</v>
      </c>
      <c r="BQ362" s="87">
        <v>170.0</v>
      </c>
      <c r="BR362" s="87">
        <v>104.0</v>
      </c>
      <c r="BS362" s="87">
        <v>354.0</v>
      </c>
      <c r="BT362" s="87">
        <v>3.0</v>
      </c>
      <c r="BU362" s="87">
        <v>1.0</v>
      </c>
      <c r="BV362" s="87">
        <v>63.0</v>
      </c>
      <c r="BW362" s="87">
        <v>58.0</v>
      </c>
      <c r="BX362" s="87">
        <v>980.0</v>
      </c>
      <c r="BY362" s="87"/>
      <c r="BZ362" s="87">
        <v>1.0</v>
      </c>
      <c r="CA362" s="87">
        <v>104.0</v>
      </c>
      <c r="CB362" s="87">
        <v>4.0</v>
      </c>
      <c r="CC362" s="87"/>
      <c r="CD362" s="87">
        <v>3.0</v>
      </c>
      <c r="CE362" s="87"/>
      <c r="CF362" s="87"/>
      <c r="CG362" s="87">
        <v>476.0</v>
      </c>
      <c r="CH362" s="87">
        <v>2664.0</v>
      </c>
      <c r="CI362" s="87"/>
      <c r="CJ362" s="87">
        <v>2048.0</v>
      </c>
      <c r="CK362" s="87">
        <v>494.0</v>
      </c>
      <c r="CL362" s="87">
        <v>434.0</v>
      </c>
      <c r="CM362" s="87">
        <v>7.0</v>
      </c>
      <c r="CN362" s="87"/>
      <c r="CO362" s="87">
        <v>99.0</v>
      </c>
      <c r="CP362" s="87"/>
      <c r="CQ362" s="87">
        <v>23.0</v>
      </c>
      <c r="CR362" s="87">
        <v>5.0</v>
      </c>
      <c r="CS362" s="87">
        <v>30.0</v>
      </c>
      <c r="CT362" s="87">
        <v>443.0</v>
      </c>
      <c r="CU362" s="87">
        <v>114.0</v>
      </c>
      <c r="CV362" s="87">
        <v>21.0</v>
      </c>
      <c r="CW362" s="87">
        <v>160.0</v>
      </c>
      <c r="CX362" s="87">
        <v>60.0</v>
      </c>
      <c r="CY362" s="87">
        <v>121.0</v>
      </c>
      <c r="CZ362" s="87">
        <v>1.0</v>
      </c>
      <c r="DA362" s="87">
        <v>4.0</v>
      </c>
      <c r="DB362" s="87">
        <v>521.0</v>
      </c>
      <c r="DC362" s="87">
        <v>185.0</v>
      </c>
      <c r="DD362" s="87">
        <v>501.0</v>
      </c>
      <c r="DE362" s="87">
        <v>32.0</v>
      </c>
      <c r="DF362" s="87">
        <v>244.0</v>
      </c>
      <c r="DG362" s="87">
        <v>162.0</v>
      </c>
      <c r="DH362" s="87"/>
      <c r="DI362" s="87"/>
      <c r="DJ362" s="87">
        <v>2.0</v>
      </c>
      <c r="DK362" s="87">
        <v>62.0</v>
      </c>
      <c r="DL362" s="87">
        <v>445.0</v>
      </c>
      <c r="DM362" s="87">
        <v>60.0</v>
      </c>
      <c r="DN362" s="87">
        <v>2.0</v>
      </c>
      <c r="DO362" s="87">
        <v>903.0</v>
      </c>
      <c r="DP362" s="87"/>
      <c r="DQ362" s="87">
        <v>96.0</v>
      </c>
      <c r="DR362" s="87">
        <v>275.0</v>
      </c>
      <c r="DS362" s="87"/>
      <c r="DT362" s="87">
        <v>2.0</v>
      </c>
      <c r="DU362" s="87"/>
      <c r="DV362" s="87">
        <v>8.0</v>
      </c>
      <c r="DW362" s="87">
        <v>5.0</v>
      </c>
      <c r="DX362" s="87">
        <v>48.0</v>
      </c>
      <c r="DY362" s="87">
        <v>329.0</v>
      </c>
      <c r="DZ362" s="87">
        <v>10.0</v>
      </c>
      <c r="EA362" s="87">
        <v>5.0</v>
      </c>
      <c r="EB362" s="87">
        <v>42.0</v>
      </c>
      <c r="EC362" s="87">
        <v>43.0</v>
      </c>
      <c r="ED362" s="87">
        <v>1356.0</v>
      </c>
      <c r="EE362" s="87">
        <v>18.0</v>
      </c>
      <c r="EF362" s="87">
        <v>11.0</v>
      </c>
      <c r="EG362" s="87">
        <v>54.0</v>
      </c>
      <c r="EH362" s="87"/>
      <c r="EI362" s="87">
        <v>32.0</v>
      </c>
      <c r="EJ362" s="87">
        <v>3043.0</v>
      </c>
      <c r="EK362" s="88"/>
      <c r="EL362" s="88"/>
      <c r="EM362" s="88"/>
      <c r="EN362" s="88"/>
      <c r="EO362" s="88"/>
      <c r="EP362" s="88"/>
      <c r="EQ362" s="90"/>
    </row>
    <row r="363" ht="12.0" customHeight="1">
      <c r="A363" s="89">
        <v>1.0640048E8</v>
      </c>
      <c r="B363" s="89" t="s">
        <v>2313</v>
      </c>
      <c r="C363" s="89" t="s">
        <v>2307</v>
      </c>
      <c r="D363" s="89" t="s">
        <v>2314</v>
      </c>
      <c r="E363" s="89" t="s">
        <v>2315</v>
      </c>
      <c r="F363" s="89" t="s">
        <v>2307</v>
      </c>
      <c r="G363" s="89" t="s">
        <v>2316</v>
      </c>
      <c r="H363" s="89" t="s">
        <v>447</v>
      </c>
      <c r="I363" s="89" t="s">
        <v>456</v>
      </c>
      <c r="J363" s="89" t="s">
        <v>463</v>
      </c>
      <c r="K363" s="89" t="s">
        <v>1504</v>
      </c>
      <c r="L363" s="89" t="s">
        <v>954</v>
      </c>
      <c r="M363" s="89" t="s">
        <v>2317</v>
      </c>
      <c r="N363" s="89" t="s">
        <v>547</v>
      </c>
      <c r="O363" s="87">
        <v>5571.0</v>
      </c>
      <c r="P363" s="87"/>
      <c r="Q363" s="87"/>
      <c r="R363" s="87"/>
      <c r="S363" s="87"/>
      <c r="T363" s="87"/>
      <c r="U363" s="87">
        <v>2554.0</v>
      </c>
      <c r="V363" s="87">
        <v>3017.0</v>
      </c>
      <c r="W363" s="87"/>
      <c r="X363" s="87">
        <v>697.0</v>
      </c>
      <c r="Y363" s="87">
        <v>34.0</v>
      </c>
      <c r="Z363" s="87">
        <v>317.0</v>
      </c>
      <c r="AA363" s="87">
        <v>606.0</v>
      </c>
      <c r="AB363" s="87">
        <v>299.0</v>
      </c>
      <c r="AC363" s="87">
        <v>419.0</v>
      </c>
      <c r="AD363" s="87">
        <v>862.0</v>
      </c>
      <c r="AE363" s="87">
        <v>1164.0</v>
      </c>
      <c r="AF363" s="87">
        <v>1173.0</v>
      </c>
      <c r="AG363" s="87"/>
      <c r="AH363" s="87">
        <v>638.0</v>
      </c>
      <c r="AI363" s="87">
        <v>4743.0</v>
      </c>
      <c r="AJ363" s="87">
        <v>190.0</v>
      </c>
      <c r="AK363" s="87">
        <v>13.0</v>
      </c>
      <c r="AL363" s="87">
        <v>99.0</v>
      </c>
      <c r="AM363" s="87"/>
      <c r="AN363" s="87">
        <v>40.0</v>
      </c>
      <c r="AO363" s="87">
        <v>4442.0</v>
      </c>
      <c r="AP363" s="87">
        <v>471.0</v>
      </c>
      <c r="AQ363" s="87">
        <v>506.0</v>
      </c>
      <c r="AR363" s="87"/>
      <c r="AS363" s="87">
        <v>3962.0</v>
      </c>
      <c r="AT363" s="87">
        <v>456.0</v>
      </c>
      <c r="AU363" s="87">
        <v>333.0</v>
      </c>
      <c r="AV363" s="87">
        <v>58.0</v>
      </c>
      <c r="AW363" s="87">
        <v>3.0</v>
      </c>
      <c r="AX363" s="87">
        <v>62.0</v>
      </c>
      <c r="AY363" s="87"/>
      <c r="AZ363" s="87"/>
      <c r="BA363" s="87">
        <v>6.0</v>
      </c>
      <c r="BB363" s="87"/>
      <c r="BC363" s="87">
        <v>691.0</v>
      </c>
      <c r="BD363" s="87"/>
      <c r="BE363" s="87">
        <v>3233.0</v>
      </c>
      <c r="BF363" s="87">
        <v>167.0</v>
      </c>
      <c r="BG363" s="87">
        <v>2171.0</v>
      </c>
      <c r="BH363" s="87"/>
      <c r="BI363" s="87">
        <v>21476.0</v>
      </c>
      <c r="BJ363" s="87">
        <v>3242.0</v>
      </c>
      <c r="BK363" s="87">
        <v>895.0</v>
      </c>
      <c r="BL363" s="87">
        <v>732.0</v>
      </c>
      <c r="BM363" s="87">
        <v>691.0</v>
      </c>
      <c r="BN363" s="87">
        <v>11.0</v>
      </c>
      <c r="BO363" s="87"/>
      <c r="BP363" s="87">
        <v>3422.0</v>
      </c>
      <c r="BQ363" s="87">
        <v>88.0</v>
      </c>
      <c r="BR363" s="87">
        <v>100.0</v>
      </c>
      <c r="BS363" s="87">
        <v>435.0</v>
      </c>
      <c r="BT363" s="87">
        <v>7.0</v>
      </c>
      <c r="BU363" s="87">
        <v>11.0</v>
      </c>
      <c r="BV363" s="87">
        <v>89.0</v>
      </c>
      <c r="BW363" s="87">
        <v>183.0</v>
      </c>
      <c r="BX363" s="87">
        <v>1050.0</v>
      </c>
      <c r="BY363" s="87"/>
      <c r="BZ363" s="87">
        <v>2.0</v>
      </c>
      <c r="CA363" s="87">
        <v>174.0</v>
      </c>
      <c r="CB363" s="87">
        <v>8.0</v>
      </c>
      <c r="CC363" s="87"/>
      <c r="CD363" s="87">
        <v>2.0</v>
      </c>
      <c r="CE363" s="87"/>
      <c r="CF363" s="87"/>
      <c r="CG363" s="87">
        <v>614.0</v>
      </c>
      <c r="CH363" s="87">
        <v>4957.0</v>
      </c>
      <c r="CI363" s="87"/>
      <c r="CJ363" s="87">
        <v>2763.0</v>
      </c>
      <c r="CK363" s="87">
        <v>786.0</v>
      </c>
      <c r="CL363" s="87">
        <v>1646.0</v>
      </c>
      <c r="CM363" s="87">
        <v>17.0</v>
      </c>
      <c r="CN363" s="87"/>
      <c r="CO363" s="87">
        <v>267.0</v>
      </c>
      <c r="CP363" s="87"/>
      <c r="CQ363" s="87">
        <v>24.0</v>
      </c>
      <c r="CR363" s="87">
        <v>6.0</v>
      </c>
      <c r="CS363" s="87">
        <v>62.0</v>
      </c>
      <c r="CT363" s="87">
        <v>623.0</v>
      </c>
      <c r="CU363" s="87">
        <v>191.0</v>
      </c>
      <c r="CV363" s="87">
        <v>45.0</v>
      </c>
      <c r="CW363" s="87">
        <v>139.0</v>
      </c>
      <c r="CX363" s="87">
        <v>46.0</v>
      </c>
      <c r="CY363" s="87">
        <v>95.0</v>
      </c>
      <c r="CZ363" s="87">
        <v>3.0</v>
      </c>
      <c r="DA363" s="87">
        <v>4.0</v>
      </c>
      <c r="DB363" s="87">
        <v>1285.0</v>
      </c>
      <c r="DC363" s="87">
        <v>231.0</v>
      </c>
      <c r="DD363" s="87">
        <v>571.0</v>
      </c>
      <c r="DE363" s="87">
        <v>50.0</v>
      </c>
      <c r="DF363" s="87">
        <v>185.0</v>
      </c>
      <c r="DG363" s="87">
        <v>233.0</v>
      </c>
      <c r="DH363" s="87">
        <v>716.0</v>
      </c>
      <c r="DI363" s="87">
        <v>696.0</v>
      </c>
      <c r="DJ363" s="87">
        <v>12.0</v>
      </c>
      <c r="DK363" s="87">
        <v>87.0</v>
      </c>
      <c r="DL363" s="87">
        <v>290.0</v>
      </c>
      <c r="DM363" s="87">
        <v>69.0</v>
      </c>
      <c r="DN363" s="87"/>
      <c r="DO363" s="87">
        <v>738.0</v>
      </c>
      <c r="DP363" s="87">
        <v>661.0</v>
      </c>
      <c r="DQ363" s="87">
        <v>953.0</v>
      </c>
      <c r="DR363" s="87">
        <v>415.0</v>
      </c>
      <c r="DS363" s="87"/>
      <c r="DT363" s="87">
        <v>3.0</v>
      </c>
      <c r="DU363" s="87">
        <v>1.0</v>
      </c>
      <c r="DV363" s="87">
        <v>92.0</v>
      </c>
      <c r="DW363" s="87">
        <v>12.0</v>
      </c>
      <c r="DX363" s="87">
        <v>76.0</v>
      </c>
      <c r="DY363" s="87">
        <v>306.0</v>
      </c>
      <c r="DZ363" s="87">
        <v>38.0</v>
      </c>
      <c r="EA363" s="87">
        <v>17.0</v>
      </c>
      <c r="EB363" s="87">
        <v>121.0</v>
      </c>
      <c r="EC363" s="87">
        <v>100.0</v>
      </c>
      <c r="ED363" s="87">
        <v>1969.0</v>
      </c>
      <c r="EE363" s="87">
        <v>69.0</v>
      </c>
      <c r="EF363" s="87">
        <v>2.0</v>
      </c>
      <c r="EG363" s="87">
        <v>133.0</v>
      </c>
      <c r="EH363" s="87">
        <v>2.0</v>
      </c>
      <c r="EI363" s="87">
        <v>40.0</v>
      </c>
      <c r="EJ363" s="87">
        <v>5394.0</v>
      </c>
      <c r="EK363" s="88"/>
      <c r="EL363" s="88"/>
      <c r="EM363" s="88"/>
      <c r="EN363" s="88"/>
      <c r="EO363" s="88"/>
      <c r="EP363" s="88"/>
      <c r="EQ363" s="90"/>
    </row>
    <row r="364" ht="12.0" customHeight="1">
      <c r="A364" s="89">
        <v>1.06400524E8</v>
      </c>
      <c r="B364" s="89" t="s">
        <v>2318</v>
      </c>
      <c r="C364" s="89" t="s">
        <v>2307</v>
      </c>
      <c r="D364" s="89" t="s">
        <v>2319</v>
      </c>
      <c r="E364" s="89" t="s">
        <v>2320</v>
      </c>
      <c r="F364" s="89" t="s">
        <v>2307</v>
      </c>
      <c r="G364" s="89" t="s">
        <v>2321</v>
      </c>
      <c r="H364" s="89" t="s">
        <v>503</v>
      </c>
      <c r="I364" s="89" t="s">
        <v>456</v>
      </c>
      <c r="J364" s="89" t="s">
        <v>457</v>
      </c>
      <c r="K364" s="89" t="s">
        <v>1504</v>
      </c>
      <c r="L364" s="89" t="s">
        <v>954</v>
      </c>
      <c r="M364" s="89" t="s">
        <v>2317</v>
      </c>
      <c r="N364" s="89" t="s">
        <v>547</v>
      </c>
      <c r="O364" s="87">
        <v>5907.0</v>
      </c>
      <c r="P364" s="87"/>
      <c r="Q364" s="87"/>
      <c r="R364" s="87"/>
      <c r="S364" s="87"/>
      <c r="T364" s="87"/>
      <c r="U364" s="87">
        <v>2593.0</v>
      </c>
      <c r="V364" s="87">
        <v>3313.0</v>
      </c>
      <c r="W364" s="87">
        <v>1.0</v>
      </c>
      <c r="X364" s="87">
        <v>1382.0</v>
      </c>
      <c r="Y364" s="87">
        <v>129.0</v>
      </c>
      <c r="Z364" s="87">
        <v>531.0</v>
      </c>
      <c r="AA364" s="87">
        <v>890.0</v>
      </c>
      <c r="AB364" s="87">
        <v>312.0</v>
      </c>
      <c r="AC364" s="87">
        <v>456.0</v>
      </c>
      <c r="AD364" s="87">
        <v>737.0</v>
      </c>
      <c r="AE364" s="87">
        <v>813.0</v>
      </c>
      <c r="AF364" s="87">
        <v>657.0</v>
      </c>
      <c r="AG364" s="87"/>
      <c r="AH364" s="87">
        <v>1136.0</v>
      </c>
      <c r="AI364" s="87">
        <v>4366.0</v>
      </c>
      <c r="AJ364" s="87">
        <v>405.0</v>
      </c>
      <c r="AK364" s="87"/>
      <c r="AL364" s="87">
        <v>77.0</v>
      </c>
      <c r="AM364" s="87"/>
      <c r="AN364" s="87">
        <v>80.0</v>
      </c>
      <c r="AO364" s="87">
        <v>3786.0</v>
      </c>
      <c r="AP364" s="87">
        <v>385.0</v>
      </c>
      <c r="AQ364" s="87">
        <v>752.0</v>
      </c>
      <c r="AR364" s="87">
        <v>827.0</v>
      </c>
      <c r="AS364" s="87">
        <v>4059.0</v>
      </c>
      <c r="AT364" s="87">
        <v>98.0</v>
      </c>
      <c r="AU364" s="87">
        <v>487.0</v>
      </c>
      <c r="AV364" s="87">
        <v>44.0</v>
      </c>
      <c r="AW364" s="87">
        <v>48.0</v>
      </c>
      <c r="AX364" s="87"/>
      <c r="AY364" s="87">
        <v>1.0</v>
      </c>
      <c r="AZ364" s="87"/>
      <c r="BA364" s="87">
        <v>149.0</v>
      </c>
      <c r="BB364" s="87"/>
      <c r="BC364" s="87">
        <v>1020.0</v>
      </c>
      <c r="BD364" s="87">
        <v>1.0</v>
      </c>
      <c r="BE364" s="87">
        <v>2862.0</v>
      </c>
      <c r="BF364" s="87">
        <v>355.0</v>
      </c>
      <c r="BG364" s="87">
        <v>2690.0</v>
      </c>
      <c r="BH364" s="87"/>
      <c r="BI364" s="87">
        <v>27960.0</v>
      </c>
      <c r="BJ364" s="87">
        <v>1858.0</v>
      </c>
      <c r="BK364" s="87">
        <v>2678.0</v>
      </c>
      <c r="BL364" s="87">
        <v>161.0</v>
      </c>
      <c r="BM364" s="87">
        <v>1020.0</v>
      </c>
      <c r="BN364" s="87">
        <v>190.0</v>
      </c>
      <c r="BO364" s="87"/>
      <c r="BP364" s="87">
        <v>3838.0</v>
      </c>
      <c r="BQ364" s="87">
        <v>100.0</v>
      </c>
      <c r="BR364" s="87">
        <v>123.0</v>
      </c>
      <c r="BS364" s="87">
        <v>476.0</v>
      </c>
      <c r="BT364" s="87">
        <v>10.0</v>
      </c>
      <c r="BU364" s="87">
        <v>172.0</v>
      </c>
      <c r="BV364" s="87">
        <v>110.0</v>
      </c>
      <c r="BW364" s="87">
        <v>121.0</v>
      </c>
      <c r="BX364" s="87">
        <v>826.0</v>
      </c>
      <c r="BY364" s="87"/>
      <c r="BZ364" s="87">
        <v>14.0</v>
      </c>
      <c r="CA364" s="87">
        <v>94.0</v>
      </c>
      <c r="CB364" s="87">
        <v>14.0</v>
      </c>
      <c r="CC364" s="87"/>
      <c r="CD364" s="87">
        <v>9.0</v>
      </c>
      <c r="CE364" s="87"/>
      <c r="CF364" s="87"/>
      <c r="CG364" s="87">
        <v>416.0</v>
      </c>
      <c r="CH364" s="87">
        <v>5489.0</v>
      </c>
      <c r="CI364" s="87">
        <v>2.0</v>
      </c>
      <c r="CJ364" s="87">
        <v>1750.0</v>
      </c>
      <c r="CK364" s="87">
        <v>1522.0</v>
      </c>
      <c r="CL364" s="87">
        <v>2229.0</v>
      </c>
      <c r="CM364" s="87">
        <v>33.0</v>
      </c>
      <c r="CN364" s="87">
        <v>10.0</v>
      </c>
      <c r="CO364" s="87">
        <v>85.0</v>
      </c>
      <c r="CP364" s="87">
        <v>8.0</v>
      </c>
      <c r="CQ364" s="87">
        <v>54.0</v>
      </c>
      <c r="CR364" s="87">
        <v>216.0</v>
      </c>
      <c r="CS364" s="87"/>
      <c r="CT364" s="87">
        <v>452.0</v>
      </c>
      <c r="CU364" s="87">
        <v>223.0</v>
      </c>
      <c r="CV364" s="87">
        <v>29.0</v>
      </c>
      <c r="CW364" s="87">
        <v>179.0</v>
      </c>
      <c r="CX364" s="87">
        <v>111.0</v>
      </c>
      <c r="CY364" s="87">
        <v>155.0</v>
      </c>
      <c r="CZ364" s="87">
        <v>5.0</v>
      </c>
      <c r="DA364" s="87">
        <v>1.0</v>
      </c>
      <c r="DB364" s="87">
        <v>393.0</v>
      </c>
      <c r="DC364" s="87">
        <v>343.0</v>
      </c>
      <c r="DD364" s="87">
        <v>471.0</v>
      </c>
      <c r="DE364" s="87">
        <v>79.0</v>
      </c>
      <c r="DF364" s="87">
        <v>361.0</v>
      </c>
      <c r="DG364" s="87">
        <v>161.0</v>
      </c>
      <c r="DH364" s="87">
        <v>1068.0</v>
      </c>
      <c r="DI364" s="87">
        <v>1094.0</v>
      </c>
      <c r="DJ364" s="87">
        <v>7.0</v>
      </c>
      <c r="DK364" s="87">
        <v>51.0</v>
      </c>
      <c r="DL364" s="87">
        <v>711.0</v>
      </c>
      <c r="DM364" s="87">
        <v>12.0</v>
      </c>
      <c r="DN364" s="87">
        <v>1.0</v>
      </c>
      <c r="DO364" s="87">
        <v>1383.0</v>
      </c>
      <c r="DP364" s="87">
        <v>1010.0</v>
      </c>
      <c r="DQ364" s="87">
        <v>193.0</v>
      </c>
      <c r="DR364" s="87">
        <v>431.0</v>
      </c>
      <c r="DS364" s="87">
        <v>4.0</v>
      </c>
      <c r="DT364" s="87">
        <v>3.0</v>
      </c>
      <c r="DU364" s="87">
        <v>1.0</v>
      </c>
      <c r="DV364" s="87">
        <v>34.0</v>
      </c>
      <c r="DW364" s="87">
        <v>13.0</v>
      </c>
      <c r="DX364" s="87">
        <v>128.0</v>
      </c>
      <c r="DY364" s="87">
        <v>528.0</v>
      </c>
      <c r="DZ364" s="87">
        <v>221.0</v>
      </c>
      <c r="EA364" s="87">
        <v>26.0</v>
      </c>
      <c r="EB364" s="87">
        <v>96.0</v>
      </c>
      <c r="EC364" s="87">
        <v>48.0</v>
      </c>
      <c r="ED364" s="87">
        <v>1579.0</v>
      </c>
      <c r="EE364" s="87">
        <v>209.0</v>
      </c>
      <c r="EF364" s="87">
        <v>2.0</v>
      </c>
      <c r="EG364" s="87">
        <v>166.0</v>
      </c>
      <c r="EH364" s="87">
        <v>5.0</v>
      </c>
      <c r="EI364" s="87">
        <v>57.0</v>
      </c>
      <c r="EJ364" s="87">
        <v>5677.0</v>
      </c>
      <c r="EK364" s="88"/>
      <c r="EL364" s="88"/>
      <c r="EM364" s="88"/>
      <c r="EN364" s="88"/>
      <c r="EO364" s="88"/>
      <c r="EP364" s="88"/>
      <c r="EQ364" s="90"/>
    </row>
    <row r="365" ht="12.0" customHeight="1">
      <c r="A365" s="89">
        <v>1.06400548E8</v>
      </c>
      <c r="B365" s="89" t="s">
        <v>2322</v>
      </c>
      <c r="C365" s="89" t="s">
        <v>2307</v>
      </c>
      <c r="D365" s="89" t="s">
        <v>2323</v>
      </c>
      <c r="E365" s="89" t="s">
        <v>2324</v>
      </c>
      <c r="F365" s="89" t="s">
        <v>2325</v>
      </c>
      <c r="G365" s="89" t="s">
        <v>2326</v>
      </c>
      <c r="H365" s="89" t="s">
        <v>503</v>
      </c>
      <c r="I365" s="89" t="s">
        <v>543</v>
      </c>
      <c r="J365" s="89" t="s">
        <v>437</v>
      </c>
      <c r="K365" s="89" t="s">
        <v>1504</v>
      </c>
      <c r="L365" s="89" t="s">
        <v>954</v>
      </c>
      <c r="M365" s="89" t="s">
        <v>2327</v>
      </c>
      <c r="N365" s="89" t="s">
        <v>441</v>
      </c>
      <c r="O365" s="87">
        <v>4498.0</v>
      </c>
      <c r="P365" s="87"/>
      <c r="Q365" s="87"/>
      <c r="R365" s="87"/>
      <c r="S365" s="87"/>
      <c r="T365" s="87"/>
      <c r="U365" s="87">
        <v>1956.0</v>
      </c>
      <c r="V365" s="87">
        <v>2542.0</v>
      </c>
      <c r="W365" s="87"/>
      <c r="X365" s="87">
        <v>611.0</v>
      </c>
      <c r="Y365" s="87">
        <v>44.0</v>
      </c>
      <c r="Z365" s="87">
        <v>374.0</v>
      </c>
      <c r="AA365" s="87">
        <v>444.0</v>
      </c>
      <c r="AB365" s="87">
        <v>244.0</v>
      </c>
      <c r="AC365" s="87">
        <v>435.0</v>
      </c>
      <c r="AD365" s="87">
        <v>641.0</v>
      </c>
      <c r="AE365" s="87">
        <v>796.0</v>
      </c>
      <c r="AF365" s="87">
        <v>909.0</v>
      </c>
      <c r="AG365" s="87"/>
      <c r="AH365" s="87">
        <v>1016.0</v>
      </c>
      <c r="AI365" s="87">
        <v>3356.0</v>
      </c>
      <c r="AJ365" s="87">
        <v>126.0</v>
      </c>
      <c r="AK365" s="87"/>
      <c r="AL365" s="87">
        <v>35.0</v>
      </c>
      <c r="AM365" s="87">
        <v>18.0</v>
      </c>
      <c r="AN365" s="87">
        <v>102.0</v>
      </c>
      <c r="AO365" s="87">
        <v>3401.0</v>
      </c>
      <c r="AP365" s="87">
        <v>80.0</v>
      </c>
      <c r="AQ365" s="87">
        <v>774.0</v>
      </c>
      <c r="AR365" s="87">
        <v>88.0</v>
      </c>
      <c r="AS365" s="87">
        <v>3566.0</v>
      </c>
      <c r="AT365" s="87">
        <v>156.0</v>
      </c>
      <c r="AU365" s="87">
        <v>9.0</v>
      </c>
      <c r="AV365" s="87">
        <v>38.0</v>
      </c>
      <c r="AW365" s="87">
        <v>102.0</v>
      </c>
      <c r="AX365" s="87">
        <v>1.0</v>
      </c>
      <c r="AY365" s="87"/>
      <c r="AZ365" s="87"/>
      <c r="BA365" s="87">
        <v>32.0</v>
      </c>
      <c r="BB365" s="87"/>
      <c r="BC365" s="87">
        <v>594.0</v>
      </c>
      <c r="BD365" s="87"/>
      <c r="BE365" s="87">
        <v>3242.0</v>
      </c>
      <c r="BF365" s="87">
        <v>1.0</v>
      </c>
      <c r="BG365" s="87">
        <v>1255.0</v>
      </c>
      <c r="BH365" s="87"/>
      <c r="BI365" s="87">
        <v>18486.0</v>
      </c>
      <c r="BJ365" s="87">
        <v>2422.0</v>
      </c>
      <c r="BK365" s="87">
        <v>1332.0</v>
      </c>
      <c r="BL365" s="87">
        <v>150.0</v>
      </c>
      <c r="BM365" s="87">
        <v>594.0</v>
      </c>
      <c r="BN365" s="87"/>
      <c r="BO365" s="87"/>
      <c r="BP365" s="87">
        <v>2375.0</v>
      </c>
      <c r="BQ365" s="87">
        <v>152.0</v>
      </c>
      <c r="BR365" s="87">
        <v>35.0</v>
      </c>
      <c r="BS365" s="87">
        <v>422.0</v>
      </c>
      <c r="BT365" s="87">
        <v>42.0</v>
      </c>
      <c r="BU365" s="87">
        <v>34.0</v>
      </c>
      <c r="BV365" s="87">
        <v>63.0</v>
      </c>
      <c r="BW365" s="87">
        <v>156.0</v>
      </c>
      <c r="BX365" s="87">
        <v>1127.0</v>
      </c>
      <c r="BY365" s="87"/>
      <c r="BZ365" s="87">
        <v>1.0</v>
      </c>
      <c r="CA365" s="87">
        <v>65.0</v>
      </c>
      <c r="CB365" s="87">
        <v>25.0</v>
      </c>
      <c r="CC365" s="87"/>
      <c r="CD365" s="87">
        <v>1.0</v>
      </c>
      <c r="CE365" s="87"/>
      <c r="CF365" s="87"/>
      <c r="CG365" s="87">
        <v>668.0</v>
      </c>
      <c r="CH365" s="87">
        <v>3823.0</v>
      </c>
      <c r="CI365" s="87">
        <v>7.0</v>
      </c>
      <c r="CJ365" s="87">
        <v>1972.0</v>
      </c>
      <c r="CK365" s="87">
        <v>1155.0</v>
      </c>
      <c r="CL365" s="87">
        <v>1004.0</v>
      </c>
      <c r="CM365" s="87">
        <v>7.0</v>
      </c>
      <c r="CN365" s="87">
        <v>6.0</v>
      </c>
      <c r="CO365" s="87">
        <v>107.0</v>
      </c>
      <c r="CP365" s="87">
        <v>5.0</v>
      </c>
      <c r="CQ365" s="87">
        <v>26.0</v>
      </c>
      <c r="CR365" s="87">
        <v>216.0</v>
      </c>
      <c r="CS365" s="87"/>
      <c r="CT365" s="87">
        <v>612.0</v>
      </c>
      <c r="CU365" s="87">
        <v>91.0</v>
      </c>
      <c r="CV365" s="87">
        <v>33.0</v>
      </c>
      <c r="CW365" s="87">
        <v>201.0</v>
      </c>
      <c r="CX365" s="87">
        <v>98.0</v>
      </c>
      <c r="CY365" s="87">
        <v>112.0</v>
      </c>
      <c r="CZ365" s="87">
        <v>3.0</v>
      </c>
      <c r="DA365" s="87">
        <v>4.0</v>
      </c>
      <c r="DB365" s="87">
        <v>432.0</v>
      </c>
      <c r="DC365" s="87">
        <v>262.0</v>
      </c>
      <c r="DD365" s="87">
        <v>546.0</v>
      </c>
      <c r="DE365" s="87">
        <v>84.0</v>
      </c>
      <c r="DF365" s="87">
        <v>137.0</v>
      </c>
      <c r="DG365" s="87">
        <v>193.0</v>
      </c>
      <c r="DH365" s="87">
        <v>631.0</v>
      </c>
      <c r="DI365" s="87">
        <v>610.0</v>
      </c>
      <c r="DJ365" s="87"/>
      <c r="DK365" s="87">
        <v>77.0</v>
      </c>
      <c r="DL365" s="87">
        <v>364.0</v>
      </c>
      <c r="DM365" s="87">
        <v>8.0</v>
      </c>
      <c r="DN365" s="87"/>
      <c r="DO365" s="87">
        <v>1441.0</v>
      </c>
      <c r="DP365" s="87">
        <v>607.0</v>
      </c>
      <c r="DQ365" s="87">
        <v>139.0</v>
      </c>
      <c r="DR365" s="87">
        <v>364.0</v>
      </c>
      <c r="DS365" s="87"/>
      <c r="DT365" s="87">
        <v>1.0</v>
      </c>
      <c r="DU365" s="87"/>
      <c r="DV365" s="87">
        <v>54.0</v>
      </c>
      <c r="DW365" s="87">
        <v>1.0</v>
      </c>
      <c r="DX365" s="87">
        <v>80.0</v>
      </c>
      <c r="DY365" s="87">
        <v>285.0</v>
      </c>
      <c r="DZ365" s="87">
        <v>23.0</v>
      </c>
      <c r="EA365" s="87">
        <v>5.0</v>
      </c>
      <c r="EB365" s="87">
        <v>53.0</v>
      </c>
      <c r="EC365" s="87">
        <v>35.0</v>
      </c>
      <c r="ED365" s="87">
        <v>1310.0</v>
      </c>
      <c r="EE365" s="87">
        <v>100.0</v>
      </c>
      <c r="EF365" s="87">
        <v>2.0</v>
      </c>
      <c r="EG365" s="87">
        <v>99.0</v>
      </c>
      <c r="EH365" s="87">
        <v>2.0</v>
      </c>
      <c r="EI365" s="87">
        <v>30.0</v>
      </c>
      <c r="EJ365" s="87">
        <v>4365.0</v>
      </c>
      <c r="EK365" s="88"/>
      <c r="EL365" s="88"/>
      <c r="EM365" s="88"/>
      <c r="EN365" s="88"/>
      <c r="EO365" s="88"/>
      <c r="EP365" s="88"/>
      <c r="EQ365" s="90"/>
    </row>
    <row r="366" ht="12.0" customHeight="1">
      <c r="A366" s="89">
        <v>1.06404046E8</v>
      </c>
      <c r="B366" s="89" t="s">
        <v>2328</v>
      </c>
      <c r="C366" s="89" t="s">
        <v>2307</v>
      </c>
      <c r="D366" s="89" t="s">
        <v>2329</v>
      </c>
      <c r="E366" s="89" t="s">
        <v>2330</v>
      </c>
      <c r="F366" s="89" t="s">
        <v>2307</v>
      </c>
      <c r="G366" s="89" t="s">
        <v>2316</v>
      </c>
      <c r="H366" s="89" t="s">
        <v>435</v>
      </c>
      <c r="I366" s="89" t="s">
        <v>543</v>
      </c>
      <c r="J366" s="89" t="s">
        <v>499</v>
      </c>
      <c r="K366" s="89" t="s">
        <v>1504</v>
      </c>
      <c r="L366" s="89" t="s">
        <v>954</v>
      </c>
      <c r="M366" s="89" t="s">
        <v>2317</v>
      </c>
      <c r="N366" s="89" t="s">
        <v>547</v>
      </c>
      <c r="O366" s="87"/>
      <c r="P366" s="87"/>
      <c r="Q366" s="87">
        <v>367.0</v>
      </c>
      <c r="R366" s="87"/>
      <c r="S366" s="87"/>
      <c r="T366" s="87"/>
      <c r="U366" s="87">
        <v>204.0</v>
      </c>
      <c r="V366" s="87">
        <v>163.0</v>
      </c>
      <c r="W366" s="87"/>
      <c r="X366" s="87"/>
      <c r="Y366" s="87"/>
      <c r="Z366" s="87">
        <v>82.0</v>
      </c>
      <c r="AA366" s="87">
        <v>128.0</v>
      </c>
      <c r="AB366" s="87">
        <v>82.0</v>
      </c>
      <c r="AC366" s="87">
        <v>55.0</v>
      </c>
      <c r="AD366" s="87">
        <v>16.0</v>
      </c>
      <c r="AE366" s="87"/>
      <c r="AF366" s="87"/>
      <c r="AG366" s="87">
        <v>4.0</v>
      </c>
      <c r="AH366" s="87">
        <v>59.0</v>
      </c>
      <c r="AI366" s="87">
        <v>290.0</v>
      </c>
      <c r="AJ366" s="87">
        <v>18.0</v>
      </c>
      <c r="AK366" s="87"/>
      <c r="AL366" s="87">
        <v>11.0</v>
      </c>
      <c r="AM366" s="87"/>
      <c r="AN366" s="87">
        <v>11.0</v>
      </c>
      <c r="AO366" s="87">
        <v>233.0</v>
      </c>
      <c r="AP366" s="87">
        <v>9.0</v>
      </c>
      <c r="AQ366" s="87">
        <v>60.0</v>
      </c>
      <c r="AR366" s="87">
        <v>43.0</v>
      </c>
      <c r="AS366" s="87">
        <v>2.0</v>
      </c>
      <c r="AT366" s="87">
        <v>57.0</v>
      </c>
      <c r="AU366" s="87">
        <v>182.0</v>
      </c>
      <c r="AV366" s="87"/>
      <c r="AW366" s="87">
        <v>14.0</v>
      </c>
      <c r="AX366" s="87"/>
      <c r="AY366" s="87"/>
      <c r="AZ366" s="87"/>
      <c r="BA366" s="87">
        <v>112.0</v>
      </c>
      <c r="BB366" s="87"/>
      <c r="BC366" s="87"/>
      <c r="BD366" s="87"/>
      <c r="BE366" s="87"/>
      <c r="BF366" s="87">
        <v>187.0</v>
      </c>
      <c r="BG366" s="87">
        <v>180.0</v>
      </c>
      <c r="BH366" s="87"/>
      <c r="BI366" s="87">
        <v>1201.0</v>
      </c>
      <c r="BJ366" s="87">
        <v>355.0</v>
      </c>
      <c r="BK366" s="87">
        <v>12.0</v>
      </c>
      <c r="BL366" s="87"/>
      <c r="BM366" s="87"/>
      <c r="BN366" s="87"/>
      <c r="BO366" s="87"/>
      <c r="BP366" s="87">
        <v>334.0</v>
      </c>
      <c r="BQ366" s="87">
        <v>10.0</v>
      </c>
      <c r="BR366" s="87"/>
      <c r="BS366" s="87"/>
      <c r="BT366" s="87">
        <v>12.0</v>
      </c>
      <c r="BU366" s="87">
        <v>8.0</v>
      </c>
      <c r="BV366" s="87">
        <v>1.0</v>
      </c>
      <c r="BW366" s="87"/>
      <c r="BX366" s="87">
        <v>1.0</v>
      </c>
      <c r="BY366" s="87"/>
      <c r="BZ366" s="87"/>
      <c r="CA366" s="87"/>
      <c r="CB366" s="87"/>
      <c r="CC366" s="87"/>
      <c r="CD366" s="87">
        <v>1.0</v>
      </c>
      <c r="CE366" s="87"/>
      <c r="CF366" s="87"/>
      <c r="CG366" s="87"/>
      <c r="CH366" s="87">
        <v>367.0</v>
      </c>
      <c r="CI366" s="87"/>
      <c r="CJ366" s="87">
        <v>49.0</v>
      </c>
      <c r="CK366" s="87">
        <v>281.0</v>
      </c>
      <c r="CL366" s="87">
        <v>13.0</v>
      </c>
      <c r="CM366" s="87"/>
      <c r="CN366" s="87"/>
      <c r="CO366" s="87">
        <v>7.0</v>
      </c>
      <c r="CP366" s="87"/>
      <c r="CQ366" s="87">
        <v>17.0</v>
      </c>
      <c r="CR366" s="87"/>
      <c r="CS366" s="87"/>
      <c r="CT366" s="87"/>
      <c r="CU366" s="87"/>
      <c r="CV366" s="87"/>
      <c r="CW366" s="87"/>
      <c r="CX366" s="87">
        <v>367.0</v>
      </c>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v>367.0</v>
      </c>
      <c r="EE366" s="87"/>
      <c r="EF366" s="87"/>
      <c r="EG366" s="87">
        <v>117.0</v>
      </c>
      <c r="EH366" s="87"/>
      <c r="EI366" s="87">
        <v>4.0</v>
      </c>
      <c r="EJ366" s="87">
        <v>246.0</v>
      </c>
      <c r="EK366" s="88"/>
      <c r="EL366" s="88"/>
      <c r="EM366" s="88"/>
      <c r="EN366" s="88"/>
      <c r="EO366" s="88"/>
      <c r="EP366" s="88"/>
      <c r="EQ366" s="90"/>
    </row>
    <row r="367" ht="12.0" customHeight="1">
      <c r="A367" s="89">
        <v>1.06410782E8</v>
      </c>
      <c r="B367" s="89" t="s">
        <v>2331</v>
      </c>
      <c r="C367" s="89" t="s">
        <v>2332</v>
      </c>
      <c r="D367" s="89" t="s">
        <v>2333</v>
      </c>
      <c r="E367" s="89" t="s">
        <v>2334</v>
      </c>
      <c r="F367" s="89" t="s">
        <v>2332</v>
      </c>
      <c r="G367" s="89" t="s">
        <v>2335</v>
      </c>
      <c r="H367" s="89" t="s">
        <v>435</v>
      </c>
      <c r="I367" s="89" t="s">
        <v>543</v>
      </c>
      <c r="J367" s="89" t="s">
        <v>457</v>
      </c>
      <c r="K367" s="89" t="s">
        <v>2265</v>
      </c>
      <c r="L367" s="89" t="s">
        <v>870</v>
      </c>
      <c r="M367" s="89" t="s">
        <v>2336</v>
      </c>
      <c r="N367" s="89" t="s">
        <v>441</v>
      </c>
      <c r="O367" s="87">
        <v>2126.0</v>
      </c>
      <c r="P367" s="87">
        <v>143.0</v>
      </c>
      <c r="Q367" s="87">
        <v>99.0</v>
      </c>
      <c r="R367" s="87"/>
      <c r="S367" s="87"/>
      <c r="T367" s="87"/>
      <c r="U367" s="87">
        <v>1361.0</v>
      </c>
      <c r="V367" s="87">
        <v>1007.0</v>
      </c>
      <c r="W367" s="87"/>
      <c r="X367" s="87"/>
      <c r="Y367" s="87">
        <v>18.0</v>
      </c>
      <c r="Z367" s="87">
        <v>138.0</v>
      </c>
      <c r="AA367" s="87">
        <v>260.0</v>
      </c>
      <c r="AB367" s="87">
        <v>340.0</v>
      </c>
      <c r="AC367" s="87">
        <v>458.0</v>
      </c>
      <c r="AD367" s="87">
        <v>580.0</v>
      </c>
      <c r="AE367" s="87">
        <v>346.0</v>
      </c>
      <c r="AF367" s="87">
        <v>228.0</v>
      </c>
      <c r="AG367" s="87"/>
      <c r="AH367" s="87">
        <v>1062.0</v>
      </c>
      <c r="AI367" s="87">
        <v>1124.0</v>
      </c>
      <c r="AJ367" s="87">
        <v>182.0</v>
      </c>
      <c r="AK367" s="87">
        <v>15.0</v>
      </c>
      <c r="AL367" s="87">
        <v>282.0</v>
      </c>
      <c r="AM367" s="87">
        <v>90.0</v>
      </c>
      <c r="AN367" s="87">
        <v>114.0</v>
      </c>
      <c r="AO367" s="87">
        <v>1319.0</v>
      </c>
      <c r="AP367" s="87">
        <v>180.0</v>
      </c>
      <c r="AQ367" s="87">
        <v>368.0</v>
      </c>
      <c r="AR367" s="87"/>
      <c r="AS367" s="87">
        <v>1898.0</v>
      </c>
      <c r="AT367" s="87">
        <v>4.0</v>
      </c>
      <c r="AU367" s="87">
        <v>72.0</v>
      </c>
      <c r="AV367" s="87">
        <v>12.0</v>
      </c>
      <c r="AW367" s="87">
        <v>148.0</v>
      </c>
      <c r="AX367" s="87">
        <v>160.0</v>
      </c>
      <c r="AY367" s="87"/>
      <c r="AZ367" s="87"/>
      <c r="BA367" s="87">
        <v>74.0</v>
      </c>
      <c r="BB367" s="87"/>
      <c r="BC367" s="87"/>
      <c r="BD367" s="87"/>
      <c r="BE367" s="87">
        <v>2011.0</v>
      </c>
      <c r="BF367" s="87"/>
      <c r="BG367" s="87">
        <v>357.0</v>
      </c>
      <c r="BH367" s="87"/>
      <c r="BI367" s="87">
        <v>23879.0</v>
      </c>
      <c r="BJ367" s="87">
        <v>2036.0</v>
      </c>
      <c r="BK367" s="87">
        <v>32.0</v>
      </c>
      <c r="BL367" s="87">
        <v>300.0</v>
      </c>
      <c r="BM367" s="87"/>
      <c r="BN367" s="87"/>
      <c r="BO367" s="87"/>
      <c r="BP367" s="87">
        <v>1499.0</v>
      </c>
      <c r="BQ367" s="87">
        <v>128.0</v>
      </c>
      <c r="BR367" s="87">
        <v>3.0</v>
      </c>
      <c r="BS367" s="87">
        <v>286.0</v>
      </c>
      <c r="BT367" s="87">
        <v>95.0</v>
      </c>
      <c r="BU367" s="87">
        <v>56.0</v>
      </c>
      <c r="BV367" s="87">
        <v>33.0</v>
      </c>
      <c r="BW367" s="87">
        <v>47.0</v>
      </c>
      <c r="BX367" s="87">
        <v>149.0</v>
      </c>
      <c r="BY367" s="87"/>
      <c r="BZ367" s="87"/>
      <c r="CA367" s="87">
        <v>31.0</v>
      </c>
      <c r="CB367" s="87">
        <v>40.0</v>
      </c>
      <c r="CC367" s="87"/>
      <c r="CD367" s="87"/>
      <c r="CE367" s="87">
        <v>1.0</v>
      </c>
      <c r="CF367" s="87"/>
      <c r="CG367" s="87">
        <v>119.0</v>
      </c>
      <c r="CH367" s="87">
        <v>2246.0</v>
      </c>
      <c r="CI367" s="87">
        <v>3.0</v>
      </c>
      <c r="CJ367" s="87">
        <v>728.0</v>
      </c>
      <c r="CK367" s="87">
        <v>1424.0</v>
      </c>
      <c r="CL367" s="87">
        <v>81.0</v>
      </c>
      <c r="CM367" s="87"/>
      <c r="CN367" s="87">
        <v>87.0</v>
      </c>
      <c r="CO367" s="87">
        <v>27.0</v>
      </c>
      <c r="CP367" s="87"/>
      <c r="CQ367" s="87">
        <v>21.0</v>
      </c>
      <c r="CR367" s="87"/>
      <c r="CS367" s="87"/>
      <c r="CT367" s="87">
        <v>260.0</v>
      </c>
      <c r="CU367" s="87">
        <v>83.0</v>
      </c>
      <c r="CV367" s="87">
        <v>17.0</v>
      </c>
      <c r="CW367" s="87">
        <v>211.0</v>
      </c>
      <c r="CX367" s="87">
        <v>185.0</v>
      </c>
      <c r="CY367" s="87">
        <v>86.0</v>
      </c>
      <c r="CZ367" s="87">
        <v>6.0</v>
      </c>
      <c r="DA367" s="87">
        <v>6.0</v>
      </c>
      <c r="DB367" s="87">
        <v>323.0</v>
      </c>
      <c r="DC367" s="87">
        <v>122.0</v>
      </c>
      <c r="DD367" s="87">
        <v>410.0</v>
      </c>
      <c r="DE367" s="87">
        <v>60.0</v>
      </c>
      <c r="DF367" s="87">
        <v>113.0</v>
      </c>
      <c r="DG367" s="87">
        <v>163.0</v>
      </c>
      <c r="DH367" s="87"/>
      <c r="DI367" s="87"/>
      <c r="DJ367" s="87">
        <v>1.0</v>
      </c>
      <c r="DK367" s="87">
        <v>44.0</v>
      </c>
      <c r="DL367" s="87">
        <v>163.0</v>
      </c>
      <c r="DM367" s="87">
        <v>112.0</v>
      </c>
      <c r="DN367" s="87">
        <v>3.0</v>
      </c>
      <c r="DO367" s="87">
        <v>496.0</v>
      </c>
      <c r="DP367" s="87"/>
      <c r="DQ367" s="87">
        <v>101.0</v>
      </c>
      <c r="DR367" s="87">
        <v>311.0</v>
      </c>
      <c r="DS367" s="87">
        <v>3.0</v>
      </c>
      <c r="DT367" s="87">
        <v>6.0</v>
      </c>
      <c r="DU367" s="87"/>
      <c r="DV367" s="87">
        <v>29.0</v>
      </c>
      <c r="DW367" s="87">
        <v>9.0</v>
      </c>
      <c r="DX367" s="87">
        <v>83.0</v>
      </c>
      <c r="DY367" s="87">
        <v>164.0</v>
      </c>
      <c r="DZ367" s="87">
        <v>16.0</v>
      </c>
      <c r="EA367" s="87">
        <v>32.0</v>
      </c>
      <c r="EB367" s="87">
        <v>23.0</v>
      </c>
      <c r="EC367" s="87">
        <v>26.0</v>
      </c>
      <c r="ED367" s="87">
        <v>1006.0</v>
      </c>
      <c r="EE367" s="87">
        <v>63.0</v>
      </c>
      <c r="EF367" s="87">
        <v>1.0</v>
      </c>
      <c r="EG367" s="87">
        <v>162.0</v>
      </c>
      <c r="EH367" s="87"/>
      <c r="EI367" s="87">
        <v>8.0</v>
      </c>
      <c r="EJ367" s="87">
        <v>2197.0</v>
      </c>
      <c r="EK367" s="88"/>
      <c r="EL367" s="88"/>
      <c r="EM367" s="88"/>
      <c r="EN367" s="88"/>
      <c r="EO367" s="88"/>
      <c r="EP367" s="88"/>
      <c r="EQ367" s="90"/>
    </row>
    <row r="368" ht="12.0" customHeight="1">
      <c r="A368" s="89">
        <v>1.06410806E8</v>
      </c>
      <c r="B368" s="89" t="s">
        <v>2337</v>
      </c>
      <c r="C368" s="89" t="s">
        <v>2332</v>
      </c>
      <c r="D368" s="89" t="s">
        <v>2338</v>
      </c>
      <c r="E368" s="89" t="s">
        <v>2339</v>
      </c>
      <c r="F368" s="89" t="s">
        <v>2340</v>
      </c>
      <c r="G368" s="89" t="s">
        <v>2341</v>
      </c>
      <c r="H368" s="89" t="s">
        <v>447</v>
      </c>
      <c r="I368" s="89" t="s">
        <v>543</v>
      </c>
      <c r="J368" s="89" t="s">
        <v>437</v>
      </c>
      <c r="K368" s="89" t="s">
        <v>2265</v>
      </c>
      <c r="L368" s="89" t="s">
        <v>2213</v>
      </c>
      <c r="M368" s="89" t="s">
        <v>2342</v>
      </c>
      <c r="N368" s="89" t="s">
        <v>441</v>
      </c>
      <c r="O368" s="87">
        <v>5597.0</v>
      </c>
      <c r="P368" s="87"/>
      <c r="Q368" s="87"/>
      <c r="R368" s="87"/>
      <c r="S368" s="87"/>
      <c r="T368" s="87"/>
      <c r="U368" s="87">
        <v>2786.0</v>
      </c>
      <c r="V368" s="87">
        <v>2811.0</v>
      </c>
      <c r="W368" s="87"/>
      <c r="X368" s="87"/>
      <c r="Y368" s="87"/>
      <c r="Z368" s="87">
        <v>134.0</v>
      </c>
      <c r="AA368" s="87">
        <v>300.0</v>
      </c>
      <c r="AB368" s="87">
        <v>402.0</v>
      </c>
      <c r="AC368" s="87">
        <v>630.0</v>
      </c>
      <c r="AD368" s="87">
        <v>1005.0</v>
      </c>
      <c r="AE368" s="87">
        <v>1258.0</v>
      </c>
      <c r="AF368" s="87">
        <v>1863.0</v>
      </c>
      <c r="AG368" s="87">
        <v>5.0</v>
      </c>
      <c r="AH368" s="87">
        <v>1077.0</v>
      </c>
      <c r="AI368" s="87">
        <v>4476.0</v>
      </c>
      <c r="AJ368" s="87">
        <v>44.0</v>
      </c>
      <c r="AK368" s="87">
        <v>20.0</v>
      </c>
      <c r="AL368" s="87">
        <v>1828.0</v>
      </c>
      <c r="AM368" s="87">
        <v>104.0</v>
      </c>
      <c r="AN368" s="87">
        <v>346.0</v>
      </c>
      <c r="AO368" s="87">
        <v>2189.0</v>
      </c>
      <c r="AP368" s="87">
        <v>41.0</v>
      </c>
      <c r="AQ368" s="87">
        <v>1028.0</v>
      </c>
      <c r="AR368" s="87">
        <v>41.0</v>
      </c>
      <c r="AS368" s="87">
        <v>5110.0</v>
      </c>
      <c r="AT368" s="87">
        <v>149.0</v>
      </c>
      <c r="AU368" s="87">
        <v>224.0</v>
      </c>
      <c r="AV368" s="87">
        <v>90.0</v>
      </c>
      <c r="AW368" s="87">
        <v>7.0</v>
      </c>
      <c r="AX368" s="87"/>
      <c r="AY368" s="87"/>
      <c r="AZ368" s="87"/>
      <c r="BA368" s="87">
        <v>1.0</v>
      </c>
      <c r="BB368" s="87">
        <v>16.0</v>
      </c>
      <c r="BC368" s="87"/>
      <c r="BD368" s="87"/>
      <c r="BE368" s="87">
        <v>4624.0</v>
      </c>
      <c r="BF368" s="87">
        <v>83.0</v>
      </c>
      <c r="BG368" s="87">
        <v>890.0</v>
      </c>
      <c r="BH368" s="87"/>
      <c r="BI368" s="87">
        <v>25822.0</v>
      </c>
      <c r="BJ368" s="87">
        <v>828.0</v>
      </c>
      <c r="BK368" s="87">
        <v>4133.0</v>
      </c>
      <c r="BL368" s="87">
        <v>634.0</v>
      </c>
      <c r="BM368" s="87"/>
      <c r="BN368" s="87"/>
      <c r="BO368" s="87">
        <v>2.0</v>
      </c>
      <c r="BP368" s="87">
        <v>2464.0</v>
      </c>
      <c r="BQ368" s="87">
        <v>246.0</v>
      </c>
      <c r="BR368" s="87">
        <v>29.0</v>
      </c>
      <c r="BS368" s="87">
        <v>620.0</v>
      </c>
      <c r="BT368" s="87">
        <v>5.0</v>
      </c>
      <c r="BU368" s="87"/>
      <c r="BV368" s="87">
        <v>63.0</v>
      </c>
      <c r="BW368" s="87">
        <v>256.0</v>
      </c>
      <c r="BX368" s="87">
        <v>1652.0</v>
      </c>
      <c r="BY368" s="87"/>
      <c r="BZ368" s="87"/>
      <c r="CA368" s="87">
        <v>249.0</v>
      </c>
      <c r="CB368" s="87">
        <v>3.0</v>
      </c>
      <c r="CC368" s="87"/>
      <c r="CD368" s="87">
        <v>10.0</v>
      </c>
      <c r="CE368" s="87"/>
      <c r="CF368" s="87"/>
      <c r="CG368" s="87">
        <v>1255.0</v>
      </c>
      <c r="CH368" s="87">
        <v>4342.0</v>
      </c>
      <c r="CI368" s="87"/>
      <c r="CJ368" s="87">
        <v>3518.0</v>
      </c>
      <c r="CK368" s="87">
        <v>285.0</v>
      </c>
      <c r="CL368" s="87">
        <v>1716.0</v>
      </c>
      <c r="CM368" s="87">
        <v>8.0</v>
      </c>
      <c r="CN368" s="87"/>
      <c r="CO368" s="87">
        <v>4.0</v>
      </c>
      <c r="CP368" s="87"/>
      <c r="CQ368" s="87">
        <v>65.0</v>
      </c>
      <c r="CR368" s="87"/>
      <c r="CS368" s="87">
        <v>1.0</v>
      </c>
      <c r="CT368" s="87">
        <v>1266.0</v>
      </c>
      <c r="CU368" s="87">
        <v>221.0</v>
      </c>
      <c r="CV368" s="87">
        <v>48.0</v>
      </c>
      <c r="CW368" s="87">
        <v>465.0</v>
      </c>
      <c r="CX368" s="87">
        <v>73.0</v>
      </c>
      <c r="CY368" s="87">
        <v>95.0</v>
      </c>
      <c r="CZ368" s="87">
        <v>7.0</v>
      </c>
      <c r="DA368" s="87">
        <v>1.0</v>
      </c>
      <c r="DB368" s="87">
        <v>1025.0</v>
      </c>
      <c r="DC368" s="87">
        <v>439.0</v>
      </c>
      <c r="DD368" s="87">
        <v>799.0</v>
      </c>
      <c r="DE368" s="87">
        <v>100.0</v>
      </c>
      <c r="DF368" s="87">
        <v>185.0</v>
      </c>
      <c r="DG368" s="87">
        <v>310.0</v>
      </c>
      <c r="DH368" s="87"/>
      <c r="DI368" s="87"/>
      <c r="DJ368" s="87">
        <v>3.0</v>
      </c>
      <c r="DK368" s="87">
        <v>141.0</v>
      </c>
      <c r="DL368" s="87">
        <v>394.0</v>
      </c>
      <c r="DM368" s="87">
        <v>23.0</v>
      </c>
      <c r="DN368" s="87">
        <v>2.0</v>
      </c>
      <c r="DO368" s="87">
        <v>1478.0</v>
      </c>
      <c r="DP368" s="87"/>
      <c r="DQ368" s="87">
        <v>263.0</v>
      </c>
      <c r="DR368" s="87">
        <v>1040.0</v>
      </c>
      <c r="DS368" s="87">
        <v>5.0</v>
      </c>
      <c r="DT368" s="87"/>
      <c r="DU368" s="87">
        <v>2.0</v>
      </c>
      <c r="DV368" s="87">
        <v>10.0</v>
      </c>
      <c r="DW368" s="87">
        <v>11.0</v>
      </c>
      <c r="DX368" s="87">
        <v>91.0</v>
      </c>
      <c r="DY368" s="87">
        <v>407.0</v>
      </c>
      <c r="DZ368" s="87">
        <v>34.0</v>
      </c>
      <c r="EA368" s="87">
        <v>25.0</v>
      </c>
      <c r="EB368" s="87">
        <v>166.0</v>
      </c>
      <c r="EC368" s="87">
        <v>205.0</v>
      </c>
      <c r="ED368" s="87">
        <v>1554.0</v>
      </c>
      <c r="EE368" s="87">
        <v>306.0</v>
      </c>
      <c r="EF368" s="87">
        <v>3.0</v>
      </c>
      <c r="EG368" s="87">
        <v>41.0</v>
      </c>
      <c r="EH368" s="87"/>
      <c r="EI368" s="87">
        <v>18.0</v>
      </c>
      <c r="EJ368" s="87">
        <v>5535.0</v>
      </c>
      <c r="EK368" s="88"/>
      <c r="EL368" s="88"/>
      <c r="EM368" s="88"/>
      <c r="EN368" s="88"/>
      <c r="EO368" s="88"/>
      <c r="EP368" s="88"/>
      <c r="EQ368" s="90"/>
    </row>
    <row r="369" ht="12.0" customHeight="1">
      <c r="A369" s="89">
        <v>1.06410817E8</v>
      </c>
      <c r="B369" s="89" t="s">
        <v>2343</v>
      </c>
      <c r="C369" s="89" t="s">
        <v>2332</v>
      </c>
      <c r="D369" s="89" t="s">
        <v>2344</v>
      </c>
      <c r="E369" s="89" t="s">
        <v>2345</v>
      </c>
      <c r="F369" s="89" t="s">
        <v>2346</v>
      </c>
      <c r="G369" s="89" t="s">
        <v>2347</v>
      </c>
      <c r="H369" s="89" t="s">
        <v>475</v>
      </c>
      <c r="I369" s="89" t="s">
        <v>543</v>
      </c>
      <c r="J369" s="89" t="s">
        <v>448</v>
      </c>
      <c r="K369" s="89" t="s">
        <v>598</v>
      </c>
      <c r="L369" s="89" t="s">
        <v>2213</v>
      </c>
      <c r="M369" s="89" t="s">
        <v>2348</v>
      </c>
      <c r="N369" s="89" t="s">
        <v>441</v>
      </c>
      <c r="O369" s="87">
        <v>3355.0</v>
      </c>
      <c r="P369" s="87">
        <v>124.0</v>
      </c>
      <c r="Q369" s="87">
        <v>72.0</v>
      </c>
      <c r="R369" s="87"/>
      <c r="S369" s="87"/>
      <c r="T369" s="87"/>
      <c r="U369" s="87">
        <v>1843.0</v>
      </c>
      <c r="V369" s="87">
        <v>1708.0</v>
      </c>
      <c r="W369" s="87"/>
      <c r="X369" s="87"/>
      <c r="Y369" s="87"/>
      <c r="Z369" s="87">
        <v>89.0</v>
      </c>
      <c r="AA369" s="87">
        <v>104.0</v>
      </c>
      <c r="AB369" s="87">
        <v>182.0</v>
      </c>
      <c r="AC369" s="87">
        <v>395.0</v>
      </c>
      <c r="AD369" s="87">
        <v>652.0</v>
      </c>
      <c r="AE369" s="87">
        <v>874.0</v>
      </c>
      <c r="AF369" s="87">
        <v>1252.0</v>
      </c>
      <c r="AG369" s="87">
        <v>3.0</v>
      </c>
      <c r="AH369" s="87">
        <v>496.0</v>
      </c>
      <c r="AI369" s="87">
        <v>3018.0</v>
      </c>
      <c r="AJ369" s="87">
        <v>37.0</v>
      </c>
      <c r="AK369" s="87"/>
      <c r="AL369" s="87">
        <v>1640.0</v>
      </c>
      <c r="AM369" s="87"/>
      <c r="AN369" s="87">
        <v>210.0</v>
      </c>
      <c r="AO369" s="87">
        <v>1514.0</v>
      </c>
      <c r="AP369" s="87">
        <v>56.0</v>
      </c>
      <c r="AQ369" s="87">
        <v>131.0</v>
      </c>
      <c r="AR369" s="87"/>
      <c r="AS369" s="87">
        <v>3262.0</v>
      </c>
      <c r="AT369" s="87">
        <v>2.0</v>
      </c>
      <c r="AU369" s="87">
        <v>189.0</v>
      </c>
      <c r="AV369" s="87">
        <v>8.0</v>
      </c>
      <c r="AW369" s="87">
        <v>76.0</v>
      </c>
      <c r="AX369" s="87">
        <v>13.0</v>
      </c>
      <c r="AY369" s="87"/>
      <c r="AZ369" s="87">
        <v>1.0</v>
      </c>
      <c r="BA369" s="87"/>
      <c r="BB369" s="87"/>
      <c r="BC369" s="87"/>
      <c r="BD369" s="87"/>
      <c r="BE369" s="87">
        <v>2979.0</v>
      </c>
      <c r="BF369" s="87">
        <v>47.0</v>
      </c>
      <c r="BG369" s="87">
        <v>525.0</v>
      </c>
      <c r="BH369" s="87"/>
      <c r="BI369" s="87">
        <v>24939.0</v>
      </c>
      <c r="BJ369" s="87">
        <v>3071.0</v>
      </c>
      <c r="BK369" s="87">
        <v>185.0</v>
      </c>
      <c r="BL369" s="87">
        <v>295.0</v>
      </c>
      <c r="BM369" s="87"/>
      <c r="BN369" s="87"/>
      <c r="BO369" s="87"/>
      <c r="BP369" s="87">
        <v>1870.0</v>
      </c>
      <c r="BQ369" s="87">
        <v>65.0</v>
      </c>
      <c r="BR369" s="87">
        <v>12.0</v>
      </c>
      <c r="BS369" s="87">
        <v>666.0</v>
      </c>
      <c r="BT369" s="87">
        <v>31.0</v>
      </c>
      <c r="BU369" s="87">
        <v>3.0</v>
      </c>
      <c r="BV369" s="87">
        <v>100.0</v>
      </c>
      <c r="BW369" s="87">
        <v>288.0</v>
      </c>
      <c r="BX369" s="87">
        <v>426.0</v>
      </c>
      <c r="BY369" s="87"/>
      <c r="BZ369" s="87"/>
      <c r="CA369" s="87">
        <v>73.0</v>
      </c>
      <c r="CB369" s="87">
        <v>2.0</v>
      </c>
      <c r="CC369" s="87">
        <v>15.0</v>
      </c>
      <c r="CD369" s="87"/>
      <c r="CE369" s="87"/>
      <c r="CF369" s="87"/>
      <c r="CG369" s="87">
        <v>554.0</v>
      </c>
      <c r="CH369" s="87">
        <v>2997.0</v>
      </c>
      <c r="CI369" s="87"/>
      <c r="CJ369" s="87">
        <v>1093.0</v>
      </c>
      <c r="CK369" s="87">
        <v>1086.0</v>
      </c>
      <c r="CL369" s="87">
        <v>1252.0</v>
      </c>
      <c r="CM369" s="87">
        <v>40.0</v>
      </c>
      <c r="CN369" s="87"/>
      <c r="CO369" s="87">
        <v>54.0</v>
      </c>
      <c r="CP369" s="87">
        <v>7.0</v>
      </c>
      <c r="CQ369" s="87">
        <v>13.0</v>
      </c>
      <c r="CR369" s="87">
        <v>6.0</v>
      </c>
      <c r="CS369" s="87"/>
      <c r="CT369" s="87">
        <v>788.0</v>
      </c>
      <c r="CU369" s="87">
        <v>113.0</v>
      </c>
      <c r="CV369" s="87">
        <v>28.0</v>
      </c>
      <c r="CW369" s="87">
        <v>153.0</v>
      </c>
      <c r="CX369" s="87">
        <v>101.0</v>
      </c>
      <c r="CY369" s="87">
        <v>166.0</v>
      </c>
      <c r="CZ369" s="87">
        <v>1.0</v>
      </c>
      <c r="DA369" s="87">
        <v>10.0</v>
      </c>
      <c r="DB369" s="87">
        <v>803.0</v>
      </c>
      <c r="DC369" s="87">
        <v>232.0</v>
      </c>
      <c r="DD369" s="87">
        <v>361.0</v>
      </c>
      <c r="DE369" s="87">
        <v>61.0</v>
      </c>
      <c r="DF369" s="87">
        <v>144.0</v>
      </c>
      <c r="DG369" s="87">
        <v>192.0</v>
      </c>
      <c r="DH369" s="87"/>
      <c r="DI369" s="87"/>
      <c r="DJ369" s="87">
        <v>3.0</v>
      </c>
      <c r="DK369" s="87">
        <v>82.0</v>
      </c>
      <c r="DL369" s="87">
        <v>283.0</v>
      </c>
      <c r="DM369" s="87">
        <v>28.0</v>
      </c>
      <c r="DN369" s="87">
        <v>2.0</v>
      </c>
      <c r="DO369" s="87">
        <v>417.0</v>
      </c>
      <c r="DP369" s="87"/>
      <c r="DQ369" s="87">
        <v>520.0</v>
      </c>
      <c r="DR369" s="87">
        <v>337.0</v>
      </c>
      <c r="DS369" s="87"/>
      <c r="DT369" s="87"/>
      <c r="DU369" s="87"/>
      <c r="DV369" s="87">
        <v>2.0</v>
      </c>
      <c r="DW369" s="87">
        <v>8.0</v>
      </c>
      <c r="DX369" s="87">
        <v>97.0</v>
      </c>
      <c r="DY369" s="87">
        <v>180.0</v>
      </c>
      <c r="DZ369" s="87">
        <v>39.0</v>
      </c>
      <c r="EA369" s="87">
        <v>1.0</v>
      </c>
      <c r="EB369" s="87">
        <v>65.0</v>
      </c>
      <c r="EC369" s="87">
        <v>30.0</v>
      </c>
      <c r="ED369" s="87">
        <v>1825.0</v>
      </c>
      <c r="EE369" s="87">
        <v>30.0</v>
      </c>
      <c r="EF369" s="87">
        <v>1.0</v>
      </c>
      <c r="EG369" s="87">
        <v>29.0</v>
      </c>
      <c r="EH369" s="87"/>
      <c r="EI369" s="87">
        <v>27.0</v>
      </c>
      <c r="EJ369" s="87">
        <v>3494.0</v>
      </c>
      <c r="EK369" s="88"/>
      <c r="EL369" s="88"/>
      <c r="EM369" s="88"/>
      <c r="EN369" s="88"/>
      <c r="EO369" s="88"/>
      <c r="EP369" s="88"/>
      <c r="EQ369" s="90"/>
    </row>
    <row r="370" ht="12.0" customHeight="1">
      <c r="A370" s="89">
        <v>1.06410828E8</v>
      </c>
      <c r="B370" s="89" t="s">
        <v>2349</v>
      </c>
      <c r="C370" s="89" t="s">
        <v>2332</v>
      </c>
      <c r="D370" s="89" t="s">
        <v>2350</v>
      </c>
      <c r="E370" s="89" t="s">
        <v>2351</v>
      </c>
      <c r="F370" s="89" t="s">
        <v>2352</v>
      </c>
      <c r="G370" s="89" t="s">
        <v>2353</v>
      </c>
      <c r="H370" s="89" t="s">
        <v>475</v>
      </c>
      <c r="I370" s="89" t="s">
        <v>543</v>
      </c>
      <c r="J370" s="89" t="s">
        <v>437</v>
      </c>
      <c r="K370" s="89" t="s">
        <v>2265</v>
      </c>
      <c r="L370" s="89" t="s">
        <v>870</v>
      </c>
      <c r="M370" s="89" t="s">
        <v>2354</v>
      </c>
      <c r="N370" s="89" t="s">
        <v>547</v>
      </c>
      <c r="O370" s="87"/>
      <c r="P370" s="87">
        <v>66.0</v>
      </c>
      <c r="Q370" s="87"/>
      <c r="R370" s="87"/>
      <c r="S370" s="87"/>
      <c r="T370" s="87"/>
      <c r="U370" s="87">
        <v>29.0</v>
      </c>
      <c r="V370" s="87">
        <v>37.0</v>
      </c>
      <c r="W370" s="87"/>
      <c r="X370" s="87"/>
      <c r="Y370" s="87"/>
      <c r="Z370" s="87"/>
      <c r="AA370" s="87"/>
      <c r="AB370" s="87"/>
      <c r="AC370" s="87">
        <v>12.0</v>
      </c>
      <c r="AD370" s="87"/>
      <c r="AE370" s="87">
        <v>17.0</v>
      </c>
      <c r="AF370" s="87">
        <v>24.0</v>
      </c>
      <c r="AG370" s="87">
        <v>13.0</v>
      </c>
      <c r="AH370" s="87">
        <v>11.0</v>
      </c>
      <c r="AI370" s="87">
        <v>55.0</v>
      </c>
      <c r="AJ370" s="87"/>
      <c r="AK370" s="87"/>
      <c r="AL370" s="87">
        <v>22.0</v>
      </c>
      <c r="AM370" s="87"/>
      <c r="AN370" s="87"/>
      <c r="AO370" s="87">
        <v>31.0</v>
      </c>
      <c r="AP370" s="87">
        <v>13.0</v>
      </c>
      <c r="AQ370" s="87"/>
      <c r="AR370" s="87"/>
      <c r="AS370" s="87">
        <v>11.0</v>
      </c>
      <c r="AT370" s="87">
        <v>55.0</v>
      </c>
      <c r="AU370" s="87"/>
      <c r="AV370" s="87"/>
      <c r="AW370" s="87"/>
      <c r="AX370" s="87"/>
      <c r="AY370" s="87"/>
      <c r="AZ370" s="87"/>
      <c r="BA370" s="87"/>
      <c r="BB370" s="87"/>
      <c r="BC370" s="87"/>
      <c r="BD370" s="87"/>
      <c r="BE370" s="87"/>
      <c r="BF370" s="87"/>
      <c r="BG370" s="87">
        <v>66.0</v>
      </c>
      <c r="BH370" s="87"/>
      <c r="BI370" s="87">
        <v>26261.0</v>
      </c>
      <c r="BJ370" s="87"/>
      <c r="BK370" s="87"/>
      <c r="BL370" s="87">
        <v>66.0</v>
      </c>
      <c r="BM370" s="87"/>
      <c r="BN370" s="87"/>
      <c r="BO370" s="87"/>
      <c r="BP370" s="87">
        <v>16.0</v>
      </c>
      <c r="BQ370" s="87">
        <v>5.0</v>
      </c>
      <c r="BR370" s="87"/>
      <c r="BS370" s="87">
        <v>10.0</v>
      </c>
      <c r="BT370" s="87"/>
      <c r="BU370" s="87"/>
      <c r="BV370" s="87">
        <v>1.0</v>
      </c>
      <c r="BW370" s="87">
        <v>25.0</v>
      </c>
      <c r="BX370" s="87">
        <v>1.0</v>
      </c>
      <c r="BY370" s="87"/>
      <c r="BZ370" s="87"/>
      <c r="CA370" s="87"/>
      <c r="CB370" s="87">
        <v>1.0</v>
      </c>
      <c r="CC370" s="87"/>
      <c r="CD370" s="87">
        <v>7.0</v>
      </c>
      <c r="CE370" s="87"/>
      <c r="CF370" s="87"/>
      <c r="CG370" s="87">
        <v>36.0</v>
      </c>
      <c r="CH370" s="87">
        <v>30.0</v>
      </c>
      <c r="CI370" s="87"/>
      <c r="CJ370" s="87">
        <v>16.0</v>
      </c>
      <c r="CK370" s="87">
        <v>48.0</v>
      </c>
      <c r="CL370" s="87">
        <v>1.0</v>
      </c>
      <c r="CM370" s="87"/>
      <c r="CN370" s="87"/>
      <c r="CO370" s="87"/>
      <c r="CP370" s="87"/>
      <c r="CQ370" s="87">
        <v>1.0</v>
      </c>
      <c r="CR370" s="87"/>
      <c r="CS370" s="87"/>
      <c r="CT370" s="87">
        <v>1.0</v>
      </c>
      <c r="CU370" s="87"/>
      <c r="CV370" s="87"/>
      <c r="CW370" s="87">
        <v>1.0</v>
      </c>
      <c r="CX370" s="87">
        <v>3.0</v>
      </c>
      <c r="CY370" s="87">
        <v>25.0</v>
      </c>
      <c r="CZ370" s="87"/>
      <c r="DA370" s="87"/>
      <c r="DB370" s="87">
        <v>25.0</v>
      </c>
      <c r="DC370" s="87">
        <v>2.0</v>
      </c>
      <c r="DD370" s="87">
        <v>3.0</v>
      </c>
      <c r="DE370" s="87">
        <v>1.0</v>
      </c>
      <c r="DF370" s="87"/>
      <c r="DG370" s="87">
        <v>2.0</v>
      </c>
      <c r="DH370" s="87"/>
      <c r="DI370" s="87"/>
      <c r="DJ370" s="87"/>
      <c r="DK370" s="87"/>
      <c r="DL370" s="87">
        <v>2.0</v>
      </c>
      <c r="DM370" s="87">
        <v>1.0</v>
      </c>
      <c r="DN370" s="87"/>
      <c r="DO370" s="87"/>
      <c r="DP370" s="87"/>
      <c r="DQ370" s="87"/>
      <c r="DR370" s="87"/>
      <c r="DS370" s="87"/>
      <c r="DT370" s="87"/>
      <c r="DU370" s="87"/>
      <c r="DV370" s="87"/>
      <c r="DW370" s="87"/>
      <c r="DX370" s="87"/>
      <c r="DY370" s="87"/>
      <c r="DZ370" s="87"/>
      <c r="EA370" s="87"/>
      <c r="EB370" s="87"/>
      <c r="EC370" s="87"/>
      <c r="ED370" s="87">
        <v>66.0</v>
      </c>
      <c r="EE370" s="87"/>
      <c r="EF370" s="87"/>
      <c r="EG370" s="87">
        <v>1.0</v>
      </c>
      <c r="EH370" s="87"/>
      <c r="EI370" s="87"/>
      <c r="EJ370" s="87">
        <v>65.0</v>
      </c>
      <c r="EK370" s="88"/>
      <c r="EL370" s="88"/>
      <c r="EM370" s="88"/>
      <c r="EN370" s="88"/>
      <c r="EO370" s="88"/>
      <c r="EP370" s="88"/>
      <c r="EQ370" s="90"/>
    </row>
    <row r="371" ht="12.0" customHeight="1">
      <c r="A371" s="89">
        <v>1.06410852E8</v>
      </c>
      <c r="B371" s="89" t="s">
        <v>2355</v>
      </c>
      <c r="C371" s="89" t="s">
        <v>2332</v>
      </c>
      <c r="D371" s="89" t="s">
        <v>2356</v>
      </c>
      <c r="E371" s="89" t="s">
        <v>2357</v>
      </c>
      <c r="F371" s="89" t="s">
        <v>2358</v>
      </c>
      <c r="G371" s="89" t="s">
        <v>2359</v>
      </c>
      <c r="H371" s="89" t="s">
        <v>447</v>
      </c>
      <c r="I371" s="89" t="s">
        <v>543</v>
      </c>
      <c r="J371" s="89" t="s">
        <v>469</v>
      </c>
      <c r="K371" s="89" t="s">
        <v>2265</v>
      </c>
      <c r="L371" s="89" t="s">
        <v>870</v>
      </c>
      <c r="M371" s="89" t="s">
        <v>2336</v>
      </c>
      <c r="N371" s="89" t="s">
        <v>441</v>
      </c>
      <c r="O371" s="87">
        <v>12388.0</v>
      </c>
      <c r="P371" s="87"/>
      <c r="Q371" s="87">
        <v>1303.0</v>
      </c>
      <c r="R371" s="87"/>
      <c r="S371" s="87"/>
      <c r="T371" s="87"/>
      <c r="U371" s="87">
        <v>5998.0</v>
      </c>
      <c r="V371" s="87">
        <v>7693.0</v>
      </c>
      <c r="W371" s="87"/>
      <c r="X371" s="87">
        <v>1582.0</v>
      </c>
      <c r="Y371" s="87">
        <v>618.0</v>
      </c>
      <c r="Z371" s="87">
        <v>696.0</v>
      </c>
      <c r="AA371" s="87">
        <v>1800.0</v>
      </c>
      <c r="AB371" s="87">
        <v>839.0</v>
      </c>
      <c r="AC371" s="87">
        <v>1100.0</v>
      </c>
      <c r="AD371" s="87">
        <v>1806.0</v>
      </c>
      <c r="AE371" s="87">
        <v>2249.0</v>
      </c>
      <c r="AF371" s="87">
        <v>3001.0</v>
      </c>
      <c r="AG371" s="87"/>
      <c r="AH371" s="87">
        <v>2214.0</v>
      </c>
      <c r="AI371" s="87">
        <v>11100.0</v>
      </c>
      <c r="AJ371" s="87">
        <v>377.0</v>
      </c>
      <c r="AK371" s="87">
        <v>35.0</v>
      </c>
      <c r="AL371" s="87">
        <v>2787.0</v>
      </c>
      <c r="AM371" s="87">
        <v>1097.0</v>
      </c>
      <c r="AN371" s="87">
        <v>449.0</v>
      </c>
      <c r="AO371" s="87">
        <v>7392.0</v>
      </c>
      <c r="AP371" s="87">
        <v>284.0</v>
      </c>
      <c r="AQ371" s="87">
        <v>1325.0</v>
      </c>
      <c r="AR371" s="87">
        <v>322.0</v>
      </c>
      <c r="AS371" s="87">
        <v>10836.0</v>
      </c>
      <c r="AT371" s="87">
        <v>82.0</v>
      </c>
      <c r="AU371" s="87">
        <v>805.0</v>
      </c>
      <c r="AV371" s="87">
        <v>394.0</v>
      </c>
      <c r="AW371" s="87">
        <v>19.0</v>
      </c>
      <c r="AX371" s="87">
        <v>12.0</v>
      </c>
      <c r="AY371" s="87">
        <v>6.0</v>
      </c>
      <c r="AZ371" s="87"/>
      <c r="BA371" s="87">
        <v>3.0</v>
      </c>
      <c r="BB371" s="87">
        <v>2.0</v>
      </c>
      <c r="BC371" s="87">
        <v>1532.0</v>
      </c>
      <c r="BD371" s="87"/>
      <c r="BE371" s="87">
        <v>7804.0</v>
      </c>
      <c r="BF371" s="87">
        <v>586.0</v>
      </c>
      <c r="BG371" s="87">
        <v>5301.0</v>
      </c>
      <c r="BH371" s="87"/>
      <c r="BI371" s="87">
        <v>58846.0</v>
      </c>
      <c r="BJ371" s="87">
        <v>5816.0</v>
      </c>
      <c r="BK371" s="87">
        <v>4084.0</v>
      </c>
      <c r="BL371" s="87">
        <v>2259.0</v>
      </c>
      <c r="BM371" s="87">
        <v>1532.0</v>
      </c>
      <c r="BN371" s="87"/>
      <c r="BO371" s="87"/>
      <c r="BP371" s="87">
        <v>8585.0</v>
      </c>
      <c r="BQ371" s="87">
        <v>228.0</v>
      </c>
      <c r="BR371" s="87">
        <v>92.0</v>
      </c>
      <c r="BS371" s="87">
        <v>1320.0</v>
      </c>
      <c r="BT371" s="87">
        <v>128.0</v>
      </c>
      <c r="BU371" s="87">
        <v>5.0</v>
      </c>
      <c r="BV371" s="87">
        <v>152.0</v>
      </c>
      <c r="BW371" s="87">
        <v>348.0</v>
      </c>
      <c r="BX371" s="87">
        <v>2430.0</v>
      </c>
      <c r="BY371" s="87"/>
      <c r="BZ371" s="87">
        <v>1.0</v>
      </c>
      <c r="CA371" s="87">
        <v>360.0</v>
      </c>
      <c r="CB371" s="87">
        <v>36.0</v>
      </c>
      <c r="CC371" s="87">
        <v>2.0</v>
      </c>
      <c r="CD371" s="87">
        <v>4.0</v>
      </c>
      <c r="CE371" s="87"/>
      <c r="CF371" s="87"/>
      <c r="CG371" s="87">
        <v>1235.0</v>
      </c>
      <c r="CH371" s="87">
        <v>12456.0</v>
      </c>
      <c r="CI371" s="87"/>
      <c r="CJ371" s="87">
        <v>6241.0</v>
      </c>
      <c r="CK371" s="87">
        <v>1665.0</v>
      </c>
      <c r="CL371" s="87">
        <v>5318.0</v>
      </c>
      <c r="CM371" s="87">
        <v>27.0</v>
      </c>
      <c r="CN371" s="87">
        <v>5.0</v>
      </c>
      <c r="CO371" s="87">
        <v>122.0</v>
      </c>
      <c r="CP371" s="87"/>
      <c r="CQ371" s="87">
        <v>299.0</v>
      </c>
      <c r="CR371" s="87">
        <v>14.0</v>
      </c>
      <c r="CS371" s="87"/>
      <c r="CT371" s="87">
        <v>1676.0</v>
      </c>
      <c r="CU371" s="87">
        <v>457.0</v>
      </c>
      <c r="CV371" s="87">
        <v>113.0</v>
      </c>
      <c r="CW371" s="87">
        <v>435.0</v>
      </c>
      <c r="CX371" s="87">
        <v>1502.0</v>
      </c>
      <c r="CY371" s="87">
        <v>312.0</v>
      </c>
      <c r="CZ371" s="87">
        <v>9.0</v>
      </c>
      <c r="DA371" s="87">
        <v>16.0</v>
      </c>
      <c r="DB371" s="87">
        <v>2160.0</v>
      </c>
      <c r="DC371" s="87">
        <v>372.0</v>
      </c>
      <c r="DD371" s="87">
        <v>1188.0</v>
      </c>
      <c r="DE371" s="87">
        <v>117.0</v>
      </c>
      <c r="DF371" s="87">
        <v>620.0</v>
      </c>
      <c r="DG371" s="87">
        <v>475.0</v>
      </c>
      <c r="DH371" s="87">
        <v>1620.0</v>
      </c>
      <c r="DI371" s="87">
        <v>1580.0</v>
      </c>
      <c r="DJ371" s="87">
        <v>19.0</v>
      </c>
      <c r="DK371" s="87">
        <v>156.0</v>
      </c>
      <c r="DL371" s="87">
        <v>787.0</v>
      </c>
      <c r="DM371" s="87">
        <v>77.0</v>
      </c>
      <c r="DN371" s="87"/>
      <c r="DO371" s="87">
        <v>1625.0</v>
      </c>
      <c r="DP371" s="87">
        <v>1512.0</v>
      </c>
      <c r="DQ371" s="87">
        <v>1396.0</v>
      </c>
      <c r="DR371" s="87">
        <v>1215.0</v>
      </c>
      <c r="DS371" s="87">
        <v>6.0</v>
      </c>
      <c r="DT371" s="87">
        <v>21.0</v>
      </c>
      <c r="DU371" s="87">
        <v>1.0</v>
      </c>
      <c r="DV371" s="87">
        <v>533.0</v>
      </c>
      <c r="DW371" s="87">
        <v>33.0</v>
      </c>
      <c r="DX371" s="87">
        <v>218.0</v>
      </c>
      <c r="DY371" s="87">
        <v>873.0</v>
      </c>
      <c r="DZ371" s="87">
        <v>154.0</v>
      </c>
      <c r="EA371" s="87">
        <v>70.0</v>
      </c>
      <c r="EB371" s="87">
        <v>202.0</v>
      </c>
      <c r="EC371" s="87">
        <v>157.0</v>
      </c>
      <c r="ED371" s="87">
        <v>5429.0</v>
      </c>
      <c r="EE371" s="87">
        <v>246.0</v>
      </c>
      <c r="EF371" s="87">
        <v>10.0</v>
      </c>
      <c r="EG371" s="87">
        <v>338.0</v>
      </c>
      <c r="EH371" s="87">
        <v>23.0</v>
      </c>
      <c r="EI371" s="87">
        <v>233.0</v>
      </c>
      <c r="EJ371" s="87">
        <v>13087.0</v>
      </c>
      <c r="EK371" s="88"/>
      <c r="EL371" s="88"/>
      <c r="EM371" s="88"/>
      <c r="EN371" s="88"/>
      <c r="EO371" s="88"/>
      <c r="EP371" s="88"/>
      <c r="EQ371" s="90"/>
    </row>
    <row r="372" ht="12.0" customHeight="1">
      <c r="A372" s="89">
        <v>1.06410891E8</v>
      </c>
      <c r="B372" s="89" t="s">
        <v>2360</v>
      </c>
      <c r="C372" s="89" t="s">
        <v>2332</v>
      </c>
      <c r="D372" s="89" t="s">
        <v>2361</v>
      </c>
      <c r="E372" s="89" t="s">
        <v>2362</v>
      </c>
      <c r="F372" s="89" t="s">
        <v>2363</v>
      </c>
      <c r="G372" s="89" t="s">
        <v>2364</v>
      </c>
      <c r="H372" s="89" t="s">
        <v>447</v>
      </c>
      <c r="I372" s="89" t="s">
        <v>543</v>
      </c>
      <c r="J372" s="89" t="s">
        <v>469</v>
      </c>
      <c r="K372" s="89" t="s">
        <v>2265</v>
      </c>
      <c r="L372" s="89" t="s">
        <v>870</v>
      </c>
      <c r="M372" s="89" t="s">
        <v>2365</v>
      </c>
      <c r="N372" s="89" t="s">
        <v>441</v>
      </c>
      <c r="O372" s="87">
        <v>5448.0</v>
      </c>
      <c r="P372" s="87"/>
      <c r="Q372" s="87"/>
      <c r="R372" s="87"/>
      <c r="S372" s="87"/>
      <c r="T372" s="87"/>
      <c r="U372" s="87">
        <v>2184.0</v>
      </c>
      <c r="V372" s="87">
        <v>3263.0</v>
      </c>
      <c r="W372" s="87">
        <v>1.0</v>
      </c>
      <c r="X372" s="87">
        <v>1124.0</v>
      </c>
      <c r="Y372" s="87">
        <v>13.0</v>
      </c>
      <c r="Z372" s="87">
        <v>162.0</v>
      </c>
      <c r="AA372" s="87">
        <v>959.0</v>
      </c>
      <c r="AB372" s="87">
        <v>290.0</v>
      </c>
      <c r="AC372" s="87">
        <v>296.0</v>
      </c>
      <c r="AD372" s="87">
        <v>544.0</v>
      </c>
      <c r="AE372" s="87">
        <v>869.0</v>
      </c>
      <c r="AF372" s="87">
        <v>1191.0</v>
      </c>
      <c r="AG372" s="87"/>
      <c r="AH372" s="87">
        <v>502.0</v>
      </c>
      <c r="AI372" s="87">
        <v>4915.0</v>
      </c>
      <c r="AJ372" s="87">
        <v>31.0</v>
      </c>
      <c r="AK372" s="87">
        <v>18.0</v>
      </c>
      <c r="AL372" s="87">
        <v>1244.0</v>
      </c>
      <c r="AM372" s="87">
        <v>17.0</v>
      </c>
      <c r="AN372" s="87">
        <v>85.0</v>
      </c>
      <c r="AO372" s="87">
        <v>3258.0</v>
      </c>
      <c r="AP372" s="87">
        <v>96.0</v>
      </c>
      <c r="AQ372" s="87">
        <v>730.0</v>
      </c>
      <c r="AR372" s="87"/>
      <c r="AS372" s="87">
        <v>2116.0</v>
      </c>
      <c r="AT372" s="87">
        <v>2152.0</v>
      </c>
      <c r="AU372" s="87">
        <v>29.0</v>
      </c>
      <c r="AV372" s="87">
        <v>2.0</v>
      </c>
      <c r="AW372" s="87"/>
      <c r="AX372" s="87">
        <v>1.0</v>
      </c>
      <c r="AY372" s="87"/>
      <c r="AZ372" s="87"/>
      <c r="BA372" s="87"/>
      <c r="BB372" s="87">
        <v>24.0</v>
      </c>
      <c r="BC372" s="87">
        <v>1124.0</v>
      </c>
      <c r="BD372" s="87"/>
      <c r="BE372" s="87">
        <v>2433.0</v>
      </c>
      <c r="BF372" s="87">
        <v>22.0</v>
      </c>
      <c r="BG372" s="87">
        <v>2990.0</v>
      </c>
      <c r="BH372" s="87">
        <v>3.0</v>
      </c>
      <c r="BI372" s="87">
        <v>19099.0</v>
      </c>
      <c r="BJ372" s="87">
        <v>1774.0</v>
      </c>
      <c r="BK372" s="87">
        <v>1533.0</v>
      </c>
      <c r="BL372" s="87">
        <v>1017.0</v>
      </c>
      <c r="BM372" s="87">
        <v>1124.0</v>
      </c>
      <c r="BN372" s="87"/>
      <c r="BO372" s="87"/>
      <c r="BP372" s="87">
        <v>3987.0</v>
      </c>
      <c r="BQ372" s="87">
        <v>40.0</v>
      </c>
      <c r="BR372" s="87">
        <v>11.0</v>
      </c>
      <c r="BS372" s="87">
        <v>508.0</v>
      </c>
      <c r="BT372" s="87">
        <v>9.0</v>
      </c>
      <c r="BU372" s="87"/>
      <c r="BV372" s="87">
        <v>17.0</v>
      </c>
      <c r="BW372" s="87">
        <v>80.0</v>
      </c>
      <c r="BX372" s="87">
        <v>656.0</v>
      </c>
      <c r="BY372" s="87">
        <v>1.0</v>
      </c>
      <c r="BZ372" s="87">
        <v>74.0</v>
      </c>
      <c r="CA372" s="87">
        <v>46.0</v>
      </c>
      <c r="CB372" s="87">
        <v>1.0</v>
      </c>
      <c r="CC372" s="87">
        <v>3.0</v>
      </c>
      <c r="CD372" s="87">
        <v>15.0</v>
      </c>
      <c r="CE372" s="87"/>
      <c r="CF372" s="87"/>
      <c r="CG372" s="87">
        <v>160.0</v>
      </c>
      <c r="CH372" s="87">
        <v>5288.0</v>
      </c>
      <c r="CI372" s="87"/>
      <c r="CJ372" s="87">
        <v>2241.0</v>
      </c>
      <c r="CK372" s="87">
        <v>305.0</v>
      </c>
      <c r="CL372" s="87">
        <v>2857.0</v>
      </c>
      <c r="CM372" s="87">
        <v>13.0</v>
      </c>
      <c r="CN372" s="87"/>
      <c r="CO372" s="87">
        <v>16.0</v>
      </c>
      <c r="CP372" s="87"/>
      <c r="CQ372" s="87">
        <v>15.0</v>
      </c>
      <c r="CR372" s="87"/>
      <c r="CS372" s="87">
        <v>1.0</v>
      </c>
      <c r="CT372" s="87">
        <v>348.0</v>
      </c>
      <c r="CU372" s="87">
        <v>114.0</v>
      </c>
      <c r="CV372" s="87">
        <v>19.0</v>
      </c>
      <c r="CW372" s="87">
        <v>143.0</v>
      </c>
      <c r="CX372" s="87">
        <v>31.0</v>
      </c>
      <c r="CY372" s="87">
        <v>66.0</v>
      </c>
      <c r="CZ372" s="87">
        <v>1.0</v>
      </c>
      <c r="DA372" s="87">
        <v>4.0</v>
      </c>
      <c r="DB372" s="87">
        <v>900.0</v>
      </c>
      <c r="DC372" s="87">
        <v>131.0</v>
      </c>
      <c r="DD372" s="87">
        <v>360.0</v>
      </c>
      <c r="DE372" s="87">
        <v>33.0</v>
      </c>
      <c r="DF372" s="87">
        <v>484.0</v>
      </c>
      <c r="DG372" s="87">
        <v>163.0</v>
      </c>
      <c r="DH372" s="87">
        <v>1151.0</v>
      </c>
      <c r="DI372" s="87">
        <v>1124.0</v>
      </c>
      <c r="DJ372" s="87">
        <v>16.0</v>
      </c>
      <c r="DK372" s="87">
        <v>47.0</v>
      </c>
      <c r="DL372" s="87">
        <v>305.0</v>
      </c>
      <c r="DM372" s="87">
        <v>8.0</v>
      </c>
      <c r="DN372" s="87"/>
      <c r="DO372" s="87">
        <v>910.0</v>
      </c>
      <c r="DP372" s="87">
        <v>1082.0</v>
      </c>
      <c r="DQ372" s="87">
        <v>697.0</v>
      </c>
      <c r="DR372" s="87">
        <v>266.0</v>
      </c>
      <c r="DS372" s="87"/>
      <c r="DT372" s="87"/>
      <c r="DU372" s="87">
        <v>1.0</v>
      </c>
      <c r="DV372" s="87">
        <v>257.0</v>
      </c>
      <c r="DW372" s="87">
        <v>10.0</v>
      </c>
      <c r="DX372" s="87">
        <v>44.0</v>
      </c>
      <c r="DY372" s="87">
        <v>616.0</v>
      </c>
      <c r="DZ372" s="87">
        <v>66.0</v>
      </c>
      <c r="EA372" s="87">
        <v>45.0</v>
      </c>
      <c r="EB372" s="87">
        <v>54.0</v>
      </c>
      <c r="EC372" s="87">
        <v>58.0</v>
      </c>
      <c r="ED372" s="87">
        <v>1311.0</v>
      </c>
      <c r="EE372" s="87">
        <v>31.0</v>
      </c>
      <c r="EF372" s="87">
        <v>48.0</v>
      </c>
      <c r="EG372" s="87">
        <v>31.0</v>
      </c>
      <c r="EH372" s="87"/>
      <c r="EI372" s="87">
        <v>43.0</v>
      </c>
      <c r="EJ372" s="87">
        <v>5326.0</v>
      </c>
      <c r="EK372" s="88"/>
      <c r="EL372" s="88"/>
      <c r="EM372" s="88"/>
      <c r="EN372" s="88"/>
      <c r="EO372" s="88"/>
      <c r="EP372" s="88"/>
      <c r="EQ372" s="90"/>
    </row>
    <row r="373" ht="12.0" customHeight="1">
      <c r="A373" s="89">
        <v>1.06414139E8</v>
      </c>
      <c r="B373" s="89" t="s">
        <v>2366</v>
      </c>
      <c r="C373" s="89" t="s">
        <v>2332</v>
      </c>
      <c r="D373" s="89" t="s">
        <v>2367</v>
      </c>
      <c r="E373" s="89" t="s">
        <v>2368</v>
      </c>
      <c r="F373" s="89" t="s">
        <v>2363</v>
      </c>
      <c r="G373" s="89" t="s">
        <v>2369</v>
      </c>
      <c r="H373" s="89" t="s">
        <v>447</v>
      </c>
      <c r="I373" s="89" t="s">
        <v>543</v>
      </c>
      <c r="J373" s="89" t="s">
        <v>457</v>
      </c>
      <c r="K373" s="89" t="s">
        <v>2265</v>
      </c>
      <c r="L373" s="89" t="s">
        <v>870</v>
      </c>
      <c r="M373" s="89" t="s">
        <v>2370</v>
      </c>
      <c r="N373" s="89" t="s">
        <v>441</v>
      </c>
      <c r="O373" s="87">
        <v>9956.0</v>
      </c>
      <c r="P373" s="87"/>
      <c r="Q373" s="87"/>
      <c r="R373" s="87"/>
      <c r="S373" s="87"/>
      <c r="T373" s="87"/>
      <c r="U373" s="87">
        <v>4114.0</v>
      </c>
      <c r="V373" s="87">
        <v>5842.0</v>
      </c>
      <c r="W373" s="87"/>
      <c r="X373" s="87">
        <v>2171.0</v>
      </c>
      <c r="Y373" s="87">
        <v>39.0</v>
      </c>
      <c r="Z373" s="87">
        <v>628.0</v>
      </c>
      <c r="AA373" s="87">
        <v>1911.0</v>
      </c>
      <c r="AB373" s="87">
        <v>603.0</v>
      </c>
      <c r="AC373" s="87">
        <v>816.0</v>
      </c>
      <c r="AD373" s="87">
        <v>1114.0</v>
      </c>
      <c r="AE373" s="87">
        <v>1262.0</v>
      </c>
      <c r="AF373" s="87">
        <v>1410.0</v>
      </c>
      <c r="AG373" s="87">
        <v>2.0</v>
      </c>
      <c r="AH373" s="87">
        <v>1964.0</v>
      </c>
      <c r="AI373" s="87">
        <v>7761.0</v>
      </c>
      <c r="AJ373" s="87">
        <v>231.0</v>
      </c>
      <c r="AK373" s="87">
        <v>26.0</v>
      </c>
      <c r="AL373" s="87">
        <v>2629.0</v>
      </c>
      <c r="AM373" s="87">
        <v>213.0</v>
      </c>
      <c r="AN373" s="87">
        <v>469.0</v>
      </c>
      <c r="AO373" s="87">
        <v>4288.0</v>
      </c>
      <c r="AP373" s="87">
        <v>209.0</v>
      </c>
      <c r="AQ373" s="87">
        <v>2008.0</v>
      </c>
      <c r="AR373" s="87">
        <v>114.0</v>
      </c>
      <c r="AS373" s="87">
        <v>6524.0</v>
      </c>
      <c r="AT373" s="87">
        <v>42.0</v>
      </c>
      <c r="AU373" s="87">
        <v>1102.0</v>
      </c>
      <c r="AV373" s="87">
        <v>104.0</v>
      </c>
      <c r="AW373" s="87">
        <v>30.0</v>
      </c>
      <c r="AX373" s="87">
        <v>2.0</v>
      </c>
      <c r="AY373" s="87"/>
      <c r="AZ373" s="87"/>
      <c r="BA373" s="87">
        <v>4.0</v>
      </c>
      <c r="BB373" s="87">
        <v>12.0</v>
      </c>
      <c r="BC373" s="87">
        <v>2136.0</v>
      </c>
      <c r="BD373" s="87"/>
      <c r="BE373" s="87">
        <v>2783.0</v>
      </c>
      <c r="BF373" s="87">
        <v>848.0</v>
      </c>
      <c r="BG373" s="87">
        <v>6325.0</v>
      </c>
      <c r="BH373" s="87"/>
      <c r="BI373" s="87">
        <v>31179.0</v>
      </c>
      <c r="BJ373" s="87">
        <v>774.0</v>
      </c>
      <c r="BK373" s="87">
        <v>5487.0</v>
      </c>
      <c r="BL373" s="87">
        <v>1549.0</v>
      </c>
      <c r="BM373" s="87">
        <v>2136.0</v>
      </c>
      <c r="BN373" s="87"/>
      <c r="BO373" s="87">
        <v>10.0</v>
      </c>
      <c r="BP373" s="87">
        <v>6510.0</v>
      </c>
      <c r="BQ373" s="87">
        <v>429.0</v>
      </c>
      <c r="BR373" s="87">
        <v>100.0</v>
      </c>
      <c r="BS373" s="87">
        <v>458.0</v>
      </c>
      <c r="BT373" s="87"/>
      <c r="BU373" s="87">
        <v>4.0</v>
      </c>
      <c r="BV373" s="87">
        <v>57.0</v>
      </c>
      <c r="BW373" s="87">
        <v>252.0</v>
      </c>
      <c r="BX373" s="87">
        <v>1936.0</v>
      </c>
      <c r="BY373" s="87"/>
      <c r="BZ373" s="87"/>
      <c r="CA373" s="87">
        <v>204.0</v>
      </c>
      <c r="CB373" s="87">
        <v>5.0</v>
      </c>
      <c r="CC373" s="87"/>
      <c r="CD373" s="87">
        <v>1.0</v>
      </c>
      <c r="CE373" s="87"/>
      <c r="CF373" s="87"/>
      <c r="CG373" s="87">
        <v>1013.0</v>
      </c>
      <c r="CH373" s="87">
        <v>8943.0</v>
      </c>
      <c r="CI373" s="87"/>
      <c r="CJ373" s="87">
        <v>3131.0</v>
      </c>
      <c r="CK373" s="87">
        <v>595.0</v>
      </c>
      <c r="CL373" s="87">
        <v>6140.0</v>
      </c>
      <c r="CM373" s="87">
        <v>9.0</v>
      </c>
      <c r="CN373" s="87"/>
      <c r="CO373" s="87">
        <v>5.0</v>
      </c>
      <c r="CP373" s="87"/>
      <c r="CQ373" s="87">
        <v>76.0</v>
      </c>
      <c r="CR373" s="87"/>
      <c r="CS373" s="87"/>
      <c r="CT373" s="87">
        <v>765.0</v>
      </c>
      <c r="CU373" s="87">
        <v>654.0</v>
      </c>
      <c r="CV373" s="87">
        <v>27.0</v>
      </c>
      <c r="CW373" s="87">
        <v>140.0</v>
      </c>
      <c r="CX373" s="87">
        <v>52.0</v>
      </c>
      <c r="CY373" s="87">
        <v>507.0</v>
      </c>
      <c r="CZ373" s="87">
        <v>7.0</v>
      </c>
      <c r="DA373" s="87">
        <v>8.0</v>
      </c>
      <c r="DB373" s="87">
        <v>1488.0</v>
      </c>
      <c r="DC373" s="87">
        <v>270.0</v>
      </c>
      <c r="DD373" s="87">
        <v>479.0</v>
      </c>
      <c r="DE373" s="87">
        <v>59.0</v>
      </c>
      <c r="DF373" s="87">
        <v>289.0</v>
      </c>
      <c r="DG373" s="87">
        <v>133.0</v>
      </c>
      <c r="DH373" s="87">
        <v>2204.0</v>
      </c>
      <c r="DI373" s="87">
        <v>2170.0</v>
      </c>
      <c r="DJ373" s="87">
        <v>21.0</v>
      </c>
      <c r="DK373" s="87">
        <v>79.0</v>
      </c>
      <c r="DL373" s="87">
        <v>545.0</v>
      </c>
      <c r="DM373" s="87">
        <v>59.0</v>
      </c>
      <c r="DN373" s="87"/>
      <c r="DO373" s="87">
        <v>2624.0</v>
      </c>
      <c r="DP373" s="87">
        <v>2145.0</v>
      </c>
      <c r="DQ373" s="87">
        <v>698.0</v>
      </c>
      <c r="DR373" s="87">
        <v>449.0</v>
      </c>
      <c r="DS373" s="87">
        <v>11.0</v>
      </c>
      <c r="DT373" s="87">
        <v>95.0</v>
      </c>
      <c r="DU373" s="87">
        <v>2.0</v>
      </c>
      <c r="DV373" s="87">
        <v>499.0</v>
      </c>
      <c r="DW373" s="87">
        <v>14.0</v>
      </c>
      <c r="DX373" s="87">
        <v>81.0</v>
      </c>
      <c r="DY373" s="87">
        <v>363.0</v>
      </c>
      <c r="DZ373" s="87">
        <v>1154.0</v>
      </c>
      <c r="EA373" s="87">
        <v>26.0</v>
      </c>
      <c r="EB373" s="87">
        <v>93.0</v>
      </c>
      <c r="EC373" s="87">
        <v>173.0</v>
      </c>
      <c r="ED373" s="87">
        <v>1306.0</v>
      </c>
      <c r="EE373" s="87">
        <v>223.0</v>
      </c>
      <c r="EF373" s="87">
        <v>2.0</v>
      </c>
      <c r="EG373" s="87">
        <v>61.0</v>
      </c>
      <c r="EH373" s="87">
        <v>1.0</v>
      </c>
      <c r="EI373" s="87">
        <v>32.0</v>
      </c>
      <c r="EJ373" s="87">
        <v>9860.0</v>
      </c>
      <c r="EK373" s="88"/>
      <c r="EL373" s="88"/>
      <c r="EM373" s="88"/>
      <c r="EN373" s="88"/>
      <c r="EO373" s="88"/>
      <c r="EP373" s="88"/>
      <c r="EQ373" s="90"/>
    </row>
    <row r="374" ht="12.0" customHeight="1">
      <c r="A374" s="89">
        <v>1.06420483E8</v>
      </c>
      <c r="B374" s="89" t="s">
        <v>2371</v>
      </c>
      <c r="C374" s="89" t="s">
        <v>2372</v>
      </c>
      <c r="D374" s="89" t="s">
        <v>2373</v>
      </c>
      <c r="E374" s="89" t="s">
        <v>2374</v>
      </c>
      <c r="F374" s="89" t="s">
        <v>2372</v>
      </c>
      <c r="G374" s="89" t="s">
        <v>2375</v>
      </c>
      <c r="H374" s="89" t="s">
        <v>447</v>
      </c>
      <c r="I374" s="89" t="s">
        <v>543</v>
      </c>
      <c r="J374" s="89" t="s">
        <v>499</v>
      </c>
      <c r="K374" s="89" t="s">
        <v>2213</v>
      </c>
      <c r="L374" s="89" t="s">
        <v>1553</v>
      </c>
      <c r="M374" s="89" t="s">
        <v>2376</v>
      </c>
      <c r="N374" s="89" t="s">
        <v>441</v>
      </c>
      <c r="O374" s="87">
        <v>1010.0</v>
      </c>
      <c r="P374" s="87"/>
      <c r="Q374" s="87"/>
      <c r="R374" s="87"/>
      <c r="S374" s="87"/>
      <c r="T374" s="87"/>
      <c r="U374" s="87">
        <v>436.0</v>
      </c>
      <c r="V374" s="87">
        <v>574.0</v>
      </c>
      <c r="W374" s="87"/>
      <c r="X374" s="87"/>
      <c r="Y374" s="87">
        <v>29.0</v>
      </c>
      <c r="Z374" s="87">
        <v>52.0</v>
      </c>
      <c r="AA374" s="87">
        <v>33.0</v>
      </c>
      <c r="AB374" s="87">
        <v>47.0</v>
      </c>
      <c r="AC374" s="87">
        <v>93.0</v>
      </c>
      <c r="AD374" s="87">
        <v>203.0</v>
      </c>
      <c r="AE374" s="87">
        <v>283.0</v>
      </c>
      <c r="AF374" s="87">
        <v>270.0</v>
      </c>
      <c r="AG374" s="87"/>
      <c r="AH374" s="87">
        <v>207.0</v>
      </c>
      <c r="AI374" s="87">
        <v>781.0</v>
      </c>
      <c r="AJ374" s="87">
        <v>22.0</v>
      </c>
      <c r="AK374" s="87"/>
      <c r="AL374" s="87">
        <v>14.0</v>
      </c>
      <c r="AM374" s="87"/>
      <c r="AN374" s="87">
        <v>20.0</v>
      </c>
      <c r="AO374" s="87">
        <v>833.0</v>
      </c>
      <c r="AP374" s="87">
        <v>11.0</v>
      </c>
      <c r="AQ374" s="87">
        <v>114.0</v>
      </c>
      <c r="AR374" s="87">
        <v>18.0</v>
      </c>
      <c r="AS374" s="87">
        <v>888.0</v>
      </c>
      <c r="AT374" s="87">
        <v>24.0</v>
      </c>
      <c r="AU374" s="87">
        <v>56.0</v>
      </c>
      <c r="AV374" s="87">
        <v>24.0</v>
      </c>
      <c r="AW374" s="87">
        <v>16.0</v>
      </c>
      <c r="AX374" s="87">
        <v>1.0</v>
      </c>
      <c r="AY374" s="87">
        <v>1.0</v>
      </c>
      <c r="AZ374" s="87"/>
      <c r="BA374" s="87"/>
      <c r="BB374" s="87"/>
      <c r="BC374" s="87"/>
      <c r="BD374" s="87"/>
      <c r="BE374" s="87">
        <v>500.0</v>
      </c>
      <c r="BF374" s="87">
        <v>40.0</v>
      </c>
      <c r="BG374" s="87">
        <v>470.0</v>
      </c>
      <c r="BH374" s="87"/>
      <c r="BI374" s="87">
        <v>2491.0</v>
      </c>
      <c r="BJ374" s="87">
        <v>524.0</v>
      </c>
      <c r="BK374" s="87">
        <v>30.0</v>
      </c>
      <c r="BL374" s="87">
        <v>456.0</v>
      </c>
      <c r="BM374" s="87"/>
      <c r="BN374" s="87"/>
      <c r="BO374" s="87"/>
      <c r="BP374" s="87">
        <v>424.0</v>
      </c>
      <c r="BQ374" s="87">
        <v>54.0</v>
      </c>
      <c r="BR374" s="87">
        <v>49.0</v>
      </c>
      <c r="BS374" s="87">
        <v>165.0</v>
      </c>
      <c r="BT374" s="87">
        <v>3.0</v>
      </c>
      <c r="BU374" s="87"/>
      <c r="BV374" s="87"/>
      <c r="BW374" s="87">
        <v>3.0</v>
      </c>
      <c r="BX374" s="87">
        <v>300.0</v>
      </c>
      <c r="BY374" s="87"/>
      <c r="BZ374" s="87"/>
      <c r="CA374" s="87">
        <v>10.0</v>
      </c>
      <c r="CB374" s="87"/>
      <c r="CC374" s="87"/>
      <c r="CD374" s="87">
        <v>2.0</v>
      </c>
      <c r="CE374" s="87"/>
      <c r="CF374" s="87"/>
      <c r="CG374" s="87">
        <v>60.0</v>
      </c>
      <c r="CH374" s="87">
        <v>950.0</v>
      </c>
      <c r="CI374" s="87"/>
      <c r="CJ374" s="87">
        <v>633.0</v>
      </c>
      <c r="CK374" s="87">
        <v>84.0</v>
      </c>
      <c r="CL374" s="87">
        <v>240.0</v>
      </c>
      <c r="CM374" s="87">
        <v>14.0</v>
      </c>
      <c r="CN374" s="87"/>
      <c r="CO374" s="87">
        <v>9.0</v>
      </c>
      <c r="CP374" s="87"/>
      <c r="CQ374" s="87">
        <v>25.0</v>
      </c>
      <c r="CR374" s="87">
        <v>5.0</v>
      </c>
      <c r="CS374" s="87"/>
      <c r="CT374" s="87">
        <v>84.0</v>
      </c>
      <c r="CU374" s="87">
        <v>10.0</v>
      </c>
      <c r="CV374" s="87">
        <v>1.0</v>
      </c>
      <c r="CW374" s="87">
        <v>25.0</v>
      </c>
      <c r="CX374" s="87">
        <v>7.0</v>
      </c>
      <c r="CY374" s="87">
        <v>5.0</v>
      </c>
      <c r="CZ374" s="87"/>
      <c r="DA374" s="87"/>
      <c r="DB374" s="87">
        <v>32.0</v>
      </c>
      <c r="DC374" s="87">
        <v>35.0</v>
      </c>
      <c r="DD374" s="87">
        <v>68.0</v>
      </c>
      <c r="DE374" s="87">
        <v>36.0</v>
      </c>
      <c r="DF374" s="87">
        <v>356.0</v>
      </c>
      <c r="DG374" s="87">
        <v>55.0</v>
      </c>
      <c r="DH374" s="87"/>
      <c r="DI374" s="87"/>
      <c r="DJ374" s="87"/>
      <c r="DK374" s="87">
        <v>11.0</v>
      </c>
      <c r="DL374" s="87">
        <v>274.0</v>
      </c>
      <c r="DM374" s="87">
        <v>11.0</v>
      </c>
      <c r="DN374" s="87"/>
      <c r="DO374" s="87">
        <v>60.0</v>
      </c>
      <c r="DP374" s="87"/>
      <c r="DQ374" s="87">
        <v>11.0</v>
      </c>
      <c r="DR374" s="87">
        <v>25.0</v>
      </c>
      <c r="DS374" s="87">
        <v>1.0</v>
      </c>
      <c r="DT374" s="87"/>
      <c r="DU374" s="87"/>
      <c r="DV374" s="87">
        <v>14.0</v>
      </c>
      <c r="DW374" s="87"/>
      <c r="DX374" s="87">
        <v>51.0</v>
      </c>
      <c r="DY374" s="87">
        <v>554.0</v>
      </c>
      <c r="DZ374" s="87">
        <v>5.0</v>
      </c>
      <c r="EA374" s="87"/>
      <c r="EB374" s="87">
        <v>13.0</v>
      </c>
      <c r="EC374" s="87">
        <v>12.0</v>
      </c>
      <c r="ED374" s="87">
        <v>260.0</v>
      </c>
      <c r="EE374" s="87">
        <v>4.0</v>
      </c>
      <c r="EF374" s="87">
        <v>1.0</v>
      </c>
      <c r="EG374" s="87">
        <v>19.0</v>
      </c>
      <c r="EH374" s="87"/>
      <c r="EI374" s="87">
        <v>37.0</v>
      </c>
      <c r="EJ374" s="87">
        <v>953.0</v>
      </c>
      <c r="EK374" s="88"/>
      <c r="EL374" s="88"/>
      <c r="EM374" s="88"/>
      <c r="EN374" s="88"/>
      <c r="EO374" s="88"/>
      <c r="EP374" s="88"/>
      <c r="EQ374" s="90"/>
    </row>
    <row r="375" ht="12.0" customHeight="1">
      <c r="A375" s="89">
        <v>1.06420491E8</v>
      </c>
      <c r="B375" s="89" t="s">
        <v>2377</v>
      </c>
      <c r="C375" s="89" t="s">
        <v>2372</v>
      </c>
      <c r="D375" s="89" t="s">
        <v>2378</v>
      </c>
      <c r="E375" s="89" t="s">
        <v>2379</v>
      </c>
      <c r="F375" s="89" t="s">
        <v>2380</v>
      </c>
      <c r="G375" s="89" t="s">
        <v>2381</v>
      </c>
      <c r="H375" s="89" t="s">
        <v>494</v>
      </c>
      <c r="I375" s="89" t="s">
        <v>543</v>
      </c>
      <c r="J375" s="89" t="s">
        <v>463</v>
      </c>
      <c r="K375" s="89" t="s">
        <v>2213</v>
      </c>
      <c r="L375" s="89" t="s">
        <v>954</v>
      </c>
      <c r="M375" s="89" t="s">
        <v>2382</v>
      </c>
      <c r="N375" s="89" t="s">
        <v>547</v>
      </c>
      <c r="O375" s="87">
        <v>2608.0</v>
      </c>
      <c r="P375" s="87">
        <v>143.0</v>
      </c>
      <c r="Q375" s="87"/>
      <c r="R375" s="87"/>
      <c r="S375" s="87"/>
      <c r="T375" s="87"/>
      <c r="U375" s="87">
        <v>1155.0</v>
      </c>
      <c r="V375" s="87">
        <v>1596.0</v>
      </c>
      <c r="W375" s="87"/>
      <c r="X375" s="87">
        <v>358.0</v>
      </c>
      <c r="Y375" s="87">
        <v>48.0</v>
      </c>
      <c r="Z375" s="87">
        <v>256.0</v>
      </c>
      <c r="AA375" s="87">
        <v>260.0</v>
      </c>
      <c r="AB375" s="87">
        <v>211.0</v>
      </c>
      <c r="AC375" s="87">
        <v>239.0</v>
      </c>
      <c r="AD375" s="87">
        <v>436.0</v>
      </c>
      <c r="AE375" s="87">
        <v>379.0</v>
      </c>
      <c r="AF375" s="87">
        <v>564.0</v>
      </c>
      <c r="AG375" s="87"/>
      <c r="AH375" s="87">
        <v>1028.0</v>
      </c>
      <c r="AI375" s="87">
        <v>1590.0</v>
      </c>
      <c r="AJ375" s="87">
        <v>133.0</v>
      </c>
      <c r="AK375" s="87">
        <v>19.0</v>
      </c>
      <c r="AL375" s="87">
        <v>54.0</v>
      </c>
      <c r="AM375" s="87"/>
      <c r="AN375" s="87">
        <v>115.0</v>
      </c>
      <c r="AO375" s="87">
        <v>1420.0</v>
      </c>
      <c r="AP375" s="87">
        <v>99.0</v>
      </c>
      <c r="AQ375" s="87">
        <v>1017.0</v>
      </c>
      <c r="AR375" s="87">
        <v>27.0</v>
      </c>
      <c r="AS375" s="87">
        <v>2192.0</v>
      </c>
      <c r="AT375" s="87">
        <v>169.0</v>
      </c>
      <c r="AU375" s="87">
        <v>26.0</v>
      </c>
      <c r="AV375" s="87">
        <v>1.0</v>
      </c>
      <c r="AW375" s="87"/>
      <c r="AX375" s="87">
        <v>19.0</v>
      </c>
      <c r="AY375" s="87"/>
      <c r="AZ375" s="87"/>
      <c r="BA375" s="87">
        <v>11.0</v>
      </c>
      <c r="BB375" s="87"/>
      <c r="BC375" s="87">
        <v>333.0</v>
      </c>
      <c r="BD375" s="87"/>
      <c r="BE375" s="87">
        <v>1556.0</v>
      </c>
      <c r="BF375" s="87"/>
      <c r="BG375" s="87">
        <v>1195.0</v>
      </c>
      <c r="BH375" s="87"/>
      <c r="BI375" s="87">
        <v>14329.0</v>
      </c>
      <c r="BJ375" s="87">
        <v>1523.0</v>
      </c>
      <c r="BK375" s="87">
        <v>339.0</v>
      </c>
      <c r="BL375" s="87">
        <v>556.0</v>
      </c>
      <c r="BM375" s="87">
        <v>333.0</v>
      </c>
      <c r="BN375" s="87"/>
      <c r="BO375" s="87"/>
      <c r="BP375" s="87">
        <v>1363.0</v>
      </c>
      <c r="BQ375" s="87">
        <v>146.0</v>
      </c>
      <c r="BR375" s="87">
        <v>4.0</v>
      </c>
      <c r="BS375" s="87">
        <v>375.0</v>
      </c>
      <c r="BT375" s="87"/>
      <c r="BU375" s="87">
        <v>79.0</v>
      </c>
      <c r="BV375" s="87">
        <v>61.0</v>
      </c>
      <c r="BW375" s="87">
        <v>60.0</v>
      </c>
      <c r="BX375" s="87">
        <v>603.0</v>
      </c>
      <c r="BY375" s="87"/>
      <c r="BZ375" s="87"/>
      <c r="CA375" s="87">
        <v>41.0</v>
      </c>
      <c r="CB375" s="87">
        <v>16.0</v>
      </c>
      <c r="CC375" s="87">
        <v>2.0</v>
      </c>
      <c r="CD375" s="87"/>
      <c r="CE375" s="87">
        <v>1.0</v>
      </c>
      <c r="CF375" s="87"/>
      <c r="CG375" s="87">
        <v>386.0</v>
      </c>
      <c r="CH375" s="87">
        <v>2365.0</v>
      </c>
      <c r="CI375" s="87"/>
      <c r="CJ375" s="87">
        <v>1240.0</v>
      </c>
      <c r="CK375" s="87">
        <v>942.0</v>
      </c>
      <c r="CL375" s="87">
        <v>404.0</v>
      </c>
      <c r="CM375" s="87">
        <v>7.0</v>
      </c>
      <c r="CN375" s="87"/>
      <c r="CO375" s="87">
        <v>146.0</v>
      </c>
      <c r="CP375" s="87"/>
      <c r="CQ375" s="87">
        <v>12.0</v>
      </c>
      <c r="CR375" s="87"/>
      <c r="CS375" s="87"/>
      <c r="CT375" s="87">
        <v>254.0</v>
      </c>
      <c r="CU375" s="87">
        <v>66.0</v>
      </c>
      <c r="CV375" s="87">
        <v>26.0</v>
      </c>
      <c r="CW375" s="87">
        <v>185.0</v>
      </c>
      <c r="CX375" s="87">
        <v>27.0</v>
      </c>
      <c r="CY375" s="87">
        <v>64.0</v>
      </c>
      <c r="CZ375" s="87">
        <v>1.0</v>
      </c>
      <c r="DA375" s="87">
        <v>9.0</v>
      </c>
      <c r="DB375" s="87">
        <v>226.0</v>
      </c>
      <c r="DC375" s="87">
        <v>196.0</v>
      </c>
      <c r="DD375" s="87">
        <v>385.0</v>
      </c>
      <c r="DE375" s="87">
        <v>62.0</v>
      </c>
      <c r="DF375" s="87">
        <v>144.0</v>
      </c>
      <c r="DG375" s="87">
        <v>129.0</v>
      </c>
      <c r="DH375" s="87">
        <v>344.0</v>
      </c>
      <c r="DI375" s="87">
        <v>334.0</v>
      </c>
      <c r="DJ375" s="87"/>
      <c r="DK375" s="87">
        <v>77.0</v>
      </c>
      <c r="DL375" s="87">
        <v>187.0</v>
      </c>
      <c r="DM375" s="87">
        <v>35.0</v>
      </c>
      <c r="DN375" s="87"/>
      <c r="DO375" s="87">
        <v>841.0</v>
      </c>
      <c r="DP375" s="87">
        <v>334.0</v>
      </c>
      <c r="DQ375" s="87">
        <v>20.0</v>
      </c>
      <c r="DR375" s="87">
        <v>371.0</v>
      </c>
      <c r="DS375" s="87">
        <v>6.0</v>
      </c>
      <c r="DT375" s="87">
        <v>11.0</v>
      </c>
      <c r="DU375" s="87"/>
      <c r="DV375" s="87">
        <v>47.0</v>
      </c>
      <c r="DW375" s="87">
        <v>2.0</v>
      </c>
      <c r="DX375" s="87">
        <v>43.0</v>
      </c>
      <c r="DY375" s="87">
        <v>186.0</v>
      </c>
      <c r="DZ375" s="87">
        <v>4.0</v>
      </c>
      <c r="EA375" s="87">
        <v>13.0</v>
      </c>
      <c r="EB375" s="87">
        <v>26.0</v>
      </c>
      <c r="EC375" s="87">
        <v>7.0</v>
      </c>
      <c r="ED375" s="87">
        <v>733.0</v>
      </c>
      <c r="EE375" s="87">
        <v>107.0</v>
      </c>
      <c r="EF375" s="87"/>
      <c r="EG375" s="87">
        <v>76.0</v>
      </c>
      <c r="EH375" s="87"/>
      <c r="EI375" s="87">
        <v>13.0</v>
      </c>
      <c r="EJ375" s="87">
        <v>2662.0</v>
      </c>
      <c r="EK375" s="88"/>
      <c r="EL375" s="88"/>
      <c r="EM375" s="88"/>
      <c r="EN375" s="88"/>
      <c r="EO375" s="88"/>
      <c r="EP375" s="88"/>
      <c r="EQ375" s="90"/>
    </row>
    <row r="376" ht="12.0" customHeight="1">
      <c r="A376" s="89">
        <v>1.06420493E8</v>
      </c>
      <c r="B376" s="89" t="s">
        <v>2383</v>
      </c>
      <c r="C376" s="89" t="s">
        <v>2372</v>
      </c>
      <c r="D376" s="89" t="s">
        <v>2384</v>
      </c>
      <c r="E376" s="89" t="s">
        <v>2385</v>
      </c>
      <c r="F376" s="89" t="s">
        <v>2386</v>
      </c>
      <c r="G376" s="89" t="s">
        <v>2387</v>
      </c>
      <c r="H376" s="89" t="s">
        <v>447</v>
      </c>
      <c r="I376" s="89" t="s">
        <v>543</v>
      </c>
      <c r="J376" s="89" t="s">
        <v>469</v>
      </c>
      <c r="K376" s="89" t="s">
        <v>2213</v>
      </c>
      <c r="L376" s="89" t="s">
        <v>954</v>
      </c>
      <c r="M376" s="89" t="s">
        <v>2388</v>
      </c>
      <c r="N376" s="89" t="s">
        <v>441</v>
      </c>
      <c r="O376" s="87">
        <v>16540.0</v>
      </c>
      <c r="P376" s="87">
        <v>588.0</v>
      </c>
      <c r="Q376" s="87"/>
      <c r="R376" s="87"/>
      <c r="S376" s="87"/>
      <c r="T376" s="87"/>
      <c r="U376" s="87">
        <v>6666.0</v>
      </c>
      <c r="V376" s="87">
        <v>10462.0</v>
      </c>
      <c r="W376" s="87"/>
      <c r="X376" s="87">
        <v>3747.0</v>
      </c>
      <c r="Y376" s="87">
        <v>479.0</v>
      </c>
      <c r="Z376" s="87">
        <v>2314.0</v>
      </c>
      <c r="AA376" s="87">
        <v>2170.0</v>
      </c>
      <c r="AB376" s="87">
        <v>1055.0</v>
      </c>
      <c r="AC376" s="87">
        <v>1242.0</v>
      </c>
      <c r="AD376" s="87">
        <v>1773.0</v>
      </c>
      <c r="AE376" s="87">
        <v>2063.0</v>
      </c>
      <c r="AF376" s="87">
        <v>2283.0</v>
      </c>
      <c r="AG376" s="87">
        <v>2.0</v>
      </c>
      <c r="AH376" s="87">
        <v>9965.0</v>
      </c>
      <c r="AI376" s="87">
        <v>7053.0</v>
      </c>
      <c r="AJ376" s="87">
        <v>110.0</v>
      </c>
      <c r="AK376" s="87">
        <v>21.0</v>
      </c>
      <c r="AL376" s="87">
        <v>416.0</v>
      </c>
      <c r="AM376" s="87">
        <v>38.0</v>
      </c>
      <c r="AN376" s="87">
        <v>205.0</v>
      </c>
      <c r="AO376" s="87">
        <v>13193.0</v>
      </c>
      <c r="AP376" s="87">
        <v>341.0</v>
      </c>
      <c r="AQ376" s="87">
        <v>2860.0</v>
      </c>
      <c r="AR376" s="87">
        <v>54.0</v>
      </c>
      <c r="AS376" s="87">
        <v>10641.0</v>
      </c>
      <c r="AT376" s="87">
        <v>1784.0</v>
      </c>
      <c r="AU376" s="87">
        <v>876.0</v>
      </c>
      <c r="AV376" s="87">
        <v>115.0</v>
      </c>
      <c r="AW376" s="87">
        <v>6.0</v>
      </c>
      <c r="AX376" s="87">
        <v>433.0</v>
      </c>
      <c r="AY376" s="87"/>
      <c r="AZ376" s="87"/>
      <c r="BA376" s="87">
        <v>7.0</v>
      </c>
      <c r="BB376" s="87"/>
      <c r="BC376" s="87">
        <v>3266.0</v>
      </c>
      <c r="BD376" s="87"/>
      <c r="BE376" s="87">
        <v>8021.0</v>
      </c>
      <c r="BF376" s="87">
        <v>248.0</v>
      </c>
      <c r="BG376" s="87">
        <v>8816.0</v>
      </c>
      <c r="BH376" s="87">
        <v>43.0</v>
      </c>
      <c r="BI376" s="87">
        <v>80643.0</v>
      </c>
      <c r="BJ376" s="87">
        <v>8153.0</v>
      </c>
      <c r="BK376" s="87">
        <v>3276.0</v>
      </c>
      <c r="BL376" s="87">
        <v>2200.0</v>
      </c>
      <c r="BM376" s="87">
        <v>3266.0</v>
      </c>
      <c r="BN376" s="87">
        <v>233.0</v>
      </c>
      <c r="BO376" s="87"/>
      <c r="BP376" s="87">
        <v>12093.0</v>
      </c>
      <c r="BQ376" s="87">
        <v>294.0</v>
      </c>
      <c r="BR376" s="87">
        <v>169.0</v>
      </c>
      <c r="BS376" s="87">
        <v>1128.0</v>
      </c>
      <c r="BT376" s="87">
        <v>10.0</v>
      </c>
      <c r="BU376" s="87">
        <v>16.0</v>
      </c>
      <c r="BV376" s="87">
        <v>202.0</v>
      </c>
      <c r="BW376" s="87">
        <v>464.0</v>
      </c>
      <c r="BX376" s="87">
        <v>2393.0</v>
      </c>
      <c r="BY376" s="87"/>
      <c r="BZ376" s="87">
        <v>3.0</v>
      </c>
      <c r="CA376" s="87">
        <v>325.0</v>
      </c>
      <c r="CB376" s="87">
        <v>15.0</v>
      </c>
      <c r="CC376" s="87"/>
      <c r="CD376" s="87">
        <v>16.0</v>
      </c>
      <c r="CE376" s="87"/>
      <c r="CF376" s="87"/>
      <c r="CG376" s="87">
        <v>1316.0</v>
      </c>
      <c r="CH376" s="87">
        <v>15812.0</v>
      </c>
      <c r="CI376" s="87"/>
      <c r="CJ376" s="87">
        <v>5236.0</v>
      </c>
      <c r="CK376" s="87">
        <v>8389.0</v>
      </c>
      <c r="CL376" s="87">
        <v>2590.0</v>
      </c>
      <c r="CM376" s="87">
        <v>35.0</v>
      </c>
      <c r="CN376" s="87"/>
      <c r="CO376" s="87">
        <v>539.0</v>
      </c>
      <c r="CP376" s="87"/>
      <c r="CQ376" s="87">
        <v>232.0</v>
      </c>
      <c r="CR376" s="87">
        <v>2.0</v>
      </c>
      <c r="CS376" s="87">
        <v>105.0</v>
      </c>
      <c r="CT376" s="87">
        <v>1905.0</v>
      </c>
      <c r="CU376" s="87">
        <v>384.0</v>
      </c>
      <c r="CV376" s="87">
        <v>75.0</v>
      </c>
      <c r="CW376" s="87">
        <v>867.0</v>
      </c>
      <c r="CX376" s="87">
        <v>157.0</v>
      </c>
      <c r="CY376" s="87">
        <v>232.0</v>
      </c>
      <c r="CZ376" s="87">
        <v>6.0</v>
      </c>
      <c r="DA376" s="87">
        <v>10.0</v>
      </c>
      <c r="DB376" s="87">
        <v>1540.0</v>
      </c>
      <c r="DC376" s="87">
        <v>685.0</v>
      </c>
      <c r="DD376" s="87">
        <v>1304.0</v>
      </c>
      <c r="DE376" s="87">
        <v>104.0</v>
      </c>
      <c r="DF376" s="87">
        <v>573.0</v>
      </c>
      <c r="DG376" s="87">
        <v>569.0</v>
      </c>
      <c r="DH376" s="87">
        <v>3658.0</v>
      </c>
      <c r="DI376" s="87">
        <v>3355.0</v>
      </c>
      <c r="DJ376" s="87">
        <v>8.0</v>
      </c>
      <c r="DK376" s="87">
        <v>179.0</v>
      </c>
      <c r="DL376" s="87">
        <v>1310.0</v>
      </c>
      <c r="DM376" s="87">
        <v>207.0</v>
      </c>
      <c r="DN376" s="87"/>
      <c r="DO376" s="87">
        <v>4405.0</v>
      </c>
      <c r="DP376" s="87">
        <v>3230.0</v>
      </c>
      <c r="DQ376" s="87">
        <v>998.0</v>
      </c>
      <c r="DR376" s="87">
        <v>1470.0</v>
      </c>
      <c r="DS376" s="87">
        <v>7.0</v>
      </c>
      <c r="DT376" s="87">
        <v>7.0</v>
      </c>
      <c r="DU376" s="87">
        <v>4.0</v>
      </c>
      <c r="DV376" s="87">
        <v>221.0</v>
      </c>
      <c r="DW376" s="87">
        <v>30.0</v>
      </c>
      <c r="DX376" s="87">
        <v>255.0</v>
      </c>
      <c r="DY376" s="87">
        <v>918.0</v>
      </c>
      <c r="DZ376" s="87">
        <v>168.0</v>
      </c>
      <c r="EA376" s="87">
        <v>18.0</v>
      </c>
      <c r="EB376" s="87">
        <v>171.0</v>
      </c>
      <c r="EC376" s="87">
        <v>199.0</v>
      </c>
      <c r="ED376" s="87">
        <v>4800.0</v>
      </c>
      <c r="EE376" s="87">
        <v>227.0</v>
      </c>
      <c r="EF376" s="87">
        <v>41.0</v>
      </c>
      <c r="EG376" s="87">
        <v>324.0</v>
      </c>
      <c r="EH376" s="87">
        <v>2.0</v>
      </c>
      <c r="EI376" s="87">
        <v>43.0</v>
      </c>
      <c r="EJ376" s="87">
        <v>16718.0</v>
      </c>
      <c r="EK376" s="88"/>
      <c r="EL376" s="88"/>
      <c r="EM376" s="88"/>
      <c r="EN376" s="88"/>
      <c r="EO376" s="88"/>
      <c r="EP376" s="88"/>
      <c r="EQ376" s="90"/>
    </row>
    <row r="377" ht="12.0" customHeight="1">
      <c r="A377" s="89">
        <v>1.06420514E8</v>
      </c>
      <c r="B377" s="89" t="s">
        <v>2389</v>
      </c>
      <c r="C377" s="89" t="s">
        <v>2372</v>
      </c>
      <c r="D377" s="89" t="s">
        <v>2390</v>
      </c>
      <c r="E377" s="89" t="s">
        <v>2391</v>
      </c>
      <c r="F377" s="89" t="s">
        <v>2372</v>
      </c>
      <c r="G377" s="89" t="s">
        <v>2392</v>
      </c>
      <c r="H377" s="89" t="s">
        <v>447</v>
      </c>
      <c r="I377" s="89" t="s">
        <v>543</v>
      </c>
      <c r="J377" s="89" t="s">
        <v>448</v>
      </c>
      <c r="K377" s="89" t="s">
        <v>2213</v>
      </c>
      <c r="L377" s="89" t="s">
        <v>1553</v>
      </c>
      <c r="M377" s="89" t="s">
        <v>2393</v>
      </c>
      <c r="N377" s="89" t="s">
        <v>441</v>
      </c>
      <c r="O377" s="87">
        <v>17650.0</v>
      </c>
      <c r="P377" s="87"/>
      <c r="Q377" s="87">
        <v>728.0</v>
      </c>
      <c r="R377" s="87"/>
      <c r="S377" s="87">
        <v>627.0</v>
      </c>
      <c r="T377" s="87"/>
      <c r="U377" s="87">
        <v>8687.0</v>
      </c>
      <c r="V377" s="87">
        <v>10313.0</v>
      </c>
      <c r="W377" s="87">
        <v>5.0</v>
      </c>
      <c r="X377" s="87">
        <v>2558.0</v>
      </c>
      <c r="Y377" s="87">
        <v>542.0</v>
      </c>
      <c r="Z377" s="87">
        <v>1220.0</v>
      </c>
      <c r="AA377" s="87">
        <v>2115.0</v>
      </c>
      <c r="AB377" s="87">
        <v>1192.0</v>
      </c>
      <c r="AC377" s="87">
        <v>1804.0</v>
      </c>
      <c r="AD377" s="87">
        <v>2689.0</v>
      </c>
      <c r="AE377" s="87">
        <v>3224.0</v>
      </c>
      <c r="AF377" s="87">
        <v>3661.0</v>
      </c>
      <c r="AG377" s="87"/>
      <c r="AH377" s="87">
        <v>5487.0</v>
      </c>
      <c r="AI377" s="87">
        <v>12697.0</v>
      </c>
      <c r="AJ377" s="87">
        <v>821.0</v>
      </c>
      <c r="AK377" s="87">
        <v>46.0</v>
      </c>
      <c r="AL377" s="87">
        <v>404.0</v>
      </c>
      <c r="AM377" s="87">
        <v>35.0</v>
      </c>
      <c r="AN377" s="87">
        <v>291.0</v>
      </c>
      <c r="AO377" s="87">
        <v>13735.0</v>
      </c>
      <c r="AP377" s="87">
        <v>554.0</v>
      </c>
      <c r="AQ377" s="87">
        <v>3429.0</v>
      </c>
      <c r="AR377" s="87">
        <v>511.0</v>
      </c>
      <c r="AS377" s="87">
        <v>12565.0</v>
      </c>
      <c r="AT377" s="87">
        <v>579.0</v>
      </c>
      <c r="AU377" s="87">
        <v>3097.0</v>
      </c>
      <c r="AV377" s="87">
        <v>562.0</v>
      </c>
      <c r="AW377" s="87">
        <v>139.0</v>
      </c>
      <c r="AX377" s="87">
        <v>5.0</v>
      </c>
      <c r="AY377" s="87">
        <v>8.0</v>
      </c>
      <c r="AZ377" s="87">
        <v>1.0</v>
      </c>
      <c r="BA377" s="87">
        <v>29.0</v>
      </c>
      <c r="BB377" s="87">
        <v>71.0</v>
      </c>
      <c r="BC377" s="87">
        <v>1949.0</v>
      </c>
      <c r="BD377" s="87"/>
      <c r="BE377" s="87">
        <v>10244.0</v>
      </c>
      <c r="BF377" s="87">
        <v>1185.0</v>
      </c>
      <c r="BG377" s="87">
        <v>7575.0</v>
      </c>
      <c r="BH377" s="87">
        <v>1.0</v>
      </c>
      <c r="BI377" s="87">
        <v>96983.0</v>
      </c>
      <c r="BJ377" s="87">
        <v>10943.0</v>
      </c>
      <c r="BK377" s="87">
        <v>1078.0</v>
      </c>
      <c r="BL377" s="87">
        <v>5027.0</v>
      </c>
      <c r="BM377" s="87">
        <v>1949.0</v>
      </c>
      <c r="BN377" s="87">
        <v>6.0</v>
      </c>
      <c r="BO377" s="87">
        <v>2.0</v>
      </c>
      <c r="BP377" s="87">
        <v>13283.0</v>
      </c>
      <c r="BQ377" s="87">
        <v>156.0</v>
      </c>
      <c r="BR377" s="87">
        <v>600.0</v>
      </c>
      <c r="BS377" s="87">
        <v>1867.0</v>
      </c>
      <c r="BT377" s="87">
        <v>21.0</v>
      </c>
      <c r="BU377" s="87">
        <v>29.0</v>
      </c>
      <c r="BV377" s="87"/>
      <c r="BW377" s="87">
        <v>447.0</v>
      </c>
      <c r="BX377" s="87">
        <v>2150.0</v>
      </c>
      <c r="BY377" s="87"/>
      <c r="BZ377" s="87">
        <v>4.0</v>
      </c>
      <c r="CA377" s="87">
        <v>373.0</v>
      </c>
      <c r="CB377" s="87">
        <v>46.0</v>
      </c>
      <c r="CC377" s="87">
        <v>2.0</v>
      </c>
      <c r="CD377" s="87">
        <v>27.0</v>
      </c>
      <c r="CE377" s="87"/>
      <c r="CF377" s="87"/>
      <c r="CG377" s="87">
        <v>1008.0</v>
      </c>
      <c r="CH377" s="87">
        <v>17997.0</v>
      </c>
      <c r="CI377" s="87"/>
      <c r="CJ377" s="87">
        <v>7743.0</v>
      </c>
      <c r="CK377" s="87">
        <v>4313.0</v>
      </c>
      <c r="CL377" s="87">
        <v>6247.0</v>
      </c>
      <c r="CM377" s="87">
        <v>60.0</v>
      </c>
      <c r="CN377" s="87"/>
      <c r="CO377" s="87">
        <v>191.0</v>
      </c>
      <c r="CP377" s="87"/>
      <c r="CQ377" s="87">
        <v>353.0</v>
      </c>
      <c r="CR377" s="87">
        <v>98.0</v>
      </c>
      <c r="CS377" s="87"/>
      <c r="CT377" s="87">
        <v>1722.0</v>
      </c>
      <c r="CU377" s="87">
        <v>974.0</v>
      </c>
      <c r="CV377" s="87">
        <v>180.0</v>
      </c>
      <c r="CW377" s="87">
        <v>649.0</v>
      </c>
      <c r="CX377" s="87">
        <v>963.0</v>
      </c>
      <c r="CY377" s="87">
        <v>544.0</v>
      </c>
      <c r="CZ377" s="87">
        <v>16.0</v>
      </c>
      <c r="DA377" s="87">
        <v>14.0</v>
      </c>
      <c r="DB377" s="87">
        <v>2892.0</v>
      </c>
      <c r="DC377" s="87">
        <v>768.0</v>
      </c>
      <c r="DD377" s="87">
        <v>2137.0</v>
      </c>
      <c r="DE377" s="87">
        <v>179.0</v>
      </c>
      <c r="DF377" s="87">
        <v>696.0</v>
      </c>
      <c r="DG377" s="87">
        <v>707.0</v>
      </c>
      <c r="DH377" s="87">
        <v>2023.0</v>
      </c>
      <c r="DI377" s="87">
        <v>1997.0</v>
      </c>
      <c r="DJ377" s="87">
        <v>64.0</v>
      </c>
      <c r="DK377" s="87">
        <v>286.0</v>
      </c>
      <c r="DL377" s="87">
        <v>1836.0</v>
      </c>
      <c r="DM377" s="87">
        <v>351.0</v>
      </c>
      <c r="DN377" s="87">
        <v>7.0</v>
      </c>
      <c r="DO377" s="87">
        <v>2326.0</v>
      </c>
      <c r="DP377" s="87">
        <v>1913.0</v>
      </c>
      <c r="DQ377" s="87">
        <v>1948.0</v>
      </c>
      <c r="DR377" s="87">
        <v>2199.0</v>
      </c>
      <c r="DS377" s="87">
        <v>9.0</v>
      </c>
      <c r="DT377" s="87">
        <v>40.0</v>
      </c>
      <c r="DU377" s="87">
        <v>9.0</v>
      </c>
      <c r="DV377" s="87">
        <v>499.0</v>
      </c>
      <c r="DW377" s="87">
        <v>106.0</v>
      </c>
      <c r="DX377" s="87">
        <v>421.0</v>
      </c>
      <c r="DY377" s="87">
        <v>987.0</v>
      </c>
      <c r="DZ377" s="87">
        <v>422.0</v>
      </c>
      <c r="EA377" s="87">
        <v>41.0</v>
      </c>
      <c r="EB377" s="87">
        <v>518.0</v>
      </c>
      <c r="EC377" s="87">
        <v>320.0</v>
      </c>
      <c r="ED377" s="87">
        <v>6898.0</v>
      </c>
      <c r="EE377" s="87">
        <v>349.0</v>
      </c>
      <c r="EF377" s="87">
        <v>18.0</v>
      </c>
      <c r="EG377" s="87">
        <v>677.0</v>
      </c>
      <c r="EH377" s="87">
        <v>15.0</v>
      </c>
      <c r="EI377" s="87">
        <v>193.0</v>
      </c>
      <c r="EJ377" s="87">
        <v>18102.0</v>
      </c>
      <c r="EK377" s="88"/>
      <c r="EL377" s="88"/>
      <c r="EM377" s="88"/>
      <c r="EN377" s="88"/>
      <c r="EO377" s="88"/>
      <c r="EP377" s="88"/>
      <c r="EQ377" s="90"/>
    </row>
    <row r="378" ht="12.0" customHeight="1">
      <c r="A378" s="89">
        <v>1.06420522E8</v>
      </c>
      <c r="B378" s="89" t="s">
        <v>2394</v>
      </c>
      <c r="C378" s="89" t="s">
        <v>2372</v>
      </c>
      <c r="D378" s="89" t="s">
        <v>2395</v>
      </c>
      <c r="E378" s="89" t="s">
        <v>2396</v>
      </c>
      <c r="F378" s="89" t="s">
        <v>2397</v>
      </c>
      <c r="G378" s="89" t="s">
        <v>2398</v>
      </c>
      <c r="H378" s="89" t="s">
        <v>447</v>
      </c>
      <c r="I378" s="89" t="s">
        <v>543</v>
      </c>
      <c r="J378" s="89" t="s">
        <v>499</v>
      </c>
      <c r="K378" s="89" t="s">
        <v>2213</v>
      </c>
      <c r="L378" s="89" t="s">
        <v>1553</v>
      </c>
      <c r="M378" s="89" t="s">
        <v>2399</v>
      </c>
      <c r="N378" s="89" t="s">
        <v>547</v>
      </c>
      <c r="O378" s="87">
        <v>121.0</v>
      </c>
      <c r="P378" s="87"/>
      <c r="Q378" s="87"/>
      <c r="R378" s="87"/>
      <c r="S378" s="87"/>
      <c r="T378" s="87"/>
      <c r="U378" s="87">
        <v>53.0</v>
      </c>
      <c r="V378" s="87">
        <v>68.0</v>
      </c>
      <c r="W378" s="87"/>
      <c r="X378" s="87"/>
      <c r="Y378" s="87"/>
      <c r="Z378" s="87"/>
      <c r="AA378" s="87"/>
      <c r="AB378" s="87"/>
      <c r="AC378" s="87"/>
      <c r="AD378" s="87"/>
      <c r="AE378" s="87">
        <v>27.0</v>
      </c>
      <c r="AF378" s="87">
        <v>69.0</v>
      </c>
      <c r="AG378" s="87">
        <v>25.0</v>
      </c>
      <c r="AH378" s="87"/>
      <c r="AI378" s="87">
        <v>110.0</v>
      </c>
      <c r="AJ378" s="87">
        <v>11.0</v>
      </c>
      <c r="AK378" s="87"/>
      <c r="AL378" s="87"/>
      <c r="AM378" s="87"/>
      <c r="AN378" s="87"/>
      <c r="AO378" s="87">
        <v>100.0</v>
      </c>
      <c r="AP378" s="87">
        <v>10.0</v>
      </c>
      <c r="AQ378" s="87"/>
      <c r="AR378" s="87">
        <v>11.0</v>
      </c>
      <c r="AS378" s="87">
        <v>115.0</v>
      </c>
      <c r="AT378" s="87">
        <v>2.0</v>
      </c>
      <c r="AU378" s="87">
        <v>3.0</v>
      </c>
      <c r="AV378" s="87">
        <v>1.0</v>
      </c>
      <c r="AW378" s="87"/>
      <c r="AX378" s="87"/>
      <c r="AY378" s="87"/>
      <c r="AZ378" s="87"/>
      <c r="BA378" s="87"/>
      <c r="BB378" s="87"/>
      <c r="BC378" s="87"/>
      <c r="BD378" s="87"/>
      <c r="BE378" s="87">
        <v>110.0</v>
      </c>
      <c r="BF378" s="87"/>
      <c r="BG378" s="87">
        <v>11.0</v>
      </c>
      <c r="BH378" s="87"/>
      <c r="BI378" s="87">
        <v>309.0</v>
      </c>
      <c r="BJ378" s="87">
        <v>108.0</v>
      </c>
      <c r="BK378" s="87">
        <v>5.0</v>
      </c>
      <c r="BL378" s="87">
        <v>8.0</v>
      </c>
      <c r="BM378" s="87"/>
      <c r="BN378" s="87"/>
      <c r="BO378" s="87"/>
      <c r="BP378" s="87">
        <v>78.0</v>
      </c>
      <c r="BQ378" s="87">
        <v>12.0</v>
      </c>
      <c r="BR378" s="87">
        <v>1.0</v>
      </c>
      <c r="BS378" s="87">
        <v>18.0</v>
      </c>
      <c r="BT378" s="87"/>
      <c r="BU378" s="87"/>
      <c r="BV378" s="87"/>
      <c r="BW378" s="87">
        <v>1.0</v>
      </c>
      <c r="BX378" s="87">
        <v>8.0</v>
      </c>
      <c r="BY378" s="87"/>
      <c r="BZ378" s="87"/>
      <c r="CA378" s="87">
        <v>2.0</v>
      </c>
      <c r="CB378" s="87"/>
      <c r="CC378" s="87"/>
      <c r="CD378" s="87">
        <v>1.0</v>
      </c>
      <c r="CE378" s="87"/>
      <c r="CF378" s="87"/>
      <c r="CG378" s="87">
        <v>27.0</v>
      </c>
      <c r="CH378" s="87">
        <v>94.0</v>
      </c>
      <c r="CI378" s="87"/>
      <c r="CJ378" s="87">
        <v>102.0</v>
      </c>
      <c r="CK378" s="87">
        <v>5.0</v>
      </c>
      <c r="CL378" s="87">
        <v>10.0</v>
      </c>
      <c r="CM378" s="87"/>
      <c r="CN378" s="87"/>
      <c r="CO378" s="87">
        <v>2.0</v>
      </c>
      <c r="CP378" s="87"/>
      <c r="CQ378" s="87">
        <v>2.0</v>
      </c>
      <c r="CR378" s="87"/>
      <c r="CS378" s="87"/>
      <c r="CT378" s="87">
        <v>14.0</v>
      </c>
      <c r="CU378" s="87">
        <v>2.0</v>
      </c>
      <c r="CV378" s="87">
        <v>2.0</v>
      </c>
      <c r="CW378" s="87">
        <v>6.0</v>
      </c>
      <c r="CX378" s="87">
        <v>3.0</v>
      </c>
      <c r="CY378" s="87">
        <v>5.0</v>
      </c>
      <c r="CZ378" s="87"/>
      <c r="DA378" s="87"/>
      <c r="DB378" s="87">
        <v>14.0</v>
      </c>
      <c r="DC378" s="87">
        <v>28.0</v>
      </c>
      <c r="DD378" s="87">
        <v>8.0</v>
      </c>
      <c r="DE378" s="87">
        <v>7.0</v>
      </c>
      <c r="DF378" s="87">
        <v>6.0</v>
      </c>
      <c r="DG378" s="87">
        <v>9.0</v>
      </c>
      <c r="DH378" s="87"/>
      <c r="DI378" s="87"/>
      <c r="DJ378" s="87"/>
      <c r="DK378" s="87">
        <v>5.0</v>
      </c>
      <c r="DL378" s="87">
        <v>12.0</v>
      </c>
      <c r="DM378" s="87"/>
      <c r="DN378" s="87"/>
      <c r="DO378" s="87">
        <v>17.0</v>
      </c>
      <c r="DP378" s="87"/>
      <c r="DQ378" s="87">
        <v>3.0</v>
      </c>
      <c r="DR378" s="87">
        <v>1.0</v>
      </c>
      <c r="DS378" s="87"/>
      <c r="DT378" s="87"/>
      <c r="DU378" s="87"/>
      <c r="DV378" s="87"/>
      <c r="DW378" s="87"/>
      <c r="DX378" s="87">
        <v>3.0</v>
      </c>
      <c r="DY378" s="87">
        <v>1.0</v>
      </c>
      <c r="DZ378" s="87">
        <v>1.0</v>
      </c>
      <c r="EA378" s="87"/>
      <c r="EB378" s="87">
        <v>2.0</v>
      </c>
      <c r="EC378" s="87"/>
      <c r="ED378" s="87">
        <v>92.0</v>
      </c>
      <c r="EE378" s="87">
        <v>1.0</v>
      </c>
      <c r="EF378" s="87"/>
      <c r="EG378" s="87">
        <v>2.0</v>
      </c>
      <c r="EH378" s="87"/>
      <c r="EI378" s="87">
        <v>3.0</v>
      </c>
      <c r="EJ378" s="87">
        <v>116.0</v>
      </c>
      <c r="EK378" s="88"/>
      <c r="EL378" s="88"/>
      <c r="EM378" s="88"/>
      <c r="EN378" s="88"/>
      <c r="EO378" s="88"/>
      <c r="EP378" s="88"/>
      <c r="EQ378" s="90"/>
    </row>
    <row r="379" ht="12.0" customHeight="1">
      <c r="A379" s="89">
        <v>1.06424002E8</v>
      </c>
      <c r="B379" s="89" t="s">
        <v>2400</v>
      </c>
      <c r="C379" s="89" t="s">
        <v>2372</v>
      </c>
      <c r="D379" s="89" t="s">
        <v>2401</v>
      </c>
      <c r="E379" s="89" t="s">
        <v>2402</v>
      </c>
      <c r="F379" s="89" t="s">
        <v>2372</v>
      </c>
      <c r="G379" s="89" t="s">
        <v>2403</v>
      </c>
      <c r="H379" s="89" t="s">
        <v>435</v>
      </c>
      <c r="I379" s="89" t="s">
        <v>543</v>
      </c>
      <c r="J379" s="89" t="s">
        <v>499</v>
      </c>
      <c r="K379" s="89" t="s">
        <v>2213</v>
      </c>
      <c r="L379" s="89" t="s">
        <v>1553</v>
      </c>
      <c r="M379" s="89" t="s">
        <v>2393</v>
      </c>
      <c r="N379" s="89" t="s">
        <v>441</v>
      </c>
      <c r="O379" s="87"/>
      <c r="P379" s="87"/>
      <c r="Q379" s="87">
        <v>286.0</v>
      </c>
      <c r="R379" s="87"/>
      <c r="S379" s="87"/>
      <c r="T379" s="87"/>
      <c r="U379" s="87">
        <v>159.0</v>
      </c>
      <c r="V379" s="87">
        <v>127.0</v>
      </c>
      <c r="W379" s="87"/>
      <c r="X379" s="87"/>
      <c r="Y379" s="87"/>
      <c r="Z379" s="87">
        <v>75.0</v>
      </c>
      <c r="AA379" s="87">
        <v>78.0</v>
      </c>
      <c r="AB379" s="87">
        <v>61.0</v>
      </c>
      <c r="AC379" s="87">
        <v>36.0</v>
      </c>
      <c r="AD379" s="87">
        <v>24.0</v>
      </c>
      <c r="AE379" s="87"/>
      <c r="AF379" s="87"/>
      <c r="AG379" s="87">
        <v>12.0</v>
      </c>
      <c r="AH379" s="87">
        <v>120.0</v>
      </c>
      <c r="AI379" s="87">
        <v>150.0</v>
      </c>
      <c r="AJ379" s="87">
        <v>16.0</v>
      </c>
      <c r="AK379" s="87"/>
      <c r="AL379" s="87"/>
      <c r="AM379" s="87"/>
      <c r="AN379" s="87">
        <v>11.0</v>
      </c>
      <c r="AO379" s="87">
        <v>211.0</v>
      </c>
      <c r="AP379" s="87">
        <v>19.0</v>
      </c>
      <c r="AQ379" s="87">
        <v>45.0</v>
      </c>
      <c r="AR379" s="87"/>
      <c r="AS379" s="87">
        <v>1.0</v>
      </c>
      <c r="AT379" s="87">
        <v>1.0</v>
      </c>
      <c r="AU379" s="87">
        <v>251.0</v>
      </c>
      <c r="AV379" s="87"/>
      <c r="AW379" s="87">
        <v>8.0</v>
      </c>
      <c r="AX379" s="87"/>
      <c r="AY379" s="87"/>
      <c r="AZ379" s="87"/>
      <c r="BA379" s="87">
        <v>25.0</v>
      </c>
      <c r="BB379" s="87"/>
      <c r="BC379" s="87"/>
      <c r="BD379" s="87"/>
      <c r="BE379" s="87"/>
      <c r="BF379" s="87">
        <v>276.0</v>
      </c>
      <c r="BG379" s="87">
        <v>10.0</v>
      </c>
      <c r="BH379" s="87"/>
      <c r="BI379" s="87">
        <v>4571.0</v>
      </c>
      <c r="BJ379" s="87">
        <v>252.0</v>
      </c>
      <c r="BK379" s="87">
        <v>34.0</v>
      </c>
      <c r="BL379" s="87"/>
      <c r="BM379" s="87"/>
      <c r="BN379" s="87"/>
      <c r="BO379" s="87"/>
      <c r="BP379" s="87">
        <v>89.0</v>
      </c>
      <c r="BQ379" s="87">
        <v>6.0</v>
      </c>
      <c r="BR379" s="87"/>
      <c r="BS379" s="87">
        <v>2.0</v>
      </c>
      <c r="BT379" s="87">
        <v>128.0</v>
      </c>
      <c r="BU379" s="87">
        <v>17.0</v>
      </c>
      <c r="BV379" s="87">
        <v>26.0</v>
      </c>
      <c r="BW379" s="87"/>
      <c r="BX379" s="87"/>
      <c r="BY379" s="87"/>
      <c r="BZ379" s="87"/>
      <c r="CA379" s="87"/>
      <c r="CB379" s="87">
        <v>1.0</v>
      </c>
      <c r="CC379" s="87"/>
      <c r="CD379" s="87">
        <v>17.0</v>
      </c>
      <c r="CE379" s="87"/>
      <c r="CF379" s="87"/>
      <c r="CG379" s="87"/>
      <c r="CH379" s="87">
        <v>286.0</v>
      </c>
      <c r="CI379" s="87"/>
      <c r="CJ379" s="87">
        <v>39.0</v>
      </c>
      <c r="CK379" s="87">
        <v>220.0</v>
      </c>
      <c r="CL379" s="87">
        <v>6.0</v>
      </c>
      <c r="CM379" s="87"/>
      <c r="CN379" s="87">
        <v>19.0</v>
      </c>
      <c r="CO379" s="87">
        <v>2.0</v>
      </c>
      <c r="CP379" s="87"/>
      <c r="CQ379" s="87"/>
      <c r="CR379" s="87"/>
      <c r="CS379" s="87"/>
      <c r="CT379" s="87"/>
      <c r="CU379" s="87"/>
      <c r="CV379" s="87"/>
      <c r="CW379" s="87"/>
      <c r="CX379" s="87">
        <v>285.0</v>
      </c>
      <c r="CY379" s="87">
        <v>1.0</v>
      </c>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v>286.0</v>
      </c>
      <c r="EE379" s="87"/>
      <c r="EF379" s="87"/>
      <c r="EG379" s="87">
        <v>2.0</v>
      </c>
      <c r="EH379" s="87"/>
      <c r="EI379" s="87">
        <v>1.0</v>
      </c>
      <c r="EJ379" s="87">
        <v>283.0</v>
      </c>
      <c r="EK379" s="88"/>
      <c r="EL379" s="88"/>
      <c r="EM379" s="88"/>
      <c r="EN379" s="88"/>
      <c r="EO379" s="88"/>
      <c r="EP379" s="88"/>
      <c r="EQ379" s="90"/>
    </row>
    <row r="380" ht="12.0" customHeight="1">
      <c r="A380" s="89">
        <v>1.06430705E8</v>
      </c>
      <c r="B380" s="89" t="s">
        <v>2404</v>
      </c>
      <c r="C380" s="89" t="s">
        <v>2405</v>
      </c>
      <c r="D380" s="89" t="s">
        <v>2406</v>
      </c>
      <c r="E380" s="89" t="s">
        <v>2407</v>
      </c>
      <c r="F380" s="89" t="s">
        <v>2408</v>
      </c>
      <c r="G380" s="89" t="s">
        <v>2409</v>
      </c>
      <c r="H380" s="89" t="s">
        <v>503</v>
      </c>
      <c r="I380" s="89" t="s">
        <v>543</v>
      </c>
      <c r="J380" s="89" t="s">
        <v>469</v>
      </c>
      <c r="K380" s="89" t="s">
        <v>449</v>
      </c>
      <c r="L380" s="89" t="s">
        <v>1041</v>
      </c>
      <c r="M380" s="89" t="s">
        <v>2410</v>
      </c>
      <c r="N380" s="89" t="s">
        <v>441</v>
      </c>
      <c r="O380" s="87">
        <v>11563.0</v>
      </c>
      <c r="P380" s="87"/>
      <c r="Q380" s="87"/>
      <c r="R380" s="87"/>
      <c r="S380" s="87"/>
      <c r="T380" s="87">
        <v>2.0</v>
      </c>
      <c r="U380" s="87">
        <v>6369.0</v>
      </c>
      <c r="V380" s="87">
        <v>5194.0</v>
      </c>
      <c r="W380" s="87">
        <v>2.0</v>
      </c>
      <c r="X380" s="87"/>
      <c r="Y380" s="87">
        <v>106.0</v>
      </c>
      <c r="Z380" s="87">
        <v>591.0</v>
      </c>
      <c r="AA380" s="87">
        <v>832.0</v>
      </c>
      <c r="AB380" s="87">
        <v>1022.0</v>
      </c>
      <c r="AC380" s="87">
        <v>1633.0</v>
      </c>
      <c r="AD380" s="87">
        <v>2086.0</v>
      </c>
      <c r="AE380" s="87">
        <v>2412.0</v>
      </c>
      <c r="AF380" s="87">
        <v>2883.0</v>
      </c>
      <c r="AG380" s="87"/>
      <c r="AH380" s="87">
        <v>4222.0</v>
      </c>
      <c r="AI380" s="87">
        <v>7324.0</v>
      </c>
      <c r="AJ380" s="87">
        <v>19.0</v>
      </c>
      <c r="AK380" s="87"/>
      <c r="AL380" s="87">
        <v>4404.0</v>
      </c>
      <c r="AM380" s="87">
        <v>20.0</v>
      </c>
      <c r="AN380" s="87">
        <v>456.0</v>
      </c>
      <c r="AO380" s="87">
        <v>6223.0</v>
      </c>
      <c r="AP380" s="87">
        <v>6.0</v>
      </c>
      <c r="AQ380" s="87">
        <v>249.0</v>
      </c>
      <c r="AR380" s="87">
        <v>207.0</v>
      </c>
      <c r="AS380" s="87">
        <v>10068.0</v>
      </c>
      <c r="AT380" s="87">
        <v>574.0</v>
      </c>
      <c r="AU380" s="87">
        <v>739.0</v>
      </c>
      <c r="AV380" s="87">
        <v>181.0</v>
      </c>
      <c r="AW380" s="87"/>
      <c r="AX380" s="87"/>
      <c r="AY380" s="87"/>
      <c r="AZ380" s="87"/>
      <c r="BA380" s="87">
        <v>3.0</v>
      </c>
      <c r="BB380" s="87"/>
      <c r="BC380" s="87"/>
      <c r="BD380" s="87"/>
      <c r="BE380" s="87">
        <v>10941.0</v>
      </c>
      <c r="BF380" s="87"/>
      <c r="BG380" s="87">
        <v>624.0</v>
      </c>
      <c r="BH380" s="87"/>
      <c r="BI380" s="87">
        <v>64338.0</v>
      </c>
      <c r="BJ380" s="87">
        <v>9897.0</v>
      </c>
      <c r="BK380" s="87">
        <v>281.0</v>
      </c>
      <c r="BL380" s="87">
        <v>344.0</v>
      </c>
      <c r="BM380" s="87"/>
      <c r="BN380" s="87">
        <v>1043.0</v>
      </c>
      <c r="BO380" s="87"/>
      <c r="BP380" s="87">
        <v>6014.0</v>
      </c>
      <c r="BQ380" s="87">
        <v>335.0</v>
      </c>
      <c r="BR380" s="87">
        <v>127.0</v>
      </c>
      <c r="BS380" s="87">
        <v>1843.0</v>
      </c>
      <c r="BT380" s="87">
        <v>46.0</v>
      </c>
      <c r="BU380" s="87">
        <v>33.0</v>
      </c>
      <c r="BV380" s="87">
        <v>444.0</v>
      </c>
      <c r="BW380" s="87">
        <v>613.0</v>
      </c>
      <c r="BX380" s="87">
        <v>1685.0</v>
      </c>
      <c r="BY380" s="87"/>
      <c r="BZ380" s="87"/>
      <c r="CA380" s="87">
        <v>411.0</v>
      </c>
      <c r="CB380" s="87">
        <v>13.0</v>
      </c>
      <c r="CC380" s="87">
        <v>1.0</v>
      </c>
      <c r="CD380" s="87"/>
      <c r="CE380" s="87"/>
      <c r="CF380" s="87"/>
      <c r="CG380" s="87">
        <v>1080.0</v>
      </c>
      <c r="CH380" s="87">
        <v>10483.0</v>
      </c>
      <c r="CI380" s="87">
        <v>2.0</v>
      </c>
      <c r="CJ380" s="87">
        <v>5764.0</v>
      </c>
      <c r="CK380" s="87">
        <v>3092.0</v>
      </c>
      <c r="CL380" s="87">
        <v>1572.0</v>
      </c>
      <c r="CM380" s="87">
        <v>32.0</v>
      </c>
      <c r="CN380" s="87"/>
      <c r="CO380" s="87">
        <v>72.0</v>
      </c>
      <c r="CP380" s="87">
        <v>272.0</v>
      </c>
      <c r="CQ380" s="87">
        <v>245.0</v>
      </c>
      <c r="CR380" s="87">
        <v>512.0</v>
      </c>
      <c r="CS380" s="87">
        <v>4.0</v>
      </c>
      <c r="CT380" s="87">
        <v>2453.0</v>
      </c>
      <c r="CU380" s="87">
        <v>249.0</v>
      </c>
      <c r="CV380" s="87">
        <v>133.0</v>
      </c>
      <c r="CW380" s="87">
        <v>537.0</v>
      </c>
      <c r="CX380" s="87">
        <v>228.0</v>
      </c>
      <c r="CY380" s="87">
        <v>442.0</v>
      </c>
      <c r="CZ380" s="87">
        <v>26.0</v>
      </c>
      <c r="DA380" s="87">
        <v>30.0</v>
      </c>
      <c r="DB380" s="87">
        <v>2358.0</v>
      </c>
      <c r="DC380" s="87">
        <v>543.0</v>
      </c>
      <c r="DD380" s="87">
        <v>1247.0</v>
      </c>
      <c r="DE380" s="87">
        <v>123.0</v>
      </c>
      <c r="DF380" s="87">
        <v>302.0</v>
      </c>
      <c r="DG380" s="87">
        <v>726.0</v>
      </c>
      <c r="DH380" s="87">
        <v>24.0</v>
      </c>
      <c r="DI380" s="87"/>
      <c r="DJ380" s="87">
        <v>3.0</v>
      </c>
      <c r="DK380" s="87">
        <v>240.0</v>
      </c>
      <c r="DL380" s="87">
        <v>1658.0</v>
      </c>
      <c r="DM380" s="87">
        <v>243.0</v>
      </c>
      <c r="DN380" s="87"/>
      <c r="DO380" s="87">
        <v>1002.0</v>
      </c>
      <c r="DP380" s="87">
        <v>1.0</v>
      </c>
      <c r="DQ380" s="87">
        <v>1661.0</v>
      </c>
      <c r="DR380" s="87">
        <v>1172.0</v>
      </c>
      <c r="DS380" s="87">
        <v>5.0</v>
      </c>
      <c r="DT380" s="87"/>
      <c r="DU380" s="87">
        <v>8.0</v>
      </c>
      <c r="DV380" s="87">
        <v>37.0</v>
      </c>
      <c r="DW380" s="87">
        <v>17.0</v>
      </c>
      <c r="DX380" s="87">
        <v>213.0</v>
      </c>
      <c r="DY380" s="87">
        <v>853.0</v>
      </c>
      <c r="DZ380" s="87">
        <v>168.0</v>
      </c>
      <c r="EA380" s="87">
        <v>13.0</v>
      </c>
      <c r="EB380" s="87">
        <v>189.0</v>
      </c>
      <c r="EC380" s="87">
        <v>136.0</v>
      </c>
      <c r="ED380" s="87">
        <v>5824.0</v>
      </c>
      <c r="EE380" s="87">
        <v>266.0</v>
      </c>
      <c r="EF380" s="87">
        <v>6.0</v>
      </c>
      <c r="EG380" s="87">
        <v>317.0</v>
      </c>
      <c r="EH380" s="87">
        <v>1.0</v>
      </c>
      <c r="EI380" s="87">
        <v>91.0</v>
      </c>
      <c r="EJ380" s="87">
        <v>11150.0</v>
      </c>
      <c r="EK380" s="88"/>
      <c r="EL380" s="88"/>
      <c r="EM380" s="88"/>
      <c r="EN380" s="88"/>
      <c r="EO380" s="88"/>
      <c r="EP380" s="88"/>
      <c r="EQ380" s="90"/>
    </row>
    <row r="381" ht="12.0" customHeight="1">
      <c r="A381" s="89">
        <v>1.06430763E8</v>
      </c>
      <c r="B381" s="89" t="s">
        <v>2411</v>
      </c>
      <c r="C381" s="89" t="s">
        <v>2405</v>
      </c>
      <c r="D381" s="89" t="s">
        <v>2412</v>
      </c>
      <c r="E381" s="89" t="s">
        <v>2413</v>
      </c>
      <c r="F381" s="89" t="s">
        <v>2414</v>
      </c>
      <c r="G381" s="89" t="s">
        <v>2415</v>
      </c>
      <c r="H381" s="89" t="s">
        <v>447</v>
      </c>
      <c r="I381" s="89" t="s">
        <v>543</v>
      </c>
      <c r="J381" s="89" t="s">
        <v>448</v>
      </c>
      <c r="K381" s="89" t="s">
        <v>2265</v>
      </c>
      <c r="L381" s="89" t="s">
        <v>905</v>
      </c>
      <c r="M381" s="89" t="s">
        <v>2416</v>
      </c>
      <c r="N381" s="89" t="s">
        <v>441</v>
      </c>
      <c r="O381" s="87">
        <v>24990.0</v>
      </c>
      <c r="P381" s="87"/>
      <c r="Q381" s="87">
        <v>983.0</v>
      </c>
      <c r="R381" s="87"/>
      <c r="S381" s="87">
        <v>455.0</v>
      </c>
      <c r="T381" s="87"/>
      <c r="U381" s="87">
        <v>10249.0</v>
      </c>
      <c r="V381" s="87">
        <v>16175.0</v>
      </c>
      <c r="W381" s="87">
        <v>4.0</v>
      </c>
      <c r="X381" s="87">
        <v>5073.0</v>
      </c>
      <c r="Y381" s="87">
        <v>172.0</v>
      </c>
      <c r="Z381" s="87">
        <v>1657.0</v>
      </c>
      <c r="AA381" s="87">
        <v>4884.0</v>
      </c>
      <c r="AB381" s="87">
        <v>1587.0</v>
      </c>
      <c r="AC381" s="87">
        <v>1942.0</v>
      </c>
      <c r="AD381" s="87">
        <v>2749.0</v>
      </c>
      <c r="AE381" s="87">
        <v>3314.0</v>
      </c>
      <c r="AF381" s="87">
        <v>5050.0</v>
      </c>
      <c r="AG381" s="87"/>
      <c r="AH381" s="87">
        <v>3245.0</v>
      </c>
      <c r="AI381" s="87">
        <v>22378.0</v>
      </c>
      <c r="AJ381" s="87">
        <v>805.0</v>
      </c>
      <c r="AK381" s="87">
        <v>42.0</v>
      </c>
      <c r="AL381" s="87">
        <v>8496.0</v>
      </c>
      <c r="AM381" s="87">
        <v>93.0</v>
      </c>
      <c r="AN381" s="87">
        <v>634.0</v>
      </c>
      <c r="AO381" s="87">
        <v>11335.0</v>
      </c>
      <c r="AP381" s="87">
        <v>41.0</v>
      </c>
      <c r="AQ381" s="87">
        <v>5225.0</v>
      </c>
      <c r="AR381" s="87">
        <v>562.0</v>
      </c>
      <c r="AS381" s="87">
        <v>18832.0</v>
      </c>
      <c r="AT381" s="87">
        <v>841.0</v>
      </c>
      <c r="AU381" s="87">
        <v>454.0</v>
      </c>
      <c r="AV381" s="87">
        <v>862.0</v>
      </c>
      <c r="AW381" s="87">
        <v>112.0</v>
      </c>
      <c r="AX381" s="87">
        <v>228.0</v>
      </c>
      <c r="AY381" s="87">
        <v>1.0</v>
      </c>
      <c r="AZ381" s="87">
        <v>1.0</v>
      </c>
      <c r="BA381" s="87">
        <v>21.0</v>
      </c>
      <c r="BB381" s="87">
        <v>83.0</v>
      </c>
      <c r="BC381" s="87">
        <v>4993.0</v>
      </c>
      <c r="BD381" s="87"/>
      <c r="BE381" s="87">
        <v>13891.0</v>
      </c>
      <c r="BF381" s="87">
        <v>43.0</v>
      </c>
      <c r="BG381" s="87">
        <v>12494.0</v>
      </c>
      <c r="BH381" s="87"/>
      <c r="BI381" s="87">
        <v>122505.0</v>
      </c>
      <c r="BJ381" s="87">
        <v>8470.0</v>
      </c>
      <c r="BK381" s="87">
        <v>8452.0</v>
      </c>
      <c r="BL381" s="87">
        <v>4510.0</v>
      </c>
      <c r="BM381" s="87">
        <v>4993.0</v>
      </c>
      <c r="BN381" s="87">
        <v>1.0</v>
      </c>
      <c r="BO381" s="87">
        <v>2.0</v>
      </c>
      <c r="BP381" s="87">
        <v>18713.0</v>
      </c>
      <c r="BQ381" s="87">
        <v>263.0</v>
      </c>
      <c r="BR381" s="87">
        <v>267.0</v>
      </c>
      <c r="BS381" s="87">
        <v>2588.0</v>
      </c>
      <c r="BT381" s="87">
        <v>119.0</v>
      </c>
      <c r="BU381" s="87">
        <v>1.0</v>
      </c>
      <c r="BV381" s="87">
        <v>365.0</v>
      </c>
      <c r="BW381" s="87">
        <v>477.0</v>
      </c>
      <c r="BX381" s="87">
        <v>3150.0</v>
      </c>
      <c r="BY381" s="87"/>
      <c r="BZ381" s="87">
        <v>9.0</v>
      </c>
      <c r="CA381" s="87">
        <v>396.0</v>
      </c>
      <c r="CB381" s="87">
        <v>72.0</v>
      </c>
      <c r="CC381" s="87">
        <v>7.0</v>
      </c>
      <c r="CD381" s="87">
        <v>1.0</v>
      </c>
      <c r="CE381" s="87"/>
      <c r="CF381" s="87"/>
      <c r="CG381" s="87">
        <v>1994.0</v>
      </c>
      <c r="CH381" s="87">
        <v>24434.0</v>
      </c>
      <c r="CI381" s="87"/>
      <c r="CJ381" s="87">
        <v>8065.0</v>
      </c>
      <c r="CK381" s="87">
        <v>2051.0</v>
      </c>
      <c r="CL381" s="87">
        <v>12433.0</v>
      </c>
      <c r="CM381" s="87">
        <v>83.0</v>
      </c>
      <c r="CN381" s="87"/>
      <c r="CO381" s="87">
        <v>73.0</v>
      </c>
      <c r="CP381" s="87"/>
      <c r="CQ381" s="87"/>
      <c r="CR381" s="87">
        <v>3723.0</v>
      </c>
      <c r="CS381" s="87"/>
      <c r="CT381" s="87">
        <v>1959.0</v>
      </c>
      <c r="CU381" s="87">
        <v>1060.0</v>
      </c>
      <c r="CV381" s="87">
        <v>160.0</v>
      </c>
      <c r="CW381" s="87">
        <v>801.0</v>
      </c>
      <c r="CX381" s="87">
        <v>1336.0</v>
      </c>
      <c r="CY381" s="87">
        <v>526.0</v>
      </c>
      <c r="CZ381" s="87">
        <v>11.0</v>
      </c>
      <c r="DA381" s="87">
        <v>25.0</v>
      </c>
      <c r="DB381" s="87">
        <v>2947.0</v>
      </c>
      <c r="DC381" s="87">
        <v>962.0</v>
      </c>
      <c r="DD381" s="87">
        <v>2043.0</v>
      </c>
      <c r="DE381" s="87">
        <v>285.0</v>
      </c>
      <c r="DF381" s="87">
        <v>895.0</v>
      </c>
      <c r="DG381" s="87">
        <v>952.0</v>
      </c>
      <c r="DH381" s="87">
        <v>5319.0</v>
      </c>
      <c r="DI381" s="87">
        <v>5068.0</v>
      </c>
      <c r="DJ381" s="87">
        <v>16.0</v>
      </c>
      <c r="DK381" s="87">
        <v>306.0</v>
      </c>
      <c r="DL381" s="87">
        <v>1444.0</v>
      </c>
      <c r="DM381" s="87">
        <v>312.0</v>
      </c>
      <c r="DN381" s="87">
        <v>1.0</v>
      </c>
      <c r="DO381" s="87">
        <v>1921.0</v>
      </c>
      <c r="DP381" s="87">
        <v>5060.0</v>
      </c>
      <c r="DQ381" s="87">
        <v>1970.0</v>
      </c>
      <c r="DR381" s="87">
        <v>1865.0</v>
      </c>
      <c r="DS381" s="87">
        <v>4.0</v>
      </c>
      <c r="DT381" s="87">
        <v>11.0</v>
      </c>
      <c r="DU381" s="87"/>
      <c r="DV381" s="87">
        <v>1018.0</v>
      </c>
      <c r="DW381" s="87">
        <v>93.0</v>
      </c>
      <c r="DX381" s="87">
        <v>326.0</v>
      </c>
      <c r="DY381" s="87">
        <v>1174.0</v>
      </c>
      <c r="DZ381" s="87">
        <v>245.0</v>
      </c>
      <c r="EA381" s="87">
        <v>54.0</v>
      </c>
      <c r="EB381" s="87">
        <v>340.0</v>
      </c>
      <c r="EC381" s="87">
        <v>488.0</v>
      </c>
      <c r="ED381" s="87">
        <v>11311.0</v>
      </c>
      <c r="EE381" s="87">
        <v>548.0</v>
      </c>
      <c r="EF381" s="87">
        <v>4.0</v>
      </c>
      <c r="EG381" s="87">
        <v>373.0</v>
      </c>
      <c r="EH381" s="87">
        <v>25.0</v>
      </c>
      <c r="EI381" s="87">
        <v>165.0</v>
      </c>
      <c r="EJ381" s="87">
        <v>25861.0</v>
      </c>
      <c r="EK381" s="88"/>
      <c r="EL381" s="88"/>
      <c r="EM381" s="88"/>
      <c r="EN381" s="88"/>
      <c r="EO381" s="88"/>
      <c r="EP381" s="88"/>
      <c r="EQ381" s="90"/>
    </row>
    <row r="382" ht="12.0" customHeight="1">
      <c r="A382" s="89">
        <v>1.06430779E8</v>
      </c>
      <c r="B382" s="89" t="s">
        <v>2417</v>
      </c>
      <c r="C382" s="89" t="s">
        <v>2405</v>
      </c>
      <c r="D382" s="89" t="s">
        <v>2418</v>
      </c>
      <c r="E382" s="89" t="s">
        <v>2419</v>
      </c>
      <c r="F382" s="89" t="s">
        <v>2408</v>
      </c>
      <c r="G382" s="89" t="s">
        <v>2420</v>
      </c>
      <c r="H382" s="89" t="s">
        <v>503</v>
      </c>
      <c r="I382" s="89" t="s">
        <v>543</v>
      </c>
      <c r="J382" s="89" t="s">
        <v>448</v>
      </c>
      <c r="K382" s="89" t="s">
        <v>449</v>
      </c>
      <c r="L382" s="89" t="s">
        <v>1773</v>
      </c>
      <c r="M382" s="89" t="s">
        <v>2421</v>
      </c>
      <c r="N382" s="89" t="s">
        <v>441</v>
      </c>
      <c r="O382" s="87">
        <v>15750.0</v>
      </c>
      <c r="P382" s="87"/>
      <c r="Q382" s="87">
        <v>574.0</v>
      </c>
      <c r="R382" s="87"/>
      <c r="S382" s="87">
        <v>329.0</v>
      </c>
      <c r="T382" s="87">
        <v>9.0</v>
      </c>
      <c r="U382" s="87">
        <v>6895.0</v>
      </c>
      <c r="V382" s="87">
        <v>9766.0</v>
      </c>
      <c r="W382" s="87">
        <v>1.0</v>
      </c>
      <c r="X382" s="87">
        <v>2607.0</v>
      </c>
      <c r="Y382" s="87">
        <v>293.0</v>
      </c>
      <c r="Z382" s="87">
        <v>768.0</v>
      </c>
      <c r="AA382" s="87">
        <v>2273.0</v>
      </c>
      <c r="AB382" s="87">
        <v>1064.0</v>
      </c>
      <c r="AC382" s="87">
        <v>1380.0</v>
      </c>
      <c r="AD382" s="87">
        <v>2021.0</v>
      </c>
      <c r="AE382" s="87">
        <v>2503.0</v>
      </c>
      <c r="AF382" s="87">
        <v>3752.0</v>
      </c>
      <c r="AG382" s="87">
        <v>1.0</v>
      </c>
      <c r="AH382" s="87">
        <v>2144.0</v>
      </c>
      <c r="AI382" s="87">
        <v>14022.0</v>
      </c>
      <c r="AJ382" s="87">
        <v>496.0</v>
      </c>
      <c r="AK382" s="87">
        <v>13.0</v>
      </c>
      <c r="AL382" s="87">
        <v>4246.0</v>
      </c>
      <c r="AM382" s="87">
        <v>31.0</v>
      </c>
      <c r="AN382" s="87">
        <v>375.0</v>
      </c>
      <c r="AO382" s="87">
        <v>8770.0</v>
      </c>
      <c r="AP382" s="87">
        <v>147.0</v>
      </c>
      <c r="AQ382" s="87">
        <v>2667.0</v>
      </c>
      <c r="AR382" s="87">
        <v>413.0</v>
      </c>
      <c r="AS382" s="87">
        <v>9945.0</v>
      </c>
      <c r="AT382" s="87">
        <v>3648.0</v>
      </c>
      <c r="AU382" s="87">
        <v>997.0</v>
      </c>
      <c r="AV382" s="87">
        <v>60.0</v>
      </c>
      <c r="AW382" s="87">
        <v>17.0</v>
      </c>
      <c r="AX382" s="87"/>
      <c r="AY382" s="87"/>
      <c r="AZ382" s="87"/>
      <c r="BA382" s="87"/>
      <c r="BB382" s="87"/>
      <c r="BC382" s="87">
        <v>1995.0</v>
      </c>
      <c r="BD382" s="87"/>
      <c r="BE382" s="87">
        <v>11042.0</v>
      </c>
      <c r="BF382" s="87"/>
      <c r="BG382" s="87">
        <v>5620.0</v>
      </c>
      <c r="BH382" s="87"/>
      <c r="BI382" s="87">
        <v>83267.0</v>
      </c>
      <c r="BJ382" s="87">
        <v>11071.0</v>
      </c>
      <c r="BK382" s="87">
        <v>454.0</v>
      </c>
      <c r="BL382" s="87">
        <v>3140.0</v>
      </c>
      <c r="BM382" s="87">
        <v>1995.0</v>
      </c>
      <c r="BN382" s="87">
        <v>2.0</v>
      </c>
      <c r="BO382" s="87"/>
      <c r="BP382" s="87">
        <v>10652.0</v>
      </c>
      <c r="BQ382" s="87">
        <v>206.0</v>
      </c>
      <c r="BR382" s="87">
        <v>274.0</v>
      </c>
      <c r="BS382" s="87">
        <v>1811.0</v>
      </c>
      <c r="BT382" s="87">
        <v>85.0</v>
      </c>
      <c r="BU382" s="87"/>
      <c r="BV382" s="87">
        <v>291.0</v>
      </c>
      <c r="BW382" s="87">
        <v>605.0</v>
      </c>
      <c r="BX382" s="87">
        <v>2220.0</v>
      </c>
      <c r="BY382" s="87"/>
      <c r="BZ382" s="87">
        <v>1.0</v>
      </c>
      <c r="CA382" s="87">
        <v>462.0</v>
      </c>
      <c r="CB382" s="87">
        <v>47.0</v>
      </c>
      <c r="CC382" s="87">
        <v>1.0</v>
      </c>
      <c r="CD382" s="87">
        <v>7.0</v>
      </c>
      <c r="CE382" s="87"/>
      <c r="CF382" s="87"/>
      <c r="CG382" s="87">
        <v>1470.0</v>
      </c>
      <c r="CH382" s="87">
        <v>15183.0</v>
      </c>
      <c r="CI382" s="87">
        <v>9.0</v>
      </c>
      <c r="CJ382" s="87">
        <v>6910.0</v>
      </c>
      <c r="CK382" s="87">
        <v>1887.0</v>
      </c>
      <c r="CL382" s="87">
        <v>7061.0</v>
      </c>
      <c r="CM382" s="87">
        <v>27.0</v>
      </c>
      <c r="CN382" s="87"/>
      <c r="CO382" s="87">
        <v>98.0</v>
      </c>
      <c r="CP382" s="87">
        <v>65.0</v>
      </c>
      <c r="CQ382" s="87">
        <v>241.0</v>
      </c>
      <c r="CR382" s="87">
        <v>363.0</v>
      </c>
      <c r="CS382" s="87">
        <v>10.0</v>
      </c>
      <c r="CT382" s="87">
        <v>1740.0</v>
      </c>
      <c r="CU382" s="87">
        <v>531.0</v>
      </c>
      <c r="CV382" s="87">
        <v>195.0</v>
      </c>
      <c r="CW382" s="87">
        <v>694.0</v>
      </c>
      <c r="CX382" s="87">
        <v>774.0</v>
      </c>
      <c r="CY382" s="87">
        <v>531.0</v>
      </c>
      <c r="CZ382" s="87">
        <v>15.0</v>
      </c>
      <c r="DA382" s="87">
        <v>24.0</v>
      </c>
      <c r="DB382" s="87">
        <v>2467.0</v>
      </c>
      <c r="DC382" s="87">
        <v>817.0</v>
      </c>
      <c r="DD382" s="87">
        <v>1599.0</v>
      </c>
      <c r="DE382" s="87">
        <v>138.0</v>
      </c>
      <c r="DF382" s="87">
        <v>511.0</v>
      </c>
      <c r="DG382" s="87">
        <v>551.0</v>
      </c>
      <c r="DH382" s="87">
        <v>2221.0</v>
      </c>
      <c r="DI382" s="87">
        <v>2158.0</v>
      </c>
      <c r="DJ382" s="87">
        <v>21.0</v>
      </c>
      <c r="DK382" s="87">
        <v>319.0</v>
      </c>
      <c r="DL382" s="87">
        <v>1021.0</v>
      </c>
      <c r="DM382" s="87">
        <v>334.0</v>
      </c>
      <c r="DN382" s="87">
        <v>1.0</v>
      </c>
      <c r="DO382" s="87">
        <v>2003.0</v>
      </c>
      <c r="DP382" s="87">
        <v>1551.0</v>
      </c>
      <c r="DQ382" s="87">
        <v>1349.0</v>
      </c>
      <c r="DR382" s="87">
        <v>1573.0</v>
      </c>
      <c r="DS382" s="87">
        <v>5.0</v>
      </c>
      <c r="DT382" s="87">
        <v>12.0</v>
      </c>
      <c r="DU382" s="87">
        <v>3.0</v>
      </c>
      <c r="DV382" s="87">
        <v>552.0</v>
      </c>
      <c r="DW382" s="87">
        <v>50.0</v>
      </c>
      <c r="DX382" s="87">
        <v>278.0</v>
      </c>
      <c r="DY382" s="87">
        <v>958.0</v>
      </c>
      <c r="DZ382" s="87">
        <v>246.0</v>
      </c>
      <c r="EA382" s="87">
        <v>54.0</v>
      </c>
      <c r="EB382" s="87">
        <v>358.0</v>
      </c>
      <c r="EC382" s="87">
        <v>69.0</v>
      </c>
      <c r="ED382" s="87">
        <v>7175.0</v>
      </c>
      <c r="EE382" s="87">
        <v>426.0</v>
      </c>
      <c r="EF382" s="87">
        <v>12.0</v>
      </c>
      <c r="EG382" s="87">
        <v>139.0</v>
      </c>
      <c r="EH382" s="87">
        <v>4.0</v>
      </c>
      <c r="EI382" s="87">
        <v>199.0</v>
      </c>
      <c r="EJ382" s="87">
        <v>16308.0</v>
      </c>
      <c r="EK382" s="88"/>
      <c r="EL382" s="88"/>
      <c r="EM382" s="88"/>
      <c r="EN382" s="88"/>
      <c r="EO382" s="88"/>
      <c r="EP382" s="88"/>
      <c r="EQ382" s="90"/>
    </row>
    <row r="383" ht="12.0" customHeight="1">
      <c r="A383" s="89">
        <v>1.06430837E8</v>
      </c>
      <c r="B383" s="89" t="s">
        <v>2422</v>
      </c>
      <c r="C383" s="89" t="s">
        <v>2405</v>
      </c>
      <c r="D383" s="89" t="s">
        <v>2423</v>
      </c>
      <c r="E383" s="89" t="s">
        <v>2424</v>
      </c>
      <c r="F383" s="89" t="s">
        <v>2408</v>
      </c>
      <c r="G383" s="89" t="s">
        <v>2425</v>
      </c>
      <c r="H383" s="89" t="s">
        <v>435</v>
      </c>
      <c r="I383" s="89" t="s">
        <v>543</v>
      </c>
      <c r="J383" s="89" t="s">
        <v>448</v>
      </c>
      <c r="K383" s="89" t="s">
        <v>486</v>
      </c>
      <c r="L383" s="89" t="s">
        <v>1773</v>
      </c>
      <c r="M383" s="89" t="s">
        <v>2426</v>
      </c>
      <c r="N383" s="89" t="s">
        <v>441</v>
      </c>
      <c r="O383" s="87">
        <v>10734.0</v>
      </c>
      <c r="P383" s="87">
        <v>52.0</v>
      </c>
      <c r="Q383" s="87"/>
      <c r="R383" s="87"/>
      <c r="S383" s="87"/>
      <c r="T383" s="87"/>
      <c r="U383" s="87">
        <v>5003.0</v>
      </c>
      <c r="V383" s="87">
        <v>5783.0</v>
      </c>
      <c r="W383" s="87"/>
      <c r="X383" s="87">
        <v>1162.0</v>
      </c>
      <c r="Y383" s="87">
        <v>138.0</v>
      </c>
      <c r="Z383" s="87">
        <v>923.0</v>
      </c>
      <c r="AA383" s="87">
        <v>1180.0</v>
      </c>
      <c r="AB383" s="87">
        <v>960.0</v>
      </c>
      <c r="AC383" s="87">
        <v>1499.0</v>
      </c>
      <c r="AD383" s="87">
        <v>1773.0</v>
      </c>
      <c r="AE383" s="87">
        <v>1469.0</v>
      </c>
      <c r="AF383" s="87">
        <v>1682.0</v>
      </c>
      <c r="AG383" s="87"/>
      <c r="AH383" s="87">
        <v>4708.0</v>
      </c>
      <c r="AI383" s="87">
        <v>5933.0</v>
      </c>
      <c r="AJ383" s="87">
        <v>145.0</v>
      </c>
      <c r="AK383" s="87">
        <v>42.0</v>
      </c>
      <c r="AL383" s="87">
        <v>2527.0</v>
      </c>
      <c r="AM383" s="87">
        <v>56.0</v>
      </c>
      <c r="AN383" s="87">
        <v>514.0</v>
      </c>
      <c r="AO383" s="87">
        <v>7149.0</v>
      </c>
      <c r="AP383" s="87">
        <v>128.0</v>
      </c>
      <c r="AQ383" s="87">
        <v>192.0</v>
      </c>
      <c r="AR383" s="87">
        <v>178.0</v>
      </c>
      <c r="AS383" s="87">
        <v>8678.0</v>
      </c>
      <c r="AT383" s="87">
        <v>595.0</v>
      </c>
      <c r="AU383" s="87">
        <v>279.0</v>
      </c>
      <c r="AV383" s="87">
        <v>8.0</v>
      </c>
      <c r="AW383" s="87">
        <v>58.0</v>
      </c>
      <c r="AX383" s="87">
        <v>42.0</v>
      </c>
      <c r="AY383" s="87"/>
      <c r="AZ383" s="87">
        <v>2.0</v>
      </c>
      <c r="BA383" s="87">
        <v>1.0</v>
      </c>
      <c r="BB383" s="87">
        <v>4.0</v>
      </c>
      <c r="BC383" s="87">
        <v>1119.0</v>
      </c>
      <c r="BD383" s="87"/>
      <c r="BE383" s="87">
        <v>7884.0</v>
      </c>
      <c r="BF383" s="87">
        <v>278.0</v>
      </c>
      <c r="BG383" s="87">
        <v>2624.0</v>
      </c>
      <c r="BH383" s="87"/>
      <c r="BI383" s="87">
        <v>101295.0</v>
      </c>
      <c r="BJ383" s="87">
        <v>7927.0</v>
      </c>
      <c r="BK383" s="87">
        <v>692.0</v>
      </c>
      <c r="BL383" s="87">
        <v>1045.0</v>
      </c>
      <c r="BM383" s="87">
        <v>1119.0</v>
      </c>
      <c r="BN383" s="87"/>
      <c r="BO383" s="87">
        <v>3.0</v>
      </c>
      <c r="BP383" s="87">
        <v>6857.0</v>
      </c>
      <c r="BQ383" s="87">
        <v>122.0</v>
      </c>
      <c r="BR383" s="87">
        <v>37.0</v>
      </c>
      <c r="BS383" s="87">
        <v>1526.0</v>
      </c>
      <c r="BT383" s="87">
        <v>25.0</v>
      </c>
      <c r="BU383" s="87">
        <v>8.0</v>
      </c>
      <c r="BV383" s="87">
        <v>486.0</v>
      </c>
      <c r="BW383" s="87">
        <v>261.0</v>
      </c>
      <c r="BX383" s="87">
        <v>1286.0</v>
      </c>
      <c r="BY383" s="87"/>
      <c r="BZ383" s="87"/>
      <c r="CA383" s="87">
        <v>156.0</v>
      </c>
      <c r="CB383" s="87">
        <v>4.0</v>
      </c>
      <c r="CC383" s="87">
        <v>2.0</v>
      </c>
      <c r="CD383" s="87">
        <v>12.0</v>
      </c>
      <c r="CE383" s="87">
        <v>4.0</v>
      </c>
      <c r="CF383" s="87"/>
      <c r="CG383" s="87">
        <v>951.0</v>
      </c>
      <c r="CH383" s="87">
        <v>9835.0</v>
      </c>
      <c r="CI383" s="87"/>
      <c r="CJ383" s="87">
        <v>2686.0</v>
      </c>
      <c r="CK383" s="87">
        <v>5436.0</v>
      </c>
      <c r="CL383" s="87">
        <v>1327.0</v>
      </c>
      <c r="CM383" s="87">
        <v>11.0</v>
      </c>
      <c r="CN383" s="87">
        <v>38.0</v>
      </c>
      <c r="CO383" s="87">
        <v>264.0</v>
      </c>
      <c r="CP383" s="87"/>
      <c r="CQ383" s="87">
        <v>1024.0</v>
      </c>
      <c r="CR383" s="87"/>
      <c r="CS383" s="87"/>
      <c r="CT383" s="87">
        <v>1482.0</v>
      </c>
      <c r="CU383" s="87">
        <v>252.0</v>
      </c>
      <c r="CV383" s="87">
        <v>91.0</v>
      </c>
      <c r="CW383" s="87">
        <v>615.0</v>
      </c>
      <c r="CX383" s="87">
        <v>180.0</v>
      </c>
      <c r="CY383" s="87">
        <v>244.0</v>
      </c>
      <c r="CZ383" s="87">
        <v>6.0</v>
      </c>
      <c r="DA383" s="87">
        <v>18.0</v>
      </c>
      <c r="DB383" s="87">
        <v>1713.0</v>
      </c>
      <c r="DC383" s="87">
        <v>602.0</v>
      </c>
      <c r="DD383" s="87">
        <v>1291.0</v>
      </c>
      <c r="DE383" s="87">
        <v>233.0</v>
      </c>
      <c r="DF383" s="87">
        <v>277.0</v>
      </c>
      <c r="DG383" s="87">
        <v>482.0</v>
      </c>
      <c r="DH383" s="87">
        <v>1248.0</v>
      </c>
      <c r="DI383" s="87">
        <v>1148.0</v>
      </c>
      <c r="DJ383" s="87">
        <v>14.0</v>
      </c>
      <c r="DK383" s="87">
        <v>170.0</v>
      </c>
      <c r="DL383" s="87">
        <v>712.0</v>
      </c>
      <c r="DM383" s="87">
        <v>8.0</v>
      </c>
      <c r="DN383" s="87"/>
      <c r="DO383" s="87">
        <v>2365.0</v>
      </c>
      <c r="DP383" s="87">
        <v>1132.0</v>
      </c>
      <c r="DQ383" s="87">
        <v>1131.0</v>
      </c>
      <c r="DR383" s="87">
        <v>1059.0</v>
      </c>
      <c r="DS383" s="87">
        <v>1.0</v>
      </c>
      <c r="DT383" s="87"/>
      <c r="DU383" s="87">
        <v>1.0</v>
      </c>
      <c r="DV383" s="87">
        <v>69.0</v>
      </c>
      <c r="DW383" s="87">
        <v>25.0</v>
      </c>
      <c r="DX383" s="87">
        <v>250.0</v>
      </c>
      <c r="DY383" s="87">
        <v>481.0</v>
      </c>
      <c r="DZ383" s="87">
        <v>80.0</v>
      </c>
      <c r="EA383" s="87">
        <v>34.0</v>
      </c>
      <c r="EB383" s="87">
        <v>216.0</v>
      </c>
      <c r="EC383" s="87">
        <v>154.0</v>
      </c>
      <c r="ED383" s="87">
        <v>3520.0</v>
      </c>
      <c r="EE383" s="87">
        <v>268.0</v>
      </c>
      <c r="EF383" s="87"/>
      <c r="EG383" s="87">
        <v>531.0</v>
      </c>
      <c r="EH383" s="87">
        <v>1.0</v>
      </c>
      <c r="EI383" s="87">
        <v>62.0</v>
      </c>
      <c r="EJ383" s="87">
        <v>10192.0</v>
      </c>
      <c r="EK383" s="88"/>
      <c r="EL383" s="88"/>
      <c r="EM383" s="88"/>
      <c r="EN383" s="88"/>
      <c r="EO383" s="88"/>
      <c r="EP383" s="88"/>
      <c r="EQ383" s="90"/>
    </row>
    <row r="384" ht="12.0" customHeight="1">
      <c r="A384" s="89">
        <v>1.06430883E8</v>
      </c>
      <c r="B384" s="89" t="s">
        <v>2427</v>
      </c>
      <c r="C384" s="89" t="s">
        <v>2405</v>
      </c>
      <c r="D384" s="89" t="s">
        <v>2428</v>
      </c>
      <c r="E384" s="89" t="s">
        <v>2429</v>
      </c>
      <c r="F384" s="89" t="s">
        <v>2408</v>
      </c>
      <c r="G384" s="89" t="s">
        <v>2425</v>
      </c>
      <c r="H384" s="89" t="s">
        <v>435</v>
      </c>
      <c r="I384" s="89" t="s">
        <v>456</v>
      </c>
      <c r="J384" s="89" t="s">
        <v>605</v>
      </c>
      <c r="K384" s="89" t="s">
        <v>449</v>
      </c>
      <c r="L384" s="89" t="s">
        <v>1773</v>
      </c>
      <c r="M384" s="89" t="s">
        <v>2426</v>
      </c>
      <c r="N384" s="89" t="s">
        <v>441</v>
      </c>
      <c r="O384" s="87">
        <v>21464.0</v>
      </c>
      <c r="P384" s="87"/>
      <c r="Q384" s="87">
        <v>286.0</v>
      </c>
      <c r="R384" s="87"/>
      <c r="S384" s="87">
        <v>809.0</v>
      </c>
      <c r="T384" s="87"/>
      <c r="U384" s="87">
        <v>11078.0</v>
      </c>
      <c r="V384" s="87">
        <v>11477.0</v>
      </c>
      <c r="W384" s="87">
        <v>4.0</v>
      </c>
      <c r="X384" s="87">
        <v>4396.0</v>
      </c>
      <c r="Y384" s="87">
        <v>987.0</v>
      </c>
      <c r="Z384" s="87">
        <v>2562.0</v>
      </c>
      <c r="AA384" s="87">
        <v>2893.0</v>
      </c>
      <c r="AB384" s="87">
        <v>2163.0</v>
      </c>
      <c r="AC384" s="87">
        <v>2790.0</v>
      </c>
      <c r="AD384" s="87">
        <v>3385.0</v>
      </c>
      <c r="AE384" s="87">
        <v>1897.0</v>
      </c>
      <c r="AF384" s="87">
        <v>1484.0</v>
      </c>
      <c r="AG384" s="87">
        <v>2.0</v>
      </c>
      <c r="AH384" s="87">
        <v>11765.0</v>
      </c>
      <c r="AI384" s="87">
        <v>10164.0</v>
      </c>
      <c r="AJ384" s="87">
        <v>630.0</v>
      </c>
      <c r="AK384" s="87">
        <v>54.0</v>
      </c>
      <c r="AL384" s="87">
        <v>3963.0</v>
      </c>
      <c r="AM384" s="87">
        <v>142.0</v>
      </c>
      <c r="AN384" s="87">
        <v>1175.0</v>
      </c>
      <c r="AO384" s="87">
        <v>15971.0</v>
      </c>
      <c r="AP384" s="87">
        <v>571.0</v>
      </c>
      <c r="AQ384" s="87">
        <v>188.0</v>
      </c>
      <c r="AR384" s="87">
        <v>495.0</v>
      </c>
      <c r="AS384" s="87">
        <v>13926.0</v>
      </c>
      <c r="AT384" s="87">
        <v>2950.0</v>
      </c>
      <c r="AU384" s="87">
        <v>645.0</v>
      </c>
      <c r="AV384" s="87">
        <v>68.0</v>
      </c>
      <c r="AW384" s="87">
        <v>1328.0</v>
      </c>
      <c r="AX384" s="87">
        <v>394.0</v>
      </c>
      <c r="AY384" s="87"/>
      <c r="AZ384" s="87"/>
      <c r="BA384" s="87">
        <v>153.0</v>
      </c>
      <c r="BB384" s="87">
        <v>117.0</v>
      </c>
      <c r="BC384" s="87">
        <v>2978.0</v>
      </c>
      <c r="BD384" s="87"/>
      <c r="BE384" s="87">
        <v>12477.0</v>
      </c>
      <c r="BF384" s="87">
        <v>589.0</v>
      </c>
      <c r="BG384" s="87">
        <v>9493.0</v>
      </c>
      <c r="BH384" s="87"/>
      <c r="BI384" s="87">
        <v>148893.0</v>
      </c>
      <c r="BJ384" s="87">
        <v>10801.0</v>
      </c>
      <c r="BK384" s="87">
        <v>2043.0</v>
      </c>
      <c r="BL384" s="87">
        <v>5032.0</v>
      </c>
      <c r="BM384" s="87">
        <v>2978.0</v>
      </c>
      <c r="BN384" s="87">
        <v>1700.0</v>
      </c>
      <c r="BO384" s="87">
        <v>5.0</v>
      </c>
      <c r="BP384" s="87">
        <v>17222.0</v>
      </c>
      <c r="BQ384" s="87">
        <v>297.0</v>
      </c>
      <c r="BR384" s="87">
        <v>252.0</v>
      </c>
      <c r="BS384" s="87">
        <v>1757.0</v>
      </c>
      <c r="BT384" s="87">
        <v>145.0</v>
      </c>
      <c r="BU384" s="87">
        <v>123.0</v>
      </c>
      <c r="BV384" s="87">
        <v>634.0</v>
      </c>
      <c r="BW384" s="87">
        <v>409.0</v>
      </c>
      <c r="BX384" s="87">
        <v>1230.0</v>
      </c>
      <c r="BY384" s="87"/>
      <c r="BZ384" s="87">
        <v>3.0</v>
      </c>
      <c r="CA384" s="87">
        <v>170.0</v>
      </c>
      <c r="CB384" s="87">
        <v>114.0</v>
      </c>
      <c r="CC384" s="87">
        <v>2.0</v>
      </c>
      <c r="CD384" s="87">
        <v>96.0</v>
      </c>
      <c r="CE384" s="87">
        <v>105.0</v>
      </c>
      <c r="CF384" s="87"/>
      <c r="CG384" s="87">
        <v>315.0</v>
      </c>
      <c r="CH384" s="87">
        <v>22244.0</v>
      </c>
      <c r="CI384" s="87"/>
      <c r="CJ384" s="87">
        <v>3225.0</v>
      </c>
      <c r="CK384" s="87">
        <v>14573.0</v>
      </c>
      <c r="CL384" s="87">
        <v>2338.0</v>
      </c>
      <c r="CM384" s="87">
        <v>126.0</v>
      </c>
      <c r="CN384" s="87">
        <v>16.0</v>
      </c>
      <c r="CO384" s="87">
        <v>1090.0</v>
      </c>
      <c r="CP384" s="87">
        <v>1.0</v>
      </c>
      <c r="CQ384" s="87">
        <v>1190.0</v>
      </c>
      <c r="CR384" s="87"/>
      <c r="CS384" s="87"/>
      <c r="CT384" s="87">
        <v>1827.0</v>
      </c>
      <c r="CU384" s="87">
        <v>829.0</v>
      </c>
      <c r="CV384" s="87">
        <v>151.0</v>
      </c>
      <c r="CW384" s="87">
        <v>904.0</v>
      </c>
      <c r="CX384" s="87">
        <v>831.0</v>
      </c>
      <c r="CY384" s="87">
        <v>872.0</v>
      </c>
      <c r="CZ384" s="87">
        <v>73.0</v>
      </c>
      <c r="DA384" s="87">
        <v>43.0</v>
      </c>
      <c r="DB384" s="87">
        <v>2408.0</v>
      </c>
      <c r="DC384" s="87">
        <v>1161.0</v>
      </c>
      <c r="DD384" s="87">
        <v>1872.0</v>
      </c>
      <c r="DE384" s="87">
        <v>376.0</v>
      </c>
      <c r="DF384" s="87">
        <v>465.0</v>
      </c>
      <c r="DG384" s="87">
        <v>833.0</v>
      </c>
      <c r="DH384" s="87">
        <v>3167.0</v>
      </c>
      <c r="DI384" s="87">
        <v>3110.0</v>
      </c>
      <c r="DJ384" s="87">
        <v>41.0</v>
      </c>
      <c r="DK384" s="87">
        <v>408.0</v>
      </c>
      <c r="DL384" s="87">
        <v>2952.0</v>
      </c>
      <c r="DM384" s="87">
        <v>222.0</v>
      </c>
      <c r="DN384" s="87">
        <v>14.0</v>
      </c>
      <c r="DO384" s="87">
        <v>5226.0</v>
      </c>
      <c r="DP384" s="87">
        <v>2919.0</v>
      </c>
      <c r="DQ384" s="87">
        <v>1236.0</v>
      </c>
      <c r="DR384" s="87">
        <v>1590.0</v>
      </c>
      <c r="DS384" s="87">
        <v>23.0</v>
      </c>
      <c r="DT384" s="87">
        <v>38.0</v>
      </c>
      <c r="DU384" s="87">
        <v>22.0</v>
      </c>
      <c r="DV384" s="87">
        <v>285.0</v>
      </c>
      <c r="DW384" s="87">
        <v>92.0</v>
      </c>
      <c r="DX384" s="87">
        <v>775.0</v>
      </c>
      <c r="DY384" s="87">
        <v>1202.0</v>
      </c>
      <c r="DZ384" s="87">
        <v>390.0</v>
      </c>
      <c r="EA384" s="87">
        <v>127.0</v>
      </c>
      <c r="EB384" s="87">
        <v>324.0</v>
      </c>
      <c r="EC384" s="87">
        <v>288.0</v>
      </c>
      <c r="ED384" s="87">
        <v>7659.0</v>
      </c>
      <c r="EE384" s="87">
        <v>363.0</v>
      </c>
      <c r="EF384" s="87"/>
      <c r="EG384" s="87">
        <v>1077.0</v>
      </c>
      <c r="EH384" s="87"/>
      <c r="EI384" s="87">
        <v>124.0</v>
      </c>
      <c r="EJ384" s="87">
        <v>21358.0</v>
      </c>
      <c r="EK384" s="88"/>
      <c r="EL384" s="88"/>
      <c r="EM384" s="88"/>
      <c r="EN384" s="88"/>
      <c r="EO384" s="88"/>
      <c r="EP384" s="88"/>
      <c r="EQ384" s="90"/>
    </row>
    <row r="385" ht="12.0" customHeight="1">
      <c r="A385" s="89">
        <v>1.06430905E8</v>
      </c>
      <c r="B385" s="89" t="s">
        <v>2430</v>
      </c>
      <c r="C385" s="89" t="s">
        <v>2405</v>
      </c>
      <c r="D385" s="89" t="s">
        <v>2431</v>
      </c>
      <c r="E385" s="89" t="s">
        <v>2432</v>
      </c>
      <c r="F385" s="89" t="s">
        <v>2433</v>
      </c>
      <c r="G385" s="89" t="s">
        <v>2434</v>
      </c>
      <c r="H385" s="89" t="s">
        <v>447</v>
      </c>
      <c r="I385" s="89" t="s">
        <v>456</v>
      </c>
      <c r="J385" s="89" t="s">
        <v>469</v>
      </c>
      <c r="K385" s="89" t="s">
        <v>2265</v>
      </c>
      <c r="L385" s="89" t="s">
        <v>905</v>
      </c>
      <c r="M385" s="89" t="s">
        <v>2416</v>
      </c>
      <c r="N385" s="89" t="s">
        <v>441</v>
      </c>
      <c r="O385" s="87">
        <v>31179.0</v>
      </c>
      <c r="P385" s="87"/>
      <c r="Q385" s="87">
        <v>562.0</v>
      </c>
      <c r="R385" s="87"/>
      <c r="S385" s="87"/>
      <c r="T385" s="87"/>
      <c r="U385" s="87">
        <v>16316.0</v>
      </c>
      <c r="V385" s="87">
        <v>15422.0</v>
      </c>
      <c r="W385" s="87">
        <v>3.0</v>
      </c>
      <c r="X385" s="87"/>
      <c r="Y385" s="87">
        <v>267.0</v>
      </c>
      <c r="Z385" s="87">
        <v>1988.0</v>
      </c>
      <c r="AA385" s="87">
        <v>2797.0</v>
      </c>
      <c r="AB385" s="87">
        <v>3274.0</v>
      </c>
      <c r="AC385" s="87">
        <v>5013.0</v>
      </c>
      <c r="AD385" s="87">
        <v>7139.0</v>
      </c>
      <c r="AE385" s="87">
        <v>6283.0</v>
      </c>
      <c r="AF385" s="87">
        <v>4978.0</v>
      </c>
      <c r="AG385" s="87">
        <v>2.0</v>
      </c>
      <c r="AH385" s="87">
        <v>6877.0</v>
      </c>
      <c r="AI385" s="87">
        <v>24523.0</v>
      </c>
      <c r="AJ385" s="87">
        <v>341.0</v>
      </c>
      <c r="AK385" s="87">
        <v>104.0</v>
      </c>
      <c r="AL385" s="87">
        <v>5244.0</v>
      </c>
      <c r="AM385" s="87">
        <v>447.0</v>
      </c>
      <c r="AN385" s="87">
        <v>1586.0</v>
      </c>
      <c r="AO385" s="87">
        <v>15703.0</v>
      </c>
      <c r="AP385" s="87">
        <v>281.0</v>
      </c>
      <c r="AQ385" s="87">
        <v>7586.0</v>
      </c>
      <c r="AR385" s="87">
        <v>790.0</v>
      </c>
      <c r="AS385" s="87">
        <v>28192.0</v>
      </c>
      <c r="AT385" s="87">
        <v>896.0</v>
      </c>
      <c r="AU385" s="87">
        <v>1933.0</v>
      </c>
      <c r="AV385" s="87">
        <v>532.0</v>
      </c>
      <c r="AW385" s="87">
        <v>57.0</v>
      </c>
      <c r="AX385" s="87">
        <v>92.0</v>
      </c>
      <c r="AY385" s="87">
        <v>22.0</v>
      </c>
      <c r="AZ385" s="87">
        <v>7.0</v>
      </c>
      <c r="BA385" s="87">
        <v>5.0</v>
      </c>
      <c r="BB385" s="87">
        <v>5.0</v>
      </c>
      <c r="BC385" s="87"/>
      <c r="BD385" s="87"/>
      <c r="BE385" s="87">
        <v>18535.0</v>
      </c>
      <c r="BF385" s="87">
        <v>265.0</v>
      </c>
      <c r="BG385" s="87">
        <v>12941.0</v>
      </c>
      <c r="BH385" s="87"/>
      <c r="BI385" s="87">
        <v>226514.0</v>
      </c>
      <c r="BJ385" s="87">
        <v>18570.0</v>
      </c>
      <c r="BK385" s="87">
        <v>2345.0</v>
      </c>
      <c r="BL385" s="87">
        <v>9801.0</v>
      </c>
      <c r="BM385" s="87"/>
      <c r="BN385" s="87">
        <v>1025.0</v>
      </c>
      <c r="BO385" s="87"/>
      <c r="BP385" s="87">
        <v>18067.0</v>
      </c>
      <c r="BQ385" s="87">
        <v>502.0</v>
      </c>
      <c r="BR385" s="87">
        <v>599.0</v>
      </c>
      <c r="BS385" s="87">
        <v>3316.0</v>
      </c>
      <c r="BT385" s="87">
        <v>22.0</v>
      </c>
      <c r="BU385" s="87">
        <v>13.0</v>
      </c>
      <c r="BV385" s="87"/>
      <c r="BW385" s="87">
        <v>840.0</v>
      </c>
      <c r="BX385" s="87">
        <v>7650.0</v>
      </c>
      <c r="BY385" s="87"/>
      <c r="BZ385" s="87">
        <v>8.0</v>
      </c>
      <c r="CA385" s="87">
        <v>626.0</v>
      </c>
      <c r="CB385" s="87">
        <v>80.0</v>
      </c>
      <c r="CC385" s="87"/>
      <c r="CD385" s="87"/>
      <c r="CE385" s="87">
        <v>18.0</v>
      </c>
      <c r="CF385" s="87"/>
      <c r="CG385" s="87">
        <v>1927.0</v>
      </c>
      <c r="CH385" s="87">
        <v>29814.0</v>
      </c>
      <c r="CI385" s="87"/>
      <c r="CJ385" s="87">
        <v>15123.0</v>
      </c>
      <c r="CK385" s="87">
        <v>5673.0</v>
      </c>
      <c r="CL385" s="87">
        <v>8929.0</v>
      </c>
      <c r="CM385" s="87">
        <v>108.0</v>
      </c>
      <c r="CN385" s="87"/>
      <c r="CO385" s="87">
        <v>233.0</v>
      </c>
      <c r="CP385" s="87"/>
      <c r="CQ385" s="87">
        <v>787.0</v>
      </c>
      <c r="CR385" s="87">
        <v>888.0</v>
      </c>
      <c r="CS385" s="87"/>
      <c r="CT385" s="87">
        <v>2258.0</v>
      </c>
      <c r="CU385" s="87">
        <v>4921.0</v>
      </c>
      <c r="CV385" s="87">
        <v>378.0</v>
      </c>
      <c r="CW385" s="87">
        <v>1263.0</v>
      </c>
      <c r="CX385" s="87">
        <v>1106.0</v>
      </c>
      <c r="CY385" s="87">
        <v>1438.0</v>
      </c>
      <c r="CZ385" s="87">
        <v>57.0</v>
      </c>
      <c r="DA385" s="87">
        <v>29.0</v>
      </c>
      <c r="DB385" s="87">
        <v>5223.0</v>
      </c>
      <c r="DC385" s="87">
        <v>1244.0</v>
      </c>
      <c r="DD385" s="87">
        <v>3509.0</v>
      </c>
      <c r="DE385" s="87">
        <v>357.0</v>
      </c>
      <c r="DF385" s="87">
        <v>2134.0</v>
      </c>
      <c r="DG385" s="87">
        <v>1195.0</v>
      </c>
      <c r="DH385" s="87">
        <v>149.0</v>
      </c>
      <c r="DI385" s="87"/>
      <c r="DJ385" s="87">
        <v>346.0</v>
      </c>
      <c r="DK385" s="87">
        <v>504.0</v>
      </c>
      <c r="DL385" s="87">
        <v>4260.0</v>
      </c>
      <c r="DM385" s="87">
        <v>1366.0</v>
      </c>
      <c r="DN385" s="87">
        <v>4.0</v>
      </c>
      <c r="DO385" s="87">
        <v>3624.0</v>
      </c>
      <c r="DP385" s="87">
        <v>13.0</v>
      </c>
      <c r="DQ385" s="87">
        <v>4041.0</v>
      </c>
      <c r="DR385" s="87">
        <v>4251.0</v>
      </c>
      <c r="DS385" s="87">
        <v>71.0</v>
      </c>
      <c r="DT385" s="87">
        <v>257.0</v>
      </c>
      <c r="DU385" s="87">
        <v>50.0</v>
      </c>
      <c r="DV385" s="87">
        <v>392.0</v>
      </c>
      <c r="DW385" s="87">
        <v>698.0</v>
      </c>
      <c r="DX385" s="87">
        <v>893.0</v>
      </c>
      <c r="DY385" s="87">
        <v>3305.0</v>
      </c>
      <c r="DZ385" s="87">
        <v>1482.0</v>
      </c>
      <c r="EA385" s="87">
        <v>234.0</v>
      </c>
      <c r="EB385" s="87">
        <v>1276.0</v>
      </c>
      <c r="EC385" s="87">
        <v>835.0</v>
      </c>
      <c r="ED385" s="87">
        <v>9188.0</v>
      </c>
      <c r="EE385" s="87">
        <v>1131.0</v>
      </c>
      <c r="EF385" s="87">
        <v>17.0</v>
      </c>
      <c r="EG385" s="87">
        <v>664.0</v>
      </c>
      <c r="EH385" s="87">
        <v>30.0</v>
      </c>
      <c r="EI385" s="87">
        <v>1074.0</v>
      </c>
      <c r="EJ385" s="87">
        <v>29956.0</v>
      </c>
      <c r="EK385" s="88"/>
      <c r="EL385" s="88"/>
      <c r="EM385" s="88"/>
      <c r="EN385" s="88"/>
      <c r="EO385" s="88"/>
      <c r="EP385" s="88"/>
      <c r="EQ385" s="90"/>
    </row>
    <row r="386" ht="12.0" customHeight="1">
      <c r="A386" s="89">
        <v>1.06431506E8</v>
      </c>
      <c r="B386" s="89" t="s">
        <v>2435</v>
      </c>
      <c r="C386" s="89" t="s">
        <v>2405</v>
      </c>
      <c r="D386" s="89" t="s">
        <v>2436</v>
      </c>
      <c r="E386" s="89" t="s">
        <v>2437</v>
      </c>
      <c r="F386" s="89" t="s">
        <v>2408</v>
      </c>
      <c r="G386" s="89" t="s">
        <v>2438</v>
      </c>
      <c r="H386" s="89" t="s">
        <v>447</v>
      </c>
      <c r="I386" s="89" t="s">
        <v>456</v>
      </c>
      <c r="J386" s="89" t="s">
        <v>469</v>
      </c>
      <c r="K386" s="89" t="s">
        <v>1504</v>
      </c>
      <c r="L386" s="89" t="s">
        <v>1505</v>
      </c>
      <c r="M386" s="89" t="s">
        <v>2439</v>
      </c>
      <c r="N386" s="89" t="s">
        <v>441</v>
      </c>
      <c r="O386" s="87">
        <v>13617.0</v>
      </c>
      <c r="P386" s="87"/>
      <c r="Q386" s="87"/>
      <c r="R386" s="87"/>
      <c r="S386" s="87"/>
      <c r="T386" s="87"/>
      <c r="U386" s="87">
        <v>6002.0</v>
      </c>
      <c r="V386" s="87">
        <v>7615.0</v>
      </c>
      <c r="W386" s="87"/>
      <c r="X386" s="87">
        <v>2365.0</v>
      </c>
      <c r="Y386" s="87">
        <v>78.0</v>
      </c>
      <c r="Z386" s="87">
        <v>1044.0</v>
      </c>
      <c r="AA386" s="87">
        <v>1969.0</v>
      </c>
      <c r="AB386" s="87">
        <v>844.0</v>
      </c>
      <c r="AC386" s="87">
        <v>1241.0</v>
      </c>
      <c r="AD386" s="87">
        <v>1834.0</v>
      </c>
      <c r="AE386" s="87">
        <v>1963.0</v>
      </c>
      <c r="AF386" s="87">
        <v>2278.0</v>
      </c>
      <c r="AG386" s="87">
        <v>1.0</v>
      </c>
      <c r="AH386" s="87">
        <v>4686.0</v>
      </c>
      <c r="AI386" s="87">
        <v>8783.0</v>
      </c>
      <c r="AJ386" s="87">
        <v>148.0</v>
      </c>
      <c r="AK386" s="87">
        <v>50.0</v>
      </c>
      <c r="AL386" s="87">
        <v>2643.0</v>
      </c>
      <c r="AM386" s="87">
        <v>98.0</v>
      </c>
      <c r="AN386" s="87">
        <v>485.0</v>
      </c>
      <c r="AO386" s="87">
        <v>5628.0</v>
      </c>
      <c r="AP386" s="87">
        <v>140.0</v>
      </c>
      <c r="AQ386" s="87">
        <v>4464.0</v>
      </c>
      <c r="AR386" s="87">
        <v>109.0</v>
      </c>
      <c r="AS386" s="87">
        <v>10680.0</v>
      </c>
      <c r="AT386" s="87">
        <v>100.0</v>
      </c>
      <c r="AU386" s="87">
        <v>308.0</v>
      </c>
      <c r="AV386" s="87">
        <v>133.0</v>
      </c>
      <c r="AW386" s="87">
        <v>67.0</v>
      </c>
      <c r="AX386" s="87">
        <v>1.0</v>
      </c>
      <c r="AY386" s="87">
        <v>1.0</v>
      </c>
      <c r="AZ386" s="87"/>
      <c r="BA386" s="87"/>
      <c r="BB386" s="87">
        <v>28.0</v>
      </c>
      <c r="BC386" s="87">
        <v>2298.0</v>
      </c>
      <c r="BD386" s="87">
        <v>1.0</v>
      </c>
      <c r="BE386" s="87">
        <v>6524.0</v>
      </c>
      <c r="BF386" s="87">
        <v>53.0</v>
      </c>
      <c r="BG386" s="87">
        <v>7040.0</v>
      </c>
      <c r="BH386" s="87"/>
      <c r="BI386" s="87">
        <v>50296.0</v>
      </c>
      <c r="BJ386" s="87">
        <v>1777.0</v>
      </c>
      <c r="BK386" s="87">
        <v>7872.0</v>
      </c>
      <c r="BL386" s="87">
        <v>1656.0</v>
      </c>
      <c r="BM386" s="87">
        <v>2298.0</v>
      </c>
      <c r="BN386" s="87"/>
      <c r="BO386" s="87">
        <v>14.0</v>
      </c>
      <c r="BP386" s="87">
        <v>9501.0</v>
      </c>
      <c r="BQ386" s="87">
        <v>363.0</v>
      </c>
      <c r="BR386" s="87">
        <v>33.0</v>
      </c>
      <c r="BS386" s="87">
        <v>764.0</v>
      </c>
      <c r="BT386" s="87">
        <v>6.0</v>
      </c>
      <c r="BU386" s="87"/>
      <c r="BV386" s="87">
        <v>117.0</v>
      </c>
      <c r="BW386" s="87">
        <v>337.0</v>
      </c>
      <c r="BX386" s="87">
        <v>2205.0</v>
      </c>
      <c r="BY386" s="87"/>
      <c r="BZ386" s="87"/>
      <c r="CA386" s="87">
        <v>253.0</v>
      </c>
      <c r="CB386" s="87">
        <v>21.0</v>
      </c>
      <c r="CC386" s="87">
        <v>1.0</v>
      </c>
      <c r="CD386" s="87">
        <v>10.0</v>
      </c>
      <c r="CE386" s="87">
        <v>6.0</v>
      </c>
      <c r="CF386" s="87"/>
      <c r="CG386" s="87">
        <v>1396.0</v>
      </c>
      <c r="CH386" s="87">
        <v>12221.0</v>
      </c>
      <c r="CI386" s="87"/>
      <c r="CJ386" s="87">
        <v>5081.0</v>
      </c>
      <c r="CK386" s="87">
        <v>944.0</v>
      </c>
      <c r="CL386" s="87">
        <v>7433.0</v>
      </c>
      <c r="CM386" s="87">
        <v>18.0</v>
      </c>
      <c r="CN386" s="87"/>
      <c r="CO386" s="87">
        <v>4.0</v>
      </c>
      <c r="CP386" s="87"/>
      <c r="CQ386" s="87">
        <v>134.0</v>
      </c>
      <c r="CR386" s="87">
        <v>3.0</v>
      </c>
      <c r="CS386" s="87"/>
      <c r="CT386" s="87">
        <v>2024.0</v>
      </c>
      <c r="CU386" s="87">
        <v>363.0</v>
      </c>
      <c r="CV386" s="87">
        <v>113.0</v>
      </c>
      <c r="CW386" s="87">
        <v>334.0</v>
      </c>
      <c r="CX386" s="87">
        <v>173.0</v>
      </c>
      <c r="CY386" s="87">
        <v>196.0</v>
      </c>
      <c r="CZ386" s="87">
        <v>6.0</v>
      </c>
      <c r="DA386" s="87">
        <v>6.0</v>
      </c>
      <c r="DB386" s="87">
        <v>1641.0</v>
      </c>
      <c r="DC386" s="87">
        <v>505.0</v>
      </c>
      <c r="DD386" s="87">
        <v>1122.0</v>
      </c>
      <c r="DE386" s="87">
        <v>149.0</v>
      </c>
      <c r="DF386" s="87">
        <v>780.0</v>
      </c>
      <c r="DG386" s="87">
        <v>418.0</v>
      </c>
      <c r="DH386" s="87">
        <v>2437.0</v>
      </c>
      <c r="DI386" s="87">
        <v>2360.0</v>
      </c>
      <c r="DJ386" s="87">
        <v>8.0</v>
      </c>
      <c r="DK386" s="87">
        <v>217.0</v>
      </c>
      <c r="DL386" s="87">
        <v>715.0</v>
      </c>
      <c r="DM386" s="87">
        <v>50.0</v>
      </c>
      <c r="DN386" s="87"/>
      <c r="DO386" s="87">
        <v>3630.0</v>
      </c>
      <c r="DP386" s="87">
        <v>2285.0</v>
      </c>
      <c r="DQ386" s="87">
        <v>950.0</v>
      </c>
      <c r="DR386" s="87">
        <v>1336.0</v>
      </c>
      <c r="DS386" s="87">
        <v>2.0</v>
      </c>
      <c r="DT386" s="87">
        <v>7.0</v>
      </c>
      <c r="DU386" s="87">
        <v>2.0</v>
      </c>
      <c r="DV386" s="87">
        <v>450.0</v>
      </c>
      <c r="DW386" s="87">
        <v>30.0</v>
      </c>
      <c r="DX386" s="87">
        <v>227.0</v>
      </c>
      <c r="DY386" s="87">
        <v>838.0</v>
      </c>
      <c r="DZ386" s="87">
        <v>444.0</v>
      </c>
      <c r="EA386" s="87">
        <v>55.0</v>
      </c>
      <c r="EB386" s="87">
        <v>163.0</v>
      </c>
      <c r="EC386" s="87">
        <v>255.0</v>
      </c>
      <c r="ED386" s="87">
        <v>2510.0</v>
      </c>
      <c r="EE386" s="87">
        <v>433.0</v>
      </c>
      <c r="EF386" s="87"/>
      <c r="EG386" s="87">
        <v>95.0</v>
      </c>
      <c r="EH386" s="87"/>
      <c r="EI386" s="87">
        <v>24.0</v>
      </c>
      <c r="EJ386" s="87">
        <v>13498.0</v>
      </c>
      <c r="EK386" s="88"/>
      <c r="EL386" s="88"/>
      <c r="EM386" s="88"/>
      <c r="EN386" s="88"/>
      <c r="EO386" s="88"/>
      <c r="EP386" s="88"/>
      <c r="EQ386" s="90"/>
    </row>
    <row r="387" ht="12.0" customHeight="1">
      <c r="A387" s="89">
        <v>1.06434032E8</v>
      </c>
      <c r="B387" s="89" t="s">
        <v>2440</v>
      </c>
      <c r="C387" s="89" t="s">
        <v>2405</v>
      </c>
      <c r="D387" s="89" t="s">
        <v>2441</v>
      </c>
      <c r="E387" s="89" t="s">
        <v>2442</v>
      </c>
      <c r="F387" s="89" t="s">
        <v>2408</v>
      </c>
      <c r="G387" s="89" t="s">
        <v>2443</v>
      </c>
      <c r="H387" s="89" t="s">
        <v>475</v>
      </c>
      <c r="I387" s="89" t="s">
        <v>456</v>
      </c>
      <c r="J387" s="89" t="s">
        <v>437</v>
      </c>
      <c r="K387" s="89" t="s">
        <v>1504</v>
      </c>
      <c r="L387" s="89" t="s">
        <v>1041</v>
      </c>
      <c r="M387" s="89" t="s">
        <v>2444</v>
      </c>
      <c r="N387" s="89" t="s">
        <v>441</v>
      </c>
      <c r="O387" s="87"/>
      <c r="P387" s="87"/>
      <c r="Q387" s="87">
        <v>3084.0</v>
      </c>
      <c r="R387" s="87"/>
      <c r="S387" s="87"/>
      <c r="T387" s="87"/>
      <c r="U387" s="87">
        <v>1650.0</v>
      </c>
      <c r="V387" s="87">
        <v>1434.0</v>
      </c>
      <c r="W387" s="87"/>
      <c r="X387" s="87"/>
      <c r="Y387" s="87">
        <v>976.0</v>
      </c>
      <c r="Z387" s="87">
        <v>809.0</v>
      </c>
      <c r="AA387" s="87">
        <v>564.0</v>
      </c>
      <c r="AB387" s="87">
        <v>393.0</v>
      </c>
      <c r="AC387" s="87">
        <v>222.0</v>
      </c>
      <c r="AD387" s="87">
        <v>107.0</v>
      </c>
      <c r="AE387" s="87">
        <v>12.0</v>
      </c>
      <c r="AF387" s="87"/>
      <c r="AG387" s="87">
        <v>1.0</v>
      </c>
      <c r="AH387" s="87">
        <v>795.0</v>
      </c>
      <c r="AI387" s="87">
        <v>2129.0</v>
      </c>
      <c r="AJ387" s="87">
        <v>160.0</v>
      </c>
      <c r="AK387" s="87">
        <v>34.0</v>
      </c>
      <c r="AL387" s="87">
        <v>284.0</v>
      </c>
      <c r="AM387" s="87"/>
      <c r="AN387" s="87">
        <v>134.0</v>
      </c>
      <c r="AO387" s="87">
        <v>1829.0</v>
      </c>
      <c r="AP387" s="87">
        <v>348.0</v>
      </c>
      <c r="AQ387" s="87">
        <v>455.0</v>
      </c>
      <c r="AR387" s="87"/>
      <c r="AS387" s="87">
        <v>123.0</v>
      </c>
      <c r="AT387" s="87">
        <v>2.0</v>
      </c>
      <c r="AU387" s="87">
        <v>2871.0</v>
      </c>
      <c r="AV387" s="87">
        <v>3.0</v>
      </c>
      <c r="AW387" s="87">
        <v>66.0</v>
      </c>
      <c r="AX387" s="87"/>
      <c r="AY387" s="87"/>
      <c r="AZ387" s="87"/>
      <c r="BA387" s="87">
        <v>1.0</v>
      </c>
      <c r="BB387" s="87">
        <v>18.0</v>
      </c>
      <c r="BC387" s="87"/>
      <c r="BD387" s="87"/>
      <c r="BE387" s="87"/>
      <c r="BF387" s="87">
        <v>2871.0</v>
      </c>
      <c r="BG387" s="87">
        <v>213.0</v>
      </c>
      <c r="BH387" s="87"/>
      <c r="BI387" s="87">
        <v>26156.0</v>
      </c>
      <c r="BJ387" s="87">
        <v>2167.0</v>
      </c>
      <c r="BK387" s="87">
        <v>900.0</v>
      </c>
      <c r="BL387" s="87">
        <v>15.0</v>
      </c>
      <c r="BM387" s="87"/>
      <c r="BN387" s="87"/>
      <c r="BO387" s="87">
        <v>2.0</v>
      </c>
      <c r="BP387" s="87">
        <v>2484.0</v>
      </c>
      <c r="BQ387" s="87">
        <v>44.0</v>
      </c>
      <c r="BR387" s="87">
        <v>176.0</v>
      </c>
      <c r="BS387" s="87">
        <v>68.0</v>
      </c>
      <c r="BT387" s="87"/>
      <c r="BU387" s="87">
        <v>16.0</v>
      </c>
      <c r="BV387" s="87">
        <v>282.0</v>
      </c>
      <c r="BW387" s="87"/>
      <c r="BX387" s="87"/>
      <c r="BY387" s="87"/>
      <c r="BZ387" s="87"/>
      <c r="CA387" s="87"/>
      <c r="CB387" s="87">
        <v>5.0</v>
      </c>
      <c r="CC387" s="87">
        <v>7.0</v>
      </c>
      <c r="CD387" s="87">
        <v>2.0</v>
      </c>
      <c r="CE387" s="87"/>
      <c r="CF387" s="87"/>
      <c r="CG387" s="87"/>
      <c r="CH387" s="87">
        <v>3084.0</v>
      </c>
      <c r="CI387" s="87"/>
      <c r="CJ387" s="87">
        <v>411.0</v>
      </c>
      <c r="CK387" s="87">
        <v>316.0</v>
      </c>
      <c r="CL387" s="87">
        <v>2356.0</v>
      </c>
      <c r="CM387" s="87"/>
      <c r="CN387" s="87"/>
      <c r="CO387" s="87">
        <v>1.0</v>
      </c>
      <c r="CP387" s="87"/>
      <c r="CQ387" s="87"/>
      <c r="CR387" s="87"/>
      <c r="CS387" s="87"/>
      <c r="CT387" s="87"/>
      <c r="CU387" s="87"/>
      <c r="CV387" s="87"/>
      <c r="CW387" s="87"/>
      <c r="CX387" s="87">
        <v>3084.0</v>
      </c>
      <c r="CY387" s="87"/>
      <c r="CZ387" s="87"/>
      <c r="DA387" s="87"/>
      <c r="DB387" s="87"/>
      <c r="DC387" s="87"/>
      <c r="DD387" s="87"/>
      <c r="DE387" s="87"/>
      <c r="DF387" s="87"/>
      <c r="DG387" s="87"/>
      <c r="DH387" s="87"/>
      <c r="DI387" s="87"/>
      <c r="DJ387" s="87"/>
      <c r="DK387" s="87"/>
      <c r="DL387" s="87"/>
      <c r="DM387" s="87"/>
      <c r="DN387" s="87"/>
      <c r="DO387" s="87">
        <v>226.0</v>
      </c>
      <c r="DP387" s="87"/>
      <c r="DQ387" s="87"/>
      <c r="DR387" s="87"/>
      <c r="DS387" s="87"/>
      <c r="DT387" s="87"/>
      <c r="DU387" s="87"/>
      <c r="DV387" s="87"/>
      <c r="DW387" s="87"/>
      <c r="DX387" s="87"/>
      <c r="DY387" s="87"/>
      <c r="DZ387" s="87"/>
      <c r="EA387" s="87"/>
      <c r="EB387" s="87"/>
      <c r="EC387" s="87"/>
      <c r="ED387" s="87">
        <v>2858.0</v>
      </c>
      <c r="EE387" s="87"/>
      <c r="EF387" s="87">
        <v>1.0</v>
      </c>
      <c r="EG387" s="87">
        <v>529.0</v>
      </c>
      <c r="EH387" s="87"/>
      <c r="EI387" s="87">
        <v>17.0</v>
      </c>
      <c r="EJ387" s="87">
        <v>2537.0</v>
      </c>
      <c r="EK387" s="88"/>
      <c r="EL387" s="88"/>
      <c r="EM387" s="88"/>
      <c r="EN387" s="88"/>
      <c r="EO387" s="88"/>
      <c r="EP387" s="88"/>
      <c r="EQ387" s="90"/>
    </row>
    <row r="388" ht="12.0" customHeight="1">
      <c r="A388" s="89">
        <v>1.0643404E8</v>
      </c>
      <c r="B388" s="89" t="s">
        <v>2445</v>
      </c>
      <c r="C388" s="89" t="s">
        <v>2405</v>
      </c>
      <c r="D388" s="89" t="s">
        <v>2446</v>
      </c>
      <c r="E388" s="89" t="s">
        <v>2447</v>
      </c>
      <c r="F388" s="89" t="s">
        <v>2433</v>
      </c>
      <c r="G388" s="89" t="s">
        <v>2448</v>
      </c>
      <c r="H388" s="89" t="s">
        <v>447</v>
      </c>
      <c r="I388" s="89" t="s">
        <v>456</v>
      </c>
      <c r="J388" s="89" t="s">
        <v>448</v>
      </c>
      <c r="K388" s="89" t="s">
        <v>2265</v>
      </c>
      <c r="L388" s="89" t="s">
        <v>905</v>
      </c>
      <c r="M388" s="89" t="s">
        <v>2416</v>
      </c>
      <c r="N388" s="89" t="s">
        <v>441</v>
      </c>
      <c r="O388" s="87">
        <v>18342.0</v>
      </c>
      <c r="P388" s="87"/>
      <c r="Q388" s="87"/>
      <c r="R388" s="87"/>
      <c r="S388" s="87"/>
      <c r="T388" s="87"/>
      <c r="U388" s="87">
        <v>6702.0</v>
      </c>
      <c r="V388" s="87">
        <v>11639.0</v>
      </c>
      <c r="W388" s="87">
        <v>1.0</v>
      </c>
      <c r="X388" s="87">
        <v>9713.0</v>
      </c>
      <c r="Y388" s="87">
        <v>3064.0</v>
      </c>
      <c r="Z388" s="87">
        <v>1608.0</v>
      </c>
      <c r="AA388" s="87">
        <v>3462.0</v>
      </c>
      <c r="AB388" s="87">
        <v>479.0</v>
      </c>
      <c r="AC388" s="87">
        <v>13.0</v>
      </c>
      <c r="AD388" s="87"/>
      <c r="AE388" s="87"/>
      <c r="AF388" s="87"/>
      <c r="AG388" s="87">
        <v>3.0</v>
      </c>
      <c r="AH388" s="87">
        <v>6952.0</v>
      </c>
      <c r="AI388" s="87">
        <v>10986.0</v>
      </c>
      <c r="AJ388" s="87">
        <v>404.0</v>
      </c>
      <c r="AK388" s="87">
        <v>53.0</v>
      </c>
      <c r="AL388" s="87">
        <v>4654.0</v>
      </c>
      <c r="AM388" s="87">
        <v>215.0</v>
      </c>
      <c r="AN388" s="87">
        <v>445.0</v>
      </c>
      <c r="AO388" s="87">
        <v>5876.0</v>
      </c>
      <c r="AP388" s="87">
        <v>422.0</v>
      </c>
      <c r="AQ388" s="87">
        <v>6151.0</v>
      </c>
      <c r="AR388" s="87">
        <v>526.0</v>
      </c>
      <c r="AS388" s="87">
        <v>8221.0</v>
      </c>
      <c r="AT388" s="87">
        <v>450.0</v>
      </c>
      <c r="AU388" s="87">
        <v>4740.0</v>
      </c>
      <c r="AV388" s="87">
        <v>3.0</v>
      </c>
      <c r="AW388" s="87">
        <v>35.0</v>
      </c>
      <c r="AX388" s="87"/>
      <c r="AY388" s="87">
        <v>2.0</v>
      </c>
      <c r="AZ388" s="87"/>
      <c r="BA388" s="87"/>
      <c r="BB388" s="87"/>
      <c r="BC388" s="87">
        <v>4891.0</v>
      </c>
      <c r="BD388" s="87"/>
      <c r="BE388" s="87"/>
      <c r="BF388" s="87">
        <v>3929.0</v>
      </c>
      <c r="BG388" s="87">
        <v>14413.0</v>
      </c>
      <c r="BH388" s="87"/>
      <c r="BI388" s="87">
        <v>108714.0</v>
      </c>
      <c r="BJ388" s="87">
        <v>7617.0</v>
      </c>
      <c r="BK388" s="87">
        <v>2260.0</v>
      </c>
      <c r="BL388" s="87">
        <v>3574.0</v>
      </c>
      <c r="BM388" s="87">
        <v>4891.0</v>
      </c>
      <c r="BN388" s="87"/>
      <c r="BO388" s="87"/>
      <c r="BP388" s="87">
        <v>17423.0</v>
      </c>
      <c r="BQ388" s="87">
        <v>158.0</v>
      </c>
      <c r="BR388" s="87">
        <v>29.0</v>
      </c>
      <c r="BS388" s="87">
        <v>41.0</v>
      </c>
      <c r="BT388" s="87">
        <v>434.0</v>
      </c>
      <c r="BU388" s="87">
        <v>3.0</v>
      </c>
      <c r="BV388" s="87">
        <v>23.0</v>
      </c>
      <c r="BW388" s="87">
        <v>117.0</v>
      </c>
      <c r="BX388" s="87">
        <v>1.0</v>
      </c>
      <c r="BY388" s="87"/>
      <c r="BZ388" s="87"/>
      <c r="CA388" s="87">
        <v>25.0</v>
      </c>
      <c r="CB388" s="87">
        <v>64.0</v>
      </c>
      <c r="CC388" s="87"/>
      <c r="CD388" s="87">
        <v>10.0</v>
      </c>
      <c r="CE388" s="87">
        <v>14.0</v>
      </c>
      <c r="CF388" s="87"/>
      <c r="CG388" s="87">
        <v>24.0</v>
      </c>
      <c r="CH388" s="87">
        <v>18312.0</v>
      </c>
      <c r="CI388" s="87">
        <v>6.0</v>
      </c>
      <c r="CJ388" s="87">
        <v>4.0</v>
      </c>
      <c r="CK388" s="87">
        <v>4680.0</v>
      </c>
      <c r="CL388" s="87">
        <v>10050.0</v>
      </c>
      <c r="CM388" s="87"/>
      <c r="CN388" s="87"/>
      <c r="CO388" s="87">
        <v>3538.0</v>
      </c>
      <c r="CP388" s="87"/>
      <c r="CQ388" s="87">
        <v>58.0</v>
      </c>
      <c r="CR388" s="87">
        <v>6.0</v>
      </c>
      <c r="CS388" s="87">
        <v>6.0</v>
      </c>
      <c r="CT388" s="87">
        <v>267.0</v>
      </c>
      <c r="CU388" s="87">
        <v>460.0</v>
      </c>
      <c r="CV388" s="87">
        <v>172.0</v>
      </c>
      <c r="CW388" s="87">
        <v>566.0</v>
      </c>
      <c r="CX388" s="87">
        <v>205.0</v>
      </c>
      <c r="CY388" s="87">
        <v>591.0</v>
      </c>
      <c r="CZ388" s="87">
        <v>30.0</v>
      </c>
      <c r="DA388" s="87">
        <v>13.0</v>
      </c>
      <c r="DB388" s="87">
        <v>273.0</v>
      </c>
      <c r="DC388" s="87">
        <v>1142.0</v>
      </c>
      <c r="DD388" s="87">
        <v>752.0</v>
      </c>
      <c r="DE388" s="87">
        <v>92.0</v>
      </c>
      <c r="DF388" s="87">
        <v>306.0</v>
      </c>
      <c r="DG388" s="87">
        <v>261.0</v>
      </c>
      <c r="DH388" s="87">
        <v>5325.0</v>
      </c>
      <c r="DI388" s="87">
        <v>5409.0</v>
      </c>
      <c r="DJ388" s="87">
        <v>945.0</v>
      </c>
      <c r="DK388" s="87">
        <v>302.0</v>
      </c>
      <c r="DL388" s="87">
        <v>589.0</v>
      </c>
      <c r="DM388" s="87">
        <v>637.0</v>
      </c>
      <c r="DN388" s="87">
        <v>5.0</v>
      </c>
      <c r="DO388" s="87">
        <v>2226.0</v>
      </c>
      <c r="DP388" s="87">
        <v>4793.0</v>
      </c>
      <c r="DQ388" s="87">
        <v>831.0</v>
      </c>
      <c r="DR388" s="87">
        <v>746.0</v>
      </c>
      <c r="DS388" s="87">
        <v>68.0</v>
      </c>
      <c r="DT388" s="87">
        <v>26.0</v>
      </c>
      <c r="DU388" s="87">
        <v>23.0</v>
      </c>
      <c r="DV388" s="87">
        <v>825.0</v>
      </c>
      <c r="DW388" s="87">
        <v>94.0</v>
      </c>
      <c r="DX388" s="87">
        <v>108.0</v>
      </c>
      <c r="DY388" s="87">
        <v>504.0</v>
      </c>
      <c r="DZ388" s="87">
        <v>345.0</v>
      </c>
      <c r="EA388" s="87">
        <v>303.0</v>
      </c>
      <c r="EB388" s="87">
        <v>166.0</v>
      </c>
      <c r="EC388" s="87">
        <v>114.0</v>
      </c>
      <c r="ED388" s="87">
        <v>6597.0</v>
      </c>
      <c r="EE388" s="87">
        <v>573.0</v>
      </c>
      <c r="EF388" s="87">
        <v>7.0</v>
      </c>
      <c r="EG388" s="87">
        <v>4.0</v>
      </c>
      <c r="EH388" s="87">
        <v>26.0</v>
      </c>
      <c r="EI388" s="87">
        <v>591.0</v>
      </c>
      <c r="EJ388" s="87">
        <v>17714.0</v>
      </c>
      <c r="EK388" s="88"/>
      <c r="EL388" s="88"/>
      <c r="EM388" s="88"/>
      <c r="EN388" s="88"/>
      <c r="EO388" s="88"/>
      <c r="EP388" s="88"/>
      <c r="EQ388" s="90"/>
    </row>
    <row r="389" ht="12.0" customHeight="1">
      <c r="A389" s="89">
        <v>1.06434051E8</v>
      </c>
      <c r="B389" s="89" t="s">
        <v>2449</v>
      </c>
      <c r="C389" s="89" t="s">
        <v>2405</v>
      </c>
      <c r="D389" s="89" t="s">
        <v>2450</v>
      </c>
      <c r="E389" s="89" t="s">
        <v>2451</v>
      </c>
      <c r="F389" s="89" t="s">
        <v>2452</v>
      </c>
      <c r="G389" s="89" t="s">
        <v>2453</v>
      </c>
      <c r="H389" s="89" t="s">
        <v>475</v>
      </c>
      <c r="I389" s="89" t="s">
        <v>456</v>
      </c>
      <c r="J389" s="89" t="s">
        <v>499</v>
      </c>
      <c r="K389" s="89" t="s">
        <v>449</v>
      </c>
      <c r="L389" s="89" t="s">
        <v>1773</v>
      </c>
      <c r="M389" s="89" t="s">
        <v>2421</v>
      </c>
      <c r="N389" s="89" t="s">
        <v>441</v>
      </c>
      <c r="O389" s="87"/>
      <c r="P389" s="87">
        <v>14.0</v>
      </c>
      <c r="Q389" s="87"/>
      <c r="R389" s="87"/>
      <c r="S389" s="87"/>
      <c r="T389" s="87"/>
      <c r="U389" s="87">
        <v>13.0</v>
      </c>
      <c r="V389" s="87">
        <v>1.0</v>
      </c>
      <c r="W389" s="87"/>
      <c r="X389" s="87">
        <v>12.0</v>
      </c>
      <c r="Y389" s="87"/>
      <c r="Z389" s="87"/>
      <c r="AA389" s="87"/>
      <c r="AB389" s="87"/>
      <c r="AC389" s="87"/>
      <c r="AD389" s="87"/>
      <c r="AE389" s="87"/>
      <c r="AF389" s="87"/>
      <c r="AG389" s="87">
        <v>2.0</v>
      </c>
      <c r="AH389" s="87"/>
      <c r="AI389" s="87"/>
      <c r="AJ389" s="87">
        <v>14.0</v>
      </c>
      <c r="AK389" s="87"/>
      <c r="AL389" s="87"/>
      <c r="AM389" s="87"/>
      <c r="AN389" s="87"/>
      <c r="AO389" s="87"/>
      <c r="AP389" s="87">
        <v>14.0</v>
      </c>
      <c r="AQ389" s="87"/>
      <c r="AR389" s="87"/>
      <c r="AS389" s="87"/>
      <c r="AT389" s="87"/>
      <c r="AU389" s="87">
        <v>14.0</v>
      </c>
      <c r="AV389" s="87"/>
      <c r="AW389" s="87"/>
      <c r="AX389" s="87"/>
      <c r="AY389" s="87"/>
      <c r="AZ389" s="87"/>
      <c r="BA389" s="87"/>
      <c r="BB389" s="87"/>
      <c r="BC389" s="87"/>
      <c r="BD389" s="87"/>
      <c r="BE389" s="87"/>
      <c r="BF389" s="87">
        <v>2.0</v>
      </c>
      <c r="BG389" s="87">
        <v>12.0</v>
      </c>
      <c r="BH389" s="87"/>
      <c r="BI389" s="87">
        <v>3102.0</v>
      </c>
      <c r="BJ389" s="87">
        <v>1.0</v>
      </c>
      <c r="BK389" s="87"/>
      <c r="BL389" s="87">
        <v>13.0</v>
      </c>
      <c r="BM389" s="87"/>
      <c r="BN389" s="87"/>
      <c r="BO389" s="87"/>
      <c r="BP389" s="87">
        <v>1.0</v>
      </c>
      <c r="BQ389" s="87">
        <v>10.0</v>
      </c>
      <c r="BR389" s="87"/>
      <c r="BS389" s="87">
        <v>2.0</v>
      </c>
      <c r="BT389" s="87"/>
      <c r="BU389" s="87"/>
      <c r="BV389" s="87"/>
      <c r="BW389" s="87">
        <v>1.0</v>
      </c>
      <c r="BX389" s="87"/>
      <c r="BY389" s="87"/>
      <c r="BZ389" s="87"/>
      <c r="CA389" s="87"/>
      <c r="CB389" s="87"/>
      <c r="CC389" s="87"/>
      <c r="CD389" s="87"/>
      <c r="CE389" s="87"/>
      <c r="CF389" s="87"/>
      <c r="CG389" s="87">
        <v>1.0</v>
      </c>
      <c r="CH389" s="87">
        <v>13.0</v>
      </c>
      <c r="CI389" s="87"/>
      <c r="CJ389" s="87"/>
      <c r="CK389" s="87">
        <v>14.0</v>
      </c>
      <c r="CL389" s="87"/>
      <c r="CM389" s="87"/>
      <c r="CN389" s="87"/>
      <c r="CO389" s="87"/>
      <c r="CP389" s="87"/>
      <c r="CQ389" s="87"/>
      <c r="CR389" s="87"/>
      <c r="CS389" s="87"/>
      <c r="CT389" s="87"/>
      <c r="CU389" s="87"/>
      <c r="CV389" s="87"/>
      <c r="CW389" s="87"/>
      <c r="CX389" s="87"/>
      <c r="CY389" s="87">
        <v>1.0</v>
      </c>
      <c r="CZ389" s="87"/>
      <c r="DA389" s="87"/>
      <c r="DB389" s="87"/>
      <c r="DC389" s="87">
        <v>4.0</v>
      </c>
      <c r="DD389" s="87"/>
      <c r="DE389" s="87"/>
      <c r="DF389" s="87"/>
      <c r="DG389" s="87"/>
      <c r="DH389" s="87"/>
      <c r="DI389" s="87"/>
      <c r="DJ389" s="87">
        <v>8.0</v>
      </c>
      <c r="DK389" s="87"/>
      <c r="DL389" s="87">
        <v>1.0</v>
      </c>
      <c r="DM389" s="87"/>
      <c r="DN389" s="87"/>
      <c r="DO389" s="87"/>
      <c r="DP389" s="87"/>
      <c r="DQ389" s="87"/>
      <c r="DR389" s="87"/>
      <c r="DS389" s="87"/>
      <c r="DT389" s="87"/>
      <c r="DU389" s="87"/>
      <c r="DV389" s="87"/>
      <c r="DW389" s="87"/>
      <c r="DX389" s="87"/>
      <c r="DY389" s="87"/>
      <c r="DZ389" s="87"/>
      <c r="EA389" s="87"/>
      <c r="EB389" s="87"/>
      <c r="EC389" s="87"/>
      <c r="ED389" s="87">
        <v>14.0</v>
      </c>
      <c r="EE389" s="87"/>
      <c r="EF389" s="87"/>
      <c r="EG389" s="87"/>
      <c r="EH389" s="87"/>
      <c r="EI389" s="87"/>
      <c r="EJ389" s="87">
        <v>14.0</v>
      </c>
      <c r="EK389" s="88"/>
      <c r="EL389" s="88"/>
      <c r="EM389" s="88"/>
      <c r="EN389" s="88"/>
      <c r="EO389" s="88"/>
      <c r="EP389" s="88"/>
      <c r="EQ389" s="90"/>
    </row>
    <row r="390" ht="12.0" customHeight="1">
      <c r="A390" s="89">
        <v>1.06434138E8</v>
      </c>
      <c r="B390" s="89" t="s">
        <v>2454</v>
      </c>
      <c r="C390" s="89" t="s">
        <v>2405</v>
      </c>
      <c r="D390" s="89" t="s">
        <v>2455</v>
      </c>
      <c r="E390" s="89" t="s">
        <v>2456</v>
      </c>
      <c r="F390" s="89" t="s">
        <v>2457</v>
      </c>
      <c r="G390" s="89" t="s">
        <v>2458</v>
      </c>
      <c r="H390" s="89" t="s">
        <v>435</v>
      </c>
      <c r="I390" s="89" t="s">
        <v>456</v>
      </c>
      <c r="J390" s="89" t="s">
        <v>463</v>
      </c>
      <c r="K390" s="89" t="s">
        <v>1504</v>
      </c>
      <c r="L390" s="89" t="s">
        <v>933</v>
      </c>
      <c r="M390" s="89" t="s">
        <v>2459</v>
      </c>
      <c r="N390" s="89" t="s">
        <v>547</v>
      </c>
      <c r="O390" s="87">
        <v>3537.0</v>
      </c>
      <c r="P390" s="87"/>
      <c r="Q390" s="87"/>
      <c r="R390" s="87"/>
      <c r="S390" s="87"/>
      <c r="T390" s="87"/>
      <c r="U390" s="87">
        <v>1600.0</v>
      </c>
      <c r="V390" s="87">
        <v>1937.0</v>
      </c>
      <c r="W390" s="87"/>
      <c r="X390" s="87">
        <v>345.0</v>
      </c>
      <c r="Y390" s="87">
        <v>62.0</v>
      </c>
      <c r="Z390" s="87">
        <v>307.0</v>
      </c>
      <c r="AA390" s="87">
        <v>363.0</v>
      </c>
      <c r="AB390" s="87">
        <v>357.0</v>
      </c>
      <c r="AC390" s="87">
        <v>435.0</v>
      </c>
      <c r="AD390" s="87">
        <v>578.0</v>
      </c>
      <c r="AE390" s="87">
        <v>487.0</v>
      </c>
      <c r="AF390" s="87">
        <v>603.0</v>
      </c>
      <c r="AG390" s="87"/>
      <c r="AH390" s="87">
        <v>1853.0</v>
      </c>
      <c r="AI390" s="87">
        <v>1627.0</v>
      </c>
      <c r="AJ390" s="87">
        <v>57.0</v>
      </c>
      <c r="AK390" s="87"/>
      <c r="AL390" s="87">
        <v>197.0</v>
      </c>
      <c r="AM390" s="87"/>
      <c r="AN390" s="87">
        <v>70.0</v>
      </c>
      <c r="AO390" s="87">
        <v>3056.0</v>
      </c>
      <c r="AP390" s="87">
        <v>71.0</v>
      </c>
      <c r="AQ390" s="87">
        <v>68.0</v>
      </c>
      <c r="AR390" s="87">
        <v>75.0</v>
      </c>
      <c r="AS390" s="87">
        <v>3017.0</v>
      </c>
      <c r="AT390" s="87">
        <v>155.0</v>
      </c>
      <c r="AU390" s="87">
        <v>7.0</v>
      </c>
      <c r="AV390" s="87">
        <v>3.0</v>
      </c>
      <c r="AW390" s="87">
        <v>3.0</v>
      </c>
      <c r="AX390" s="87">
        <v>2.0</v>
      </c>
      <c r="AY390" s="87"/>
      <c r="AZ390" s="87"/>
      <c r="BA390" s="87"/>
      <c r="BB390" s="87">
        <v>38.0</v>
      </c>
      <c r="BC390" s="87">
        <v>312.0</v>
      </c>
      <c r="BD390" s="87"/>
      <c r="BE390" s="87">
        <v>2818.0</v>
      </c>
      <c r="BF390" s="87">
        <v>7.0</v>
      </c>
      <c r="BG390" s="87">
        <v>712.0</v>
      </c>
      <c r="BH390" s="87"/>
      <c r="BI390" s="87">
        <v>19331.0</v>
      </c>
      <c r="BJ390" s="87">
        <v>2823.0</v>
      </c>
      <c r="BK390" s="87">
        <v>54.0</v>
      </c>
      <c r="BL390" s="87">
        <v>342.0</v>
      </c>
      <c r="BM390" s="87">
        <v>312.0</v>
      </c>
      <c r="BN390" s="87"/>
      <c r="BO390" s="87">
        <v>6.0</v>
      </c>
      <c r="BP390" s="87">
        <v>2307.0</v>
      </c>
      <c r="BQ390" s="87">
        <v>144.0</v>
      </c>
      <c r="BR390" s="87">
        <v>18.0</v>
      </c>
      <c r="BS390" s="87">
        <v>408.0</v>
      </c>
      <c r="BT390" s="87">
        <v>7.0</v>
      </c>
      <c r="BU390" s="87"/>
      <c r="BV390" s="87">
        <v>125.0</v>
      </c>
      <c r="BW390" s="87">
        <v>99.0</v>
      </c>
      <c r="BX390" s="87">
        <v>340.0</v>
      </c>
      <c r="BY390" s="87"/>
      <c r="BZ390" s="87"/>
      <c r="CA390" s="87">
        <v>65.0</v>
      </c>
      <c r="CB390" s="87">
        <v>2.0</v>
      </c>
      <c r="CC390" s="87">
        <v>1.0</v>
      </c>
      <c r="CD390" s="87">
        <v>15.0</v>
      </c>
      <c r="CE390" s="87">
        <v>6.0</v>
      </c>
      <c r="CF390" s="87"/>
      <c r="CG390" s="87">
        <v>18.0</v>
      </c>
      <c r="CH390" s="87">
        <v>3519.0</v>
      </c>
      <c r="CI390" s="87"/>
      <c r="CJ390" s="87">
        <v>979.0</v>
      </c>
      <c r="CK390" s="87">
        <v>1490.0</v>
      </c>
      <c r="CL390" s="87">
        <v>591.0</v>
      </c>
      <c r="CM390" s="87">
        <v>14.0</v>
      </c>
      <c r="CN390" s="87">
        <v>9.0</v>
      </c>
      <c r="CO390" s="87">
        <v>73.0</v>
      </c>
      <c r="CP390" s="87"/>
      <c r="CQ390" s="87">
        <v>381.0</v>
      </c>
      <c r="CR390" s="87"/>
      <c r="CS390" s="87"/>
      <c r="CT390" s="87">
        <v>746.0</v>
      </c>
      <c r="CU390" s="87">
        <v>44.0</v>
      </c>
      <c r="CV390" s="87">
        <v>29.0</v>
      </c>
      <c r="CW390" s="87">
        <v>180.0</v>
      </c>
      <c r="CX390" s="87">
        <v>79.0</v>
      </c>
      <c r="CY390" s="87">
        <v>90.0</v>
      </c>
      <c r="CZ390" s="87"/>
      <c r="DA390" s="87">
        <v>8.0</v>
      </c>
      <c r="DB390" s="87">
        <v>365.0</v>
      </c>
      <c r="DC390" s="87">
        <v>214.0</v>
      </c>
      <c r="DD390" s="87">
        <v>558.0</v>
      </c>
      <c r="DE390" s="87">
        <v>79.0</v>
      </c>
      <c r="DF390" s="87">
        <v>36.0</v>
      </c>
      <c r="DG390" s="87">
        <v>168.0</v>
      </c>
      <c r="DH390" s="87">
        <v>355.0</v>
      </c>
      <c r="DI390" s="87">
        <v>324.0</v>
      </c>
      <c r="DJ390" s="87">
        <v>2.0</v>
      </c>
      <c r="DK390" s="87">
        <v>59.0</v>
      </c>
      <c r="DL390" s="87">
        <v>191.0</v>
      </c>
      <c r="DM390" s="87">
        <v>8.0</v>
      </c>
      <c r="DN390" s="87">
        <v>2.0</v>
      </c>
      <c r="DO390" s="87">
        <v>742.0</v>
      </c>
      <c r="DP390" s="87">
        <v>316.0</v>
      </c>
      <c r="DQ390" s="87">
        <v>233.0</v>
      </c>
      <c r="DR390" s="87">
        <v>472.0</v>
      </c>
      <c r="DS390" s="87">
        <v>2.0</v>
      </c>
      <c r="DT390" s="87"/>
      <c r="DU390" s="87">
        <v>1.0</v>
      </c>
      <c r="DV390" s="87">
        <v>40.0</v>
      </c>
      <c r="DW390" s="87">
        <v>3.0</v>
      </c>
      <c r="DX390" s="87">
        <v>65.0</v>
      </c>
      <c r="DY390" s="87">
        <v>125.0</v>
      </c>
      <c r="DZ390" s="87">
        <v>8.0</v>
      </c>
      <c r="EA390" s="87">
        <v>4.0</v>
      </c>
      <c r="EB390" s="87">
        <v>28.0</v>
      </c>
      <c r="EC390" s="87">
        <v>29.0</v>
      </c>
      <c r="ED390" s="87">
        <v>1330.0</v>
      </c>
      <c r="EE390" s="87">
        <v>139.0</v>
      </c>
      <c r="EF390" s="87"/>
      <c r="EG390" s="87">
        <v>156.0</v>
      </c>
      <c r="EH390" s="87">
        <v>2.0</v>
      </c>
      <c r="EI390" s="87">
        <v>34.0</v>
      </c>
      <c r="EJ390" s="87">
        <v>3345.0</v>
      </c>
      <c r="EK390" s="88"/>
      <c r="EL390" s="88"/>
      <c r="EM390" s="88"/>
      <c r="EN390" s="88"/>
      <c r="EO390" s="88"/>
      <c r="EP390" s="88"/>
      <c r="EQ390" s="90"/>
    </row>
    <row r="391" ht="12.0" customHeight="1">
      <c r="A391" s="89">
        <v>1.06434153E8</v>
      </c>
      <c r="B391" s="89" t="s">
        <v>2460</v>
      </c>
      <c r="C391" s="89" t="s">
        <v>2405</v>
      </c>
      <c r="D391" s="89" t="s">
        <v>2461</v>
      </c>
      <c r="E391" s="89" t="s">
        <v>2462</v>
      </c>
      <c r="F391" s="89" t="s">
        <v>2405</v>
      </c>
      <c r="G391" s="89" t="s">
        <v>2463</v>
      </c>
      <c r="H391" s="89" t="s">
        <v>447</v>
      </c>
      <c r="I391" s="89" t="s">
        <v>456</v>
      </c>
      <c r="J391" s="89" t="s">
        <v>448</v>
      </c>
      <c r="K391" s="89" t="s">
        <v>486</v>
      </c>
      <c r="L391" s="89" t="s">
        <v>504</v>
      </c>
      <c r="M391" s="89" t="s">
        <v>2464</v>
      </c>
      <c r="N391" s="89" t="s">
        <v>441</v>
      </c>
      <c r="O391" s="87">
        <v>21474.0</v>
      </c>
      <c r="P391" s="87"/>
      <c r="Q391" s="87"/>
      <c r="R391" s="87"/>
      <c r="S391" s="87"/>
      <c r="T391" s="87"/>
      <c r="U391" s="87">
        <v>9013.0</v>
      </c>
      <c r="V391" s="87">
        <v>12461.0</v>
      </c>
      <c r="W391" s="87"/>
      <c r="X391" s="87">
        <v>5045.0</v>
      </c>
      <c r="Y391" s="87">
        <v>414.0</v>
      </c>
      <c r="Z391" s="87">
        <v>1329.0</v>
      </c>
      <c r="AA391" s="87">
        <v>3669.0</v>
      </c>
      <c r="AB391" s="87">
        <v>1069.0</v>
      </c>
      <c r="AC391" s="87">
        <v>1579.0</v>
      </c>
      <c r="AD391" s="87">
        <v>2304.0</v>
      </c>
      <c r="AE391" s="87">
        <v>2741.0</v>
      </c>
      <c r="AF391" s="87">
        <v>3322.0</v>
      </c>
      <c r="AG391" s="87">
        <v>2.0</v>
      </c>
      <c r="AH391" s="87">
        <v>4703.0</v>
      </c>
      <c r="AI391" s="87">
        <v>16340.0</v>
      </c>
      <c r="AJ391" s="87">
        <v>431.0</v>
      </c>
      <c r="AK391" s="87">
        <v>65.0</v>
      </c>
      <c r="AL391" s="87">
        <v>7221.0</v>
      </c>
      <c r="AM391" s="87">
        <v>264.0</v>
      </c>
      <c r="AN391" s="87">
        <v>723.0</v>
      </c>
      <c r="AO391" s="87">
        <v>8121.0</v>
      </c>
      <c r="AP391" s="87">
        <v>244.0</v>
      </c>
      <c r="AQ391" s="87">
        <v>4579.0</v>
      </c>
      <c r="AR391" s="87">
        <v>257.0</v>
      </c>
      <c r="AS391" s="87">
        <v>15140.0</v>
      </c>
      <c r="AT391" s="87">
        <v>109.0</v>
      </c>
      <c r="AU391" s="87">
        <v>1559.0</v>
      </c>
      <c r="AV391" s="87">
        <v>186.0</v>
      </c>
      <c r="AW391" s="87">
        <v>110.0</v>
      </c>
      <c r="AX391" s="87">
        <v>1.0</v>
      </c>
      <c r="AY391" s="87"/>
      <c r="AZ391" s="87"/>
      <c r="BA391" s="87"/>
      <c r="BB391" s="87">
        <v>33.0</v>
      </c>
      <c r="BC391" s="87">
        <v>4334.0</v>
      </c>
      <c r="BD391" s="87">
        <v>2.0</v>
      </c>
      <c r="BE391" s="87">
        <v>7668.0</v>
      </c>
      <c r="BF391" s="87">
        <v>444.0</v>
      </c>
      <c r="BG391" s="87">
        <v>13362.0</v>
      </c>
      <c r="BH391" s="87"/>
      <c r="BI391" s="87">
        <v>97933.0</v>
      </c>
      <c r="BJ391" s="87">
        <v>1704.0</v>
      </c>
      <c r="BK391" s="87">
        <v>12789.0</v>
      </c>
      <c r="BL391" s="87">
        <v>2642.0</v>
      </c>
      <c r="BM391" s="87">
        <v>4334.0</v>
      </c>
      <c r="BN391" s="87"/>
      <c r="BO391" s="87">
        <v>5.0</v>
      </c>
      <c r="BP391" s="87">
        <v>14069.0</v>
      </c>
      <c r="BQ391" s="87">
        <v>360.0</v>
      </c>
      <c r="BR391" s="87">
        <v>45.0</v>
      </c>
      <c r="BS391" s="87">
        <v>1265.0</v>
      </c>
      <c r="BT391" s="87">
        <v>1.0</v>
      </c>
      <c r="BU391" s="87"/>
      <c r="BV391" s="87">
        <v>103.0</v>
      </c>
      <c r="BW391" s="87">
        <v>617.0</v>
      </c>
      <c r="BX391" s="87">
        <v>4609.0</v>
      </c>
      <c r="BY391" s="87"/>
      <c r="BZ391" s="87"/>
      <c r="CA391" s="87">
        <v>355.0</v>
      </c>
      <c r="CB391" s="87">
        <v>27.0</v>
      </c>
      <c r="CC391" s="87"/>
      <c r="CD391" s="87">
        <v>5.0</v>
      </c>
      <c r="CE391" s="87">
        <v>17.0</v>
      </c>
      <c r="CF391" s="87">
        <v>1.0</v>
      </c>
      <c r="CG391" s="87">
        <v>2501.0</v>
      </c>
      <c r="CH391" s="87">
        <v>18973.0</v>
      </c>
      <c r="CI391" s="87"/>
      <c r="CJ391" s="87">
        <v>6950.0</v>
      </c>
      <c r="CK391" s="87">
        <v>1020.0</v>
      </c>
      <c r="CL391" s="87">
        <v>13281.0</v>
      </c>
      <c r="CM391" s="87">
        <v>14.0</v>
      </c>
      <c r="CN391" s="87"/>
      <c r="CO391" s="87">
        <v>52.0</v>
      </c>
      <c r="CP391" s="87"/>
      <c r="CQ391" s="87">
        <v>152.0</v>
      </c>
      <c r="CR391" s="87">
        <v>5.0</v>
      </c>
      <c r="CS391" s="87"/>
      <c r="CT391" s="87">
        <v>2431.0</v>
      </c>
      <c r="CU391" s="87">
        <v>767.0</v>
      </c>
      <c r="CV391" s="87">
        <v>120.0</v>
      </c>
      <c r="CW391" s="87">
        <v>431.0</v>
      </c>
      <c r="CX391" s="87">
        <v>140.0</v>
      </c>
      <c r="CY391" s="87">
        <v>297.0</v>
      </c>
      <c r="CZ391" s="87">
        <v>17.0</v>
      </c>
      <c r="DA391" s="87">
        <v>7.0</v>
      </c>
      <c r="DB391" s="87">
        <v>3555.0</v>
      </c>
      <c r="DC391" s="87">
        <v>908.0</v>
      </c>
      <c r="DD391" s="87">
        <v>1211.0</v>
      </c>
      <c r="DE391" s="87">
        <v>159.0</v>
      </c>
      <c r="DF391" s="87">
        <v>170.0</v>
      </c>
      <c r="DG391" s="87">
        <v>540.0</v>
      </c>
      <c r="DH391" s="87">
        <v>4603.0</v>
      </c>
      <c r="DI391" s="87">
        <v>4425.0</v>
      </c>
      <c r="DJ391" s="87">
        <v>145.0</v>
      </c>
      <c r="DK391" s="87">
        <v>316.0</v>
      </c>
      <c r="DL391" s="87">
        <v>876.0</v>
      </c>
      <c r="DM391" s="87">
        <v>355.0</v>
      </c>
      <c r="DN391" s="87">
        <v>1.0</v>
      </c>
      <c r="DO391" s="87">
        <v>5719.0</v>
      </c>
      <c r="DP391" s="87">
        <v>4324.0</v>
      </c>
      <c r="DQ391" s="87">
        <v>2763.0</v>
      </c>
      <c r="DR391" s="87">
        <v>1348.0</v>
      </c>
      <c r="DS391" s="87">
        <v>8.0</v>
      </c>
      <c r="DT391" s="87">
        <v>6.0</v>
      </c>
      <c r="DU391" s="87">
        <v>4.0</v>
      </c>
      <c r="DV391" s="87">
        <v>874.0</v>
      </c>
      <c r="DW391" s="87">
        <v>106.0</v>
      </c>
      <c r="DX391" s="87">
        <v>272.0</v>
      </c>
      <c r="DY391" s="87">
        <v>566.0</v>
      </c>
      <c r="DZ391" s="87">
        <v>170.0</v>
      </c>
      <c r="EA391" s="87">
        <v>255.0</v>
      </c>
      <c r="EB391" s="87">
        <v>548.0</v>
      </c>
      <c r="EC391" s="87">
        <v>384.0</v>
      </c>
      <c r="ED391" s="87">
        <v>3562.0</v>
      </c>
      <c r="EE391" s="87">
        <v>565.0</v>
      </c>
      <c r="EF391" s="87">
        <v>2.0</v>
      </c>
      <c r="EG391" s="87">
        <v>66.0</v>
      </c>
      <c r="EH391" s="87">
        <v>1.0</v>
      </c>
      <c r="EI391" s="87">
        <v>50.0</v>
      </c>
      <c r="EJ391" s="87">
        <v>21355.0</v>
      </c>
      <c r="EK391" s="88"/>
      <c r="EL391" s="88"/>
      <c r="EM391" s="88"/>
      <c r="EN391" s="88"/>
      <c r="EO391" s="88"/>
      <c r="EP391" s="88"/>
      <c r="EQ391" s="90"/>
    </row>
    <row r="392" ht="12.0" customHeight="1">
      <c r="A392" s="89">
        <v>1.06434218E8</v>
      </c>
      <c r="B392" s="89" t="s">
        <v>2465</v>
      </c>
      <c r="C392" s="89" t="s">
        <v>2405</v>
      </c>
      <c r="D392" s="89" t="s">
        <v>2466</v>
      </c>
      <c r="E392" s="89" t="s">
        <v>2467</v>
      </c>
      <c r="F392" s="89" t="s">
        <v>2405</v>
      </c>
      <c r="G392" s="89" t="s">
        <v>2463</v>
      </c>
      <c r="H392" s="89" t="s">
        <v>447</v>
      </c>
      <c r="I392" s="89" t="s">
        <v>456</v>
      </c>
      <c r="J392" s="89" t="s">
        <v>499</v>
      </c>
      <c r="K392" s="89" t="s">
        <v>486</v>
      </c>
      <c r="L392" s="89" t="s">
        <v>504</v>
      </c>
      <c r="M392" s="89" t="s">
        <v>2468</v>
      </c>
      <c r="N392" s="89" t="s">
        <v>441</v>
      </c>
      <c r="O392" s="87"/>
      <c r="P392" s="87"/>
      <c r="Q392" s="87">
        <v>540.0</v>
      </c>
      <c r="R392" s="87"/>
      <c r="S392" s="87"/>
      <c r="T392" s="87"/>
      <c r="U392" s="87">
        <v>226.0</v>
      </c>
      <c r="V392" s="87">
        <v>314.0</v>
      </c>
      <c r="W392" s="87"/>
      <c r="X392" s="87"/>
      <c r="Y392" s="87">
        <v>56.0</v>
      </c>
      <c r="Z392" s="87">
        <v>200.0</v>
      </c>
      <c r="AA392" s="87">
        <v>89.0</v>
      </c>
      <c r="AB392" s="87">
        <v>75.0</v>
      </c>
      <c r="AC392" s="87">
        <v>61.0</v>
      </c>
      <c r="AD392" s="87">
        <v>37.0</v>
      </c>
      <c r="AE392" s="87">
        <v>20.0</v>
      </c>
      <c r="AF392" s="87"/>
      <c r="AG392" s="87">
        <v>2.0</v>
      </c>
      <c r="AH392" s="87">
        <v>99.0</v>
      </c>
      <c r="AI392" s="87">
        <v>419.0</v>
      </c>
      <c r="AJ392" s="87">
        <v>22.0</v>
      </c>
      <c r="AK392" s="87"/>
      <c r="AL392" s="87">
        <v>101.0</v>
      </c>
      <c r="AM392" s="87"/>
      <c r="AN392" s="87">
        <v>45.0</v>
      </c>
      <c r="AO392" s="87">
        <v>262.0</v>
      </c>
      <c r="AP392" s="87">
        <v>19.0</v>
      </c>
      <c r="AQ392" s="87">
        <v>95.0</v>
      </c>
      <c r="AR392" s="87">
        <v>18.0</v>
      </c>
      <c r="AS392" s="87">
        <v>2.0</v>
      </c>
      <c r="AT392" s="87">
        <v>4.0</v>
      </c>
      <c r="AU392" s="87">
        <v>524.0</v>
      </c>
      <c r="AV392" s="87"/>
      <c r="AW392" s="87">
        <v>8.0</v>
      </c>
      <c r="AX392" s="87"/>
      <c r="AY392" s="87"/>
      <c r="AZ392" s="87"/>
      <c r="BA392" s="87">
        <v>1.0</v>
      </c>
      <c r="BB392" s="87"/>
      <c r="BC392" s="87"/>
      <c r="BD392" s="87">
        <v>1.0</v>
      </c>
      <c r="BE392" s="87"/>
      <c r="BF392" s="87">
        <v>420.0</v>
      </c>
      <c r="BG392" s="87">
        <v>120.0</v>
      </c>
      <c r="BH392" s="87"/>
      <c r="BI392" s="87">
        <v>5037.0</v>
      </c>
      <c r="BJ392" s="87">
        <v>5.0</v>
      </c>
      <c r="BK392" s="87">
        <v>533.0</v>
      </c>
      <c r="BL392" s="87">
        <v>2.0</v>
      </c>
      <c r="BM392" s="87"/>
      <c r="BN392" s="87"/>
      <c r="BO392" s="87"/>
      <c r="BP392" s="87">
        <v>463.0</v>
      </c>
      <c r="BQ392" s="87">
        <v>18.0</v>
      </c>
      <c r="BR392" s="87"/>
      <c r="BS392" s="87"/>
      <c r="BT392" s="87"/>
      <c r="BU392" s="87"/>
      <c r="BV392" s="87">
        <v>47.0</v>
      </c>
      <c r="BW392" s="87"/>
      <c r="BX392" s="87"/>
      <c r="BY392" s="87"/>
      <c r="BZ392" s="87"/>
      <c r="CA392" s="87"/>
      <c r="CB392" s="87">
        <v>12.0</v>
      </c>
      <c r="CC392" s="87"/>
      <c r="CD392" s="87"/>
      <c r="CE392" s="87"/>
      <c r="CF392" s="87"/>
      <c r="CG392" s="87"/>
      <c r="CH392" s="87">
        <v>540.0</v>
      </c>
      <c r="CI392" s="87"/>
      <c r="CJ392" s="87">
        <v>84.0</v>
      </c>
      <c r="CK392" s="87">
        <v>10.0</v>
      </c>
      <c r="CL392" s="87">
        <v>438.0</v>
      </c>
      <c r="CM392" s="87"/>
      <c r="CN392" s="87"/>
      <c r="CO392" s="87"/>
      <c r="CP392" s="87"/>
      <c r="CQ392" s="87">
        <v>8.0</v>
      </c>
      <c r="CR392" s="87"/>
      <c r="CS392" s="87"/>
      <c r="CT392" s="87"/>
      <c r="CU392" s="87"/>
      <c r="CV392" s="87"/>
      <c r="CW392" s="87"/>
      <c r="CX392" s="87">
        <v>537.0</v>
      </c>
      <c r="CY392" s="87"/>
      <c r="CZ392" s="87"/>
      <c r="DA392" s="87"/>
      <c r="DB392" s="87"/>
      <c r="DC392" s="87"/>
      <c r="DD392" s="87"/>
      <c r="DE392" s="87"/>
      <c r="DF392" s="87"/>
      <c r="DG392" s="87"/>
      <c r="DH392" s="87"/>
      <c r="DI392" s="87"/>
      <c r="DJ392" s="87"/>
      <c r="DK392" s="87"/>
      <c r="DL392" s="87"/>
      <c r="DM392" s="87"/>
      <c r="DN392" s="87">
        <v>3.0</v>
      </c>
      <c r="DO392" s="87">
        <v>25.0</v>
      </c>
      <c r="DP392" s="87"/>
      <c r="DQ392" s="87"/>
      <c r="DR392" s="87"/>
      <c r="DS392" s="87"/>
      <c r="DT392" s="87"/>
      <c r="DU392" s="87"/>
      <c r="DV392" s="87"/>
      <c r="DW392" s="87"/>
      <c r="DX392" s="87"/>
      <c r="DY392" s="87"/>
      <c r="DZ392" s="87"/>
      <c r="EA392" s="87"/>
      <c r="EB392" s="87"/>
      <c r="EC392" s="87"/>
      <c r="ED392" s="87">
        <v>472.0</v>
      </c>
      <c r="EE392" s="87">
        <v>43.0</v>
      </c>
      <c r="EF392" s="87"/>
      <c r="EG392" s="87">
        <v>17.0</v>
      </c>
      <c r="EH392" s="87"/>
      <c r="EI392" s="87">
        <v>3.0</v>
      </c>
      <c r="EJ392" s="87">
        <v>520.0</v>
      </c>
      <c r="EK392" s="88"/>
      <c r="EL392" s="88"/>
      <c r="EM392" s="88"/>
      <c r="EN392" s="88"/>
      <c r="EO392" s="88"/>
      <c r="EP392" s="88"/>
      <c r="EQ392" s="90"/>
    </row>
    <row r="393" ht="12.0" customHeight="1">
      <c r="A393" s="89">
        <v>1.0643422E8</v>
      </c>
      <c r="B393" s="89" t="s">
        <v>2469</v>
      </c>
      <c r="C393" s="89" t="s">
        <v>2405</v>
      </c>
      <c r="D393" s="89" t="s">
        <v>2470</v>
      </c>
      <c r="E393" s="89" t="s">
        <v>2471</v>
      </c>
      <c r="F393" s="89" t="s">
        <v>2408</v>
      </c>
      <c r="G393" s="89" t="s">
        <v>2425</v>
      </c>
      <c r="H393" s="89" t="s">
        <v>503</v>
      </c>
      <c r="I393" s="89" t="s">
        <v>456</v>
      </c>
      <c r="J393" s="89" t="s">
        <v>499</v>
      </c>
      <c r="K393" s="89" t="s">
        <v>449</v>
      </c>
      <c r="L393" s="89" t="s">
        <v>1773</v>
      </c>
      <c r="M393" s="89" t="s">
        <v>2426</v>
      </c>
      <c r="N393" s="89" t="s">
        <v>441</v>
      </c>
      <c r="O393" s="87"/>
      <c r="P393" s="87"/>
      <c r="Q393" s="87">
        <v>229.0</v>
      </c>
      <c r="R393" s="87"/>
      <c r="S393" s="87"/>
      <c r="T393" s="87"/>
      <c r="U393" s="87">
        <v>112.0</v>
      </c>
      <c r="V393" s="87">
        <v>117.0</v>
      </c>
      <c r="W393" s="87"/>
      <c r="X393" s="87"/>
      <c r="Y393" s="87"/>
      <c r="Z393" s="87">
        <v>79.0</v>
      </c>
      <c r="AA393" s="87">
        <v>69.0</v>
      </c>
      <c r="AB393" s="87">
        <v>34.0</v>
      </c>
      <c r="AC393" s="87">
        <v>32.0</v>
      </c>
      <c r="AD393" s="87"/>
      <c r="AE393" s="87"/>
      <c r="AF393" s="87"/>
      <c r="AG393" s="87">
        <v>15.0</v>
      </c>
      <c r="AH393" s="87">
        <v>92.0</v>
      </c>
      <c r="AI393" s="87">
        <v>137.0</v>
      </c>
      <c r="AJ393" s="87"/>
      <c r="AK393" s="87"/>
      <c r="AL393" s="87">
        <v>50.0</v>
      </c>
      <c r="AM393" s="87"/>
      <c r="AN393" s="87">
        <v>19.0</v>
      </c>
      <c r="AO393" s="87">
        <v>56.0</v>
      </c>
      <c r="AP393" s="87">
        <v>3.0</v>
      </c>
      <c r="AQ393" s="87">
        <v>101.0</v>
      </c>
      <c r="AR393" s="87"/>
      <c r="AS393" s="87"/>
      <c r="AT393" s="87"/>
      <c r="AU393" s="87">
        <v>229.0</v>
      </c>
      <c r="AV393" s="87"/>
      <c r="AW393" s="87"/>
      <c r="AX393" s="87"/>
      <c r="AY393" s="87"/>
      <c r="AZ393" s="87"/>
      <c r="BA393" s="87"/>
      <c r="BB393" s="87"/>
      <c r="BC393" s="87"/>
      <c r="BD393" s="87"/>
      <c r="BE393" s="87"/>
      <c r="BF393" s="87">
        <v>229.0</v>
      </c>
      <c r="BG393" s="87"/>
      <c r="BH393" s="87"/>
      <c r="BI393" s="87">
        <v>4932.0</v>
      </c>
      <c r="BJ393" s="87"/>
      <c r="BK393" s="87">
        <v>229.0</v>
      </c>
      <c r="BL393" s="87"/>
      <c r="BM393" s="87"/>
      <c r="BN393" s="87"/>
      <c r="BO393" s="87"/>
      <c r="BP393" s="87">
        <v>197.0</v>
      </c>
      <c r="BQ393" s="87">
        <v>15.0</v>
      </c>
      <c r="BR393" s="87"/>
      <c r="BS393" s="87"/>
      <c r="BT393" s="87"/>
      <c r="BU393" s="87">
        <v>1.0</v>
      </c>
      <c r="BV393" s="87">
        <v>14.0</v>
      </c>
      <c r="BW393" s="87"/>
      <c r="BX393" s="87"/>
      <c r="BY393" s="87"/>
      <c r="BZ393" s="87"/>
      <c r="CA393" s="87"/>
      <c r="CB393" s="87"/>
      <c r="CC393" s="87"/>
      <c r="CD393" s="87">
        <v>2.0</v>
      </c>
      <c r="CE393" s="87"/>
      <c r="CF393" s="87"/>
      <c r="CG393" s="87"/>
      <c r="CH393" s="87">
        <v>229.0</v>
      </c>
      <c r="CI393" s="87"/>
      <c r="CJ393" s="87">
        <v>1.0</v>
      </c>
      <c r="CK393" s="87">
        <v>182.0</v>
      </c>
      <c r="CL393" s="87"/>
      <c r="CM393" s="87"/>
      <c r="CN393" s="87">
        <v>46.0</v>
      </c>
      <c r="CO393" s="87"/>
      <c r="CP393" s="87"/>
      <c r="CQ393" s="87"/>
      <c r="CR393" s="87"/>
      <c r="CS393" s="87"/>
      <c r="CT393" s="87"/>
      <c r="CU393" s="87"/>
      <c r="CV393" s="87"/>
      <c r="CW393" s="87"/>
      <c r="CX393" s="87">
        <v>229.0</v>
      </c>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v>229.0</v>
      </c>
      <c r="EE393" s="87"/>
      <c r="EF393" s="87"/>
      <c r="EG393" s="87">
        <v>3.0</v>
      </c>
      <c r="EH393" s="87"/>
      <c r="EI393" s="87">
        <v>1.0</v>
      </c>
      <c r="EJ393" s="87">
        <v>225.0</v>
      </c>
      <c r="EK393" s="88"/>
      <c r="EL393" s="88"/>
      <c r="EM393" s="88"/>
      <c r="EN393" s="88"/>
      <c r="EO393" s="88"/>
      <c r="EP393" s="88"/>
      <c r="EQ393" s="90"/>
    </row>
    <row r="394" ht="12.0" customHeight="1">
      <c r="A394" s="89">
        <v>1.06440755E8</v>
      </c>
      <c r="B394" s="89" t="s">
        <v>2472</v>
      </c>
      <c r="C394" s="89" t="s">
        <v>2473</v>
      </c>
      <c r="D394" s="89" t="s">
        <v>2474</v>
      </c>
      <c r="E394" s="89" t="s">
        <v>2475</v>
      </c>
      <c r="F394" s="89" t="s">
        <v>2473</v>
      </c>
      <c r="G394" s="89" t="s">
        <v>2476</v>
      </c>
      <c r="H394" s="89" t="s">
        <v>447</v>
      </c>
      <c r="I394" s="89" t="s">
        <v>456</v>
      </c>
      <c r="J394" s="89" t="s">
        <v>469</v>
      </c>
      <c r="K394" s="89" t="s">
        <v>1504</v>
      </c>
      <c r="L394" s="89" t="s">
        <v>1505</v>
      </c>
      <c r="M394" s="89" t="s">
        <v>2477</v>
      </c>
      <c r="N394" s="89" t="s">
        <v>441</v>
      </c>
      <c r="O394" s="87">
        <v>10142.0</v>
      </c>
      <c r="P394" s="87"/>
      <c r="Q394" s="87"/>
      <c r="R394" s="87"/>
      <c r="S394" s="87">
        <v>414.0</v>
      </c>
      <c r="T394" s="87"/>
      <c r="U394" s="87">
        <v>5086.0</v>
      </c>
      <c r="V394" s="87">
        <v>5468.0</v>
      </c>
      <c r="W394" s="87">
        <v>2.0</v>
      </c>
      <c r="X394" s="87">
        <v>1100.0</v>
      </c>
      <c r="Y394" s="87">
        <v>92.0</v>
      </c>
      <c r="Z394" s="87">
        <v>575.0</v>
      </c>
      <c r="AA394" s="87">
        <v>927.0</v>
      </c>
      <c r="AB394" s="87">
        <v>727.0</v>
      </c>
      <c r="AC394" s="87">
        <v>1073.0</v>
      </c>
      <c r="AD394" s="87">
        <v>1732.0</v>
      </c>
      <c r="AE394" s="87">
        <v>2333.0</v>
      </c>
      <c r="AF394" s="87">
        <v>1997.0</v>
      </c>
      <c r="AG394" s="87"/>
      <c r="AH394" s="87">
        <v>2466.0</v>
      </c>
      <c r="AI394" s="87">
        <v>7937.0</v>
      </c>
      <c r="AJ394" s="87">
        <v>153.0</v>
      </c>
      <c r="AK394" s="87">
        <v>62.0</v>
      </c>
      <c r="AL394" s="87">
        <v>187.0</v>
      </c>
      <c r="AM394" s="87"/>
      <c r="AN394" s="87">
        <v>155.0</v>
      </c>
      <c r="AO394" s="87">
        <v>6835.0</v>
      </c>
      <c r="AP394" s="87">
        <v>585.0</v>
      </c>
      <c r="AQ394" s="87">
        <v>2581.0</v>
      </c>
      <c r="AR394" s="87">
        <v>151.0</v>
      </c>
      <c r="AS394" s="87">
        <v>8407.0</v>
      </c>
      <c r="AT394" s="87">
        <v>429.0</v>
      </c>
      <c r="AU394" s="87">
        <v>129.0</v>
      </c>
      <c r="AV394" s="87">
        <v>311.0</v>
      </c>
      <c r="AW394" s="87">
        <v>33.0</v>
      </c>
      <c r="AX394" s="87">
        <v>351.0</v>
      </c>
      <c r="AY394" s="87">
        <v>1.0</v>
      </c>
      <c r="AZ394" s="87"/>
      <c r="BA394" s="87">
        <v>31.0</v>
      </c>
      <c r="BB394" s="87"/>
      <c r="BC394" s="87">
        <v>864.0</v>
      </c>
      <c r="BD394" s="87"/>
      <c r="BE394" s="87">
        <v>7625.0</v>
      </c>
      <c r="BF394" s="87">
        <v>17.0</v>
      </c>
      <c r="BG394" s="87">
        <v>2892.0</v>
      </c>
      <c r="BH394" s="87">
        <v>22.0</v>
      </c>
      <c r="BI394" s="87">
        <v>52921.0</v>
      </c>
      <c r="BJ394" s="87">
        <v>5946.0</v>
      </c>
      <c r="BK394" s="87">
        <v>2139.0</v>
      </c>
      <c r="BL394" s="87">
        <v>1602.0</v>
      </c>
      <c r="BM394" s="87">
        <v>864.0</v>
      </c>
      <c r="BN394" s="87">
        <v>5.0</v>
      </c>
      <c r="BO394" s="87"/>
      <c r="BP394" s="87">
        <v>5714.0</v>
      </c>
      <c r="BQ394" s="87">
        <v>138.0</v>
      </c>
      <c r="BR394" s="87">
        <v>364.0</v>
      </c>
      <c r="BS394" s="87">
        <v>1135.0</v>
      </c>
      <c r="BT394" s="87">
        <v>35.0</v>
      </c>
      <c r="BU394" s="87">
        <v>7.0</v>
      </c>
      <c r="BV394" s="87">
        <v>375.0</v>
      </c>
      <c r="BW394" s="87">
        <v>308.0</v>
      </c>
      <c r="BX394" s="87">
        <v>2153.0</v>
      </c>
      <c r="BY394" s="87"/>
      <c r="BZ394" s="87">
        <v>26.0</v>
      </c>
      <c r="CA394" s="87">
        <v>232.0</v>
      </c>
      <c r="CB394" s="87">
        <v>43.0</v>
      </c>
      <c r="CC394" s="87">
        <v>8.0</v>
      </c>
      <c r="CD394" s="87">
        <v>18.0</v>
      </c>
      <c r="CE394" s="87"/>
      <c r="CF394" s="87"/>
      <c r="CG394" s="87">
        <v>866.0</v>
      </c>
      <c r="CH394" s="87">
        <v>9690.0</v>
      </c>
      <c r="CI394" s="87"/>
      <c r="CJ394" s="87">
        <v>5368.0</v>
      </c>
      <c r="CK394" s="87">
        <v>2562.0</v>
      </c>
      <c r="CL394" s="87">
        <v>2381.0</v>
      </c>
      <c r="CM394" s="87">
        <v>12.0</v>
      </c>
      <c r="CN394" s="87"/>
      <c r="CO394" s="87">
        <v>127.0</v>
      </c>
      <c r="CP394" s="87">
        <v>4.0</v>
      </c>
      <c r="CQ394" s="87">
        <v>98.0</v>
      </c>
      <c r="CR394" s="87"/>
      <c r="CS394" s="87">
        <v>4.0</v>
      </c>
      <c r="CT394" s="87">
        <v>1678.0</v>
      </c>
      <c r="CU394" s="87">
        <v>327.0</v>
      </c>
      <c r="CV394" s="87">
        <v>57.0</v>
      </c>
      <c r="CW394" s="87">
        <v>391.0</v>
      </c>
      <c r="CX394" s="87">
        <v>388.0</v>
      </c>
      <c r="CY394" s="87">
        <v>389.0</v>
      </c>
      <c r="CZ394" s="87">
        <v>8.0</v>
      </c>
      <c r="DA394" s="87">
        <v>12.0</v>
      </c>
      <c r="DB394" s="87">
        <v>1812.0</v>
      </c>
      <c r="DC394" s="87">
        <v>501.0</v>
      </c>
      <c r="DD394" s="87">
        <v>1012.0</v>
      </c>
      <c r="DE394" s="87">
        <v>165.0</v>
      </c>
      <c r="DF394" s="87">
        <v>347.0</v>
      </c>
      <c r="DG394" s="87">
        <v>468.0</v>
      </c>
      <c r="DH394" s="87">
        <v>952.0</v>
      </c>
      <c r="DI394" s="87">
        <v>936.0</v>
      </c>
      <c r="DJ394" s="87">
        <v>14.0</v>
      </c>
      <c r="DK394" s="87">
        <v>176.0</v>
      </c>
      <c r="DL394" s="87">
        <v>857.0</v>
      </c>
      <c r="DM394" s="87">
        <v>66.0</v>
      </c>
      <c r="DN394" s="87"/>
      <c r="DO394" s="87">
        <v>2870.0</v>
      </c>
      <c r="DP394" s="87">
        <v>862.0</v>
      </c>
      <c r="DQ394" s="87">
        <v>1105.0</v>
      </c>
      <c r="DR394" s="87">
        <v>858.0</v>
      </c>
      <c r="DS394" s="87">
        <v>5.0</v>
      </c>
      <c r="DT394" s="87">
        <v>4.0</v>
      </c>
      <c r="DU394" s="87">
        <v>2.0</v>
      </c>
      <c r="DV394" s="87">
        <v>42.0</v>
      </c>
      <c r="DW394" s="87">
        <v>40.0</v>
      </c>
      <c r="DX394" s="87">
        <v>194.0</v>
      </c>
      <c r="DY394" s="87">
        <v>540.0</v>
      </c>
      <c r="DZ394" s="87">
        <v>147.0</v>
      </c>
      <c r="EA394" s="87">
        <v>35.0</v>
      </c>
      <c r="EB394" s="87">
        <v>160.0</v>
      </c>
      <c r="EC394" s="87">
        <v>191.0</v>
      </c>
      <c r="ED394" s="87">
        <v>3262.0</v>
      </c>
      <c r="EE394" s="87">
        <v>239.0</v>
      </c>
      <c r="EF394" s="87">
        <v>91.0</v>
      </c>
      <c r="EG394" s="87">
        <v>639.0</v>
      </c>
      <c r="EH394" s="87">
        <v>2.0</v>
      </c>
      <c r="EI394" s="87">
        <v>83.0</v>
      </c>
      <c r="EJ394" s="87">
        <v>9741.0</v>
      </c>
      <c r="EK394" s="88"/>
      <c r="EL394" s="88"/>
      <c r="EM394" s="88"/>
      <c r="EN394" s="88"/>
      <c r="EO394" s="88"/>
      <c r="EP394" s="88"/>
      <c r="EQ394" s="90"/>
    </row>
    <row r="395" ht="12.0" customHeight="1">
      <c r="A395" s="89">
        <v>1.06444012E8</v>
      </c>
      <c r="B395" s="89" t="s">
        <v>2478</v>
      </c>
      <c r="C395" s="89" t="s">
        <v>2473</v>
      </c>
      <c r="D395" s="89" t="s">
        <v>2479</v>
      </c>
      <c r="E395" s="89" t="s">
        <v>2480</v>
      </c>
      <c r="F395" s="89" t="s">
        <v>2473</v>
      </c>
      <c r="G395" s="89" t="s">
        <v>2476</v>
      </c>
      <c r="H395" s="89" t="s">
        <v>447</v>
      </c>
      <c r="I395" s="89" t="s">
        <v>456</v>
      </c>
      <c r="J395" s="89" t="s">
        <v>499</v>
      </c>
      <c r="K395" s="89" t="s">
        <v>1504</v>
      </c>
      <c r="L395" s="89" t="s">
        <v>1505</v>
      </c>
      <c r="M395" s="89" t="s">
        <v>2477</v>
      </c>
      <c r="N395" s="89" t="s">
        <v>441</v>
      </c>
      <c r="O395" s="87">
        <v>1702.0</v>
      </c>
      <c r="P395" s="87"/>
      <c r="Q395" s="87"/>
      <c r="R395" s="87"/>
      <c r="S395" s="87"/>
      <c r="T395" s="87"/>
      <c r="U395" s="87">
        <v>458.0</v>
      </c>
      <c r="V395" s="87">
        <v>1244.0</v>
      </c>
      <c r="W395" s="87"/>
      <c r="X395" s="87">
        <v>744.0</v>
      </c>
      <c r="Y395" s="87"/>
      <c r="Z395" s="87">
        <v>180.0</v>
      </c>
      <c r="AA395" s="87">
        <v>527.0</v>
      </c>
      <c r="AB395" s="87">
        <v>65.0</v>
      </c>
      <c r="AC395" s="87">
        <v>42.0</v>
      </c>
      <c r="AD395" s="87">
        <v>71.0</v>
      </c>
      <c r="AE395" s="87">
        <v>54.0</v>
      </c>
      <c r="AF395" s="87">
        <v>12.0</v>
      </c>
      <c r="AG395" s="87">
        <v>7.0</v>
      </c>
      <c r="AH395" s="87">
        <v>661.0</v>
      </c>
      <c r="AI395" s="87">
        <v>1001.0</v>
      </c>
      <c r="AJ395" s="87">
        <v>40.0</v>
      </c>
      <c r="AK395" s="87"/>
      <c r="AL395" s="87">
        <v>42.0</v>
      </c>
      <c r="AM395" s="87">
        <v>22.0</v>
      </c>
      <c r="AN395" s="87">
        <v>11.0</v>
      </c>
      <c r="AO395" s="87">
        <v>1127.0</v>
      </c>
      <c r="AP395" s="87">
        <v>40.0</v>
      </c>
      <c r="AQ395" s="87">
        <v>408.0</v>
      </c>
      <c r="AR395" s="87">
        <v>52.0</v>
      </c>
      <c r="AS395" s="87">
        <v>964.0</v>
      </c>
      <c r="AT395" s="87">
        <v>6.0</v>
      </c>
      <c r="AU395" s="87"/>
      <c r="AV395" s="87"/>
      <c r="AW395" s="87"/>
      <c r="AX395" s="87"/>
      <c r="AY395" s="87"/>
      <c r="AZ395" s="87"/>
      <c r="BA395" s="87"/>
      <c r="BB395" s="87"/>
      <c r="BC395" s="87">
        <v>732.0</v>
      </c>
      <c r="BD395" s="87"/>
      <c r="BE395" s="87"/>
      <c r="BF395" s="87"/>
      <c r="BG395" s="87">
        <v>1702.0</v>
      </c>
      <c r="BH395" s="87"/>
      <c r="BI395" s="87">
        <v>4085.0</v>
      </c>
      <c r="BJ395" s="87"/>
      <c r="BK395" s="87">
        <v>90.0</v>
      </c>
      <c r="BL395" s="87">
        <v>880.0</v>
      </c>
      <c r="BM395" s="87">
        <v>732.0</v>
      </c>
      <c r="BN395" s="87"/>
      <c r="BO395" s="87"/>
      <c r="BP395" s="87">
        <v>1595.0</v>
      </c>
      <c r="BQ395" s="87">
        <v>18.0</v>
      </c>
      <c r="BR395" s="87"/>
      <c r="BS395" s="87">
        <v>11.0</v>
      </c>
      <c r="BT395" s="87"/>
      <c r="BU395" s="87"/>
      <c r="BV395" s="87">
        <v>1.0</v>
      </c>
      <c r="BW395" s="87"/>
      <c r="BX395" s="87">
        <v>74.0</v>
      </c>
      <c r="BY395" s="87"/>
      <c r="BZ395" s="87">
        <v>2.0</v>
      </c>
      <c r="CA395" s="87">
        <v>1.0</v>
      </c>
      <c r="CB395" s="87"/>
      <c r="CC395" s="87"/>
      <c r="CD395" s="87"/>
      <c r="CE395" s="87"/>
      <c r="CF395" s="87"/>
      <c r="CG395" s="87">
        <v>3.0</v>
      </c>
      <c r="CH395" s="87">
        <v>1699.0</v>
      </c>
      <c r="CI395" s="87"/>
      <c r="CJ395" s="87">
        <v>138.0</v>
      </c>
      <c r="CK395" s="87">
        <v>241.0</v>
      </c>
      <c r="CL395" s="87">
        <v>1271.0</v>
      </c>
      <c r="CM395" s="87">
        <v>1.0</v>
      </c>
      <c r="CN395" s="87"/>
      <c r="CO395" s="87">
        <v>14.0</v>
      </c>
      <c r="CP395" s="87"/>
      <c r="CQ395" s="87">
        <v>37.0</v>
      </c>
      <c r="CR395" s="87"/>
      <c r="CS395" s="87"/>
      <c r="CT395" s="87">
        <v>1.0</v>
      </c>
      <c r="CU395" s="87">
        <v>49.0</v>
      </c>
      <c r="CV395" s="87"/>
      <c r="CW395" s="87"/>
      <c r="CX395" s="87"/>
      <c r="CY395" s="87">
        <v>1.0</v>
      </c>
      <c r="CZ395" s="87"/>
      <c r="DA395" s="87"/>
      <c r="DB395" s="87"/>
      <c r="DC395" s="87">
        <v>1.0</v>
      </c>
      <c r="DD395" s="87">
        <v>22.0</v>
      </c>
      <c r="DE395" s="87">
        <v>1.0</v>
      </c>
      <c r="DF395" s="87">
        <v>96.0</v>
      </c>
      <c r="DG395" s="87">
        <v>11.0</v>
      </c>
      <c r="DH395" s="87">
        <v>751.0</v>
      </c>
      <c r="DI395" s="87">
        <v>744.0</v>
      </c>
      <c r="DJ395" s="87">
        <v>1.0</v>
      </c>
      <c r="DK395" s="87"/>
      <c r="DL395" s="87">
        <v>17.0</v>
      </c>
      <c r="DM395" s="87">
        <v>7.0</v>
      </c>
      <c r="DN395" s="87"/>
      <c r="DO395" s="87">
        <v>77.0</v>
      </c>
      <c r="DP395" s="87">
        <v>727.0</v>
      </c>
      <c r="DQ395" s="87">
        <v>6.0</v>
      </c>
      <c r="DR395" s="87">
        <v>52.0</v>
      </c>
      <c r="DS395" s="87">
        <v>1.0</v>
      </c>
      <c r="DT395" s="87">
        <v>1.0</v>
      </c>
      <c r="DU395" s="87"/>
      <c r="DV395" s="87">
        <v>15.0</v>
      </c>
      <c r="DW395" s="87">
        <v>8.0</v>
      </c>
      <c r="DX395" s="87">
        <v>5.0</v>
      </c>
      <c r="DY395" s="87">
        <v>107.0</v>
      </c>
      <c r="DZ395" s="87">
        <v>4.0</v>
      </c>
      <c r="EA395" s="87">
        <v>20.0</v>
      </c>
      <c r="EB395" s="87">
        <v>1.0</v>
      </c>
      <c r="EC395" s="87">
        <v>9.0</v>
      </c>
      <c r="ED395" s="87">
        <v>668.0</v>
      </c>
      <c r="EE395" s="87">
        <v>1.0</v>
      </c>
      <c r="EF395" s="87">
        <v>1.0</v>
      </c>
      <c r="EG395" s="87">
        <v>2.0</v>
      </c>
      <c r="EH395" s="87"/>
      <c r="EI395" s="87">
        <v>2.0</v>
      </c>
      <c r="EJ395" s="87">
        <v>1697.0</v>
      </c>
      <c r="EK395" s="88"/>
      <c r="EL395" s="88"/>
      <c r="EM395" s="88"/>
      <c r="EN395" s="88"/>
      <c r="EO395" s="88"/>
      <c r="EP395" s="88"/>
      <c r="EQ395" s="90"/>
    </row>
    <row r="396" ht="12.0" customHeight="1">
      <c r="A396" s="89">
        <v>1.06444013E8</v>
      </c>
      <c r="B396" s="89" t="s">
        <v>2481</v>
      </c>
      <c r="C396" s="89" t="s">
        <v>2473</v>
      </c>
      <c r="D396" s="89" t="s">
        <v>2482</v>
      </c>
      <c r="E396" s="89" t="s">
        <v>2483</v>
      </c>
      <c r="F396" s="89" t="s">
        <v>2484</v>
      </c>
      <c r="G396" s="89" t="s">
        <v>2485</v>
      </c>
      <c r="H396" s="89" t="s">
        <v>447</v>
      </c>
      <c r="I396" s="89" t="s">
        <v>456</v>
      </c>
      <c r="J396" s="89" t="s">
        <v>437</v>
      </c>
      <c r="K396" s="89" t="s">
        <v>1504</v>
      </c>
      <c r="L396" s="89" t="s">
        <v>933</v>
      </c>
      <c r="M396" s="89" t="s">
        <v>2486</v>
      </c>
      <c r="N396" s="89" t="s">
        <v>441</v>
      </c>
      <c r="O396" s="87">
        <v>4691.0</v>
      </c>
      <c r="P396" s="87"/>
      <c r="Q396" s="87"/>
      <c r="R396" s="87"/>
      <c r="S396" s="87"/>
      <c r="T396" s="87"/>
      <c r="U396" s="87">
        <v>1958.0</v>
      </c>
      <c r="V396" s="87">
        <v>2732.0</v>
      </c>
      <c r="W396" s="87">
        <v>1.0</v>
      </c>
      <c r="X396" s="87">
        <v>930.0</v>
      </c>
      <c r="Y396" s="87">
        <v>103.0</v>
      </c>
      <c r="Z396" s="87">
        <v>596.0</v>
      </c>
      <c r="AA396" s="87">
        <v>619.0</v>
      </c>
      <c r="AB396" s="87">
        <v>355.0</v>
      </c>
      <c r="AC396" s="87">
        <v>406.0</v>
      </c>
      <c r="AD396" s="87">
        <v>523.0</v>
      </c>
      <c r="AE396" s="87">
        <v>546.0</v>
      </c>
      <c r="AF396" s="87">
        <v>613.0</v>
      </c>
      <c r="AG396" s="87"/>
      <c r="AH396" s="87">
        <v>2981.0</v>
      </c>
      <c r="AI396" s="87">
        <v>1500.0</v>
      </c>
      <c r="AJ396" s="87">
        <v>210.0</v>
      </c>
      <c r="AK396" s="87"/>
      <c r="AL396" s="87">
        <v>68.0</v>
      </c>
      <c r="AM396" s="87"/>
      <c r="AN396" s="87">
        <v>21.0</v>
      </c>
      <c r="AO396" s="87">
        <v>1340.0</v>
      </c>
      <c r="AP396" s="87">
        <v>4.0</v>
      </c>
      <c r="AQ396" s="87">
        <v>3208.0</v>
      </c>
      <c r="AR396" s="87">
        <v>50.0</v>
      </c>
      <c r="AS396" s="87">
        <v>3403.0</v>
      </c>
      <c r="AT396" s="87">
        <v>143.0</v>
      </c>
      <c r="AU396" s="87">
        <v>31.0</v>
      </c>
      <c r="AV396" s="87">
        <v>232.0</v>
      </c>
      <c r="AW396" s="87">
        <v>6.0</v>
      </c>
      <c r="AX396" s="87"/>
      <c r="AY396" s="87"/>
      <c r="AZ396" s="87"/>
      <c r="BA396" s="87">
        <v>1.0</v>
      </c>
      <c r="BB396" s="87"/>
      <c r="BC396" s="87">
        <v>875.0</v>
      </c>
      <c r="BD396" s="87"/>
      <c r="BE396" s="87">
        <v>2926.0</v>
      </c>
      <c r="BF396" s="87"/>
      <c r="BG396" s="87">
        <v>1765.0</v>
      </c>
      <c r="BH396" s="87"/>
      <c r="BI396" s="87">
        <v>15858.0</v>
      </c>
      <c r="BJ396" s="87">
        <v>1524.0</v>
      </c>
      <c r="BK396" s="87">
        <v>1866.0</v>
      </c>
      <c r="BL396" s="87">
        <v>426.0</v>
      </c>
      <c r="BM396" s="87">
        <v>875.0</v>
      </c>
      <c r="BN396" s="87"/>
      <c r="BO396" s="87"/>
      <c r="BP396" s="87">
        <v>3243.0</v>
      </c>
      <c r="BQ396" s="87">
        <v>100.0</v>
      </c>
      <c r="BR396" s="87">
        <v>2.0</v>
      </c>
      <c r="BS396" s="87">
        <v>447.0</v>
      </c>
      <c r="BT396" s="87">
        <v>6.0</v>
      </c>
      <c r="BU396" s="87"/>
      <c r="BV396" s="87">
        <v>134.0</v>
      </c>
      <c r="BW396" s="87">
        <v>80.0</v>
      </c>
      <c r="BX396" s="87">
        <v>577.0</v>
      </c>
      <c r="BY396" s="87"/>
      <c r="BZ396" s="87">
        <v>16.0</v>
      </c>
      <c r="CA396" s="87">
        <v>55.0</v>
      </c>
      <c r="CB396" s="87">
        <v>28.0</v>
      </c>
      <c r="CC396" s="87">
        <v>2.0</v>
      </c>
      <c r="CD396" s="87">
        <v>1.0</v>
      </c>
      <c r="CE396" s="87"/>
      <c r="CF396" s="87"/>
      <c r="CG396" s="87">
        <v>130.0</v>
      </c>
      <c r="CH396" s="87">
        <v>4561.0</v>
      </c>
      <c r="CI396" s="87"/>
      <c r="CJ396" s="87">
        <v>1520.0</v>
      </c>
      <c r="CK396" s="87">
        <v>2484.0</v>
      </c>
      <c r="CL396" s="87">
        <v>643.0</v>
      </c>
      <c r="CM396" s="87">
        <v>6.0</v>
      </c>
      <c r="CN396" s="87"/>
      <c r="CO396" s="87">
        <v>16.0</v>
      </c>
      <c r="CP396" s="87"/>
      <c r="CQ396" s="87">
        <v>21.0</v>
      </c>
      <c r="CR396" s="87">
        <v>1.0</v>
      </c>
      <c r="CS396" s="87"/>
      <c r="CT396" s="87">
        <v>715.0</v>
      </c>
      <c r="CU396" s="87">
        <v>32.0</v>
      </c>
      <c r="CV396" s="87">
        <v>26.0</v>
      </c>
      <c r="CW396" s="87">
        <v>229.0</v>
      </c>
      <c r="CX396" s="87">
        <v>131.0</v>
      </c>
      <c r="CY396" s="87">
        <v>102.0</v>
      </c>
      <c r="CZ396" s="87">
        <v>1.0</v>
      </c>
      <c r="DA396" s="87">
        <v>8.0</v>
      </c>
      <c r="DB396" s="87">
        <v>375.0</v>
      </c>
      <c r="DC396" s="87">
        <v>153.0</v>
      </c>
      <c r="DD396" s="87">
        <v>471.0</v>
      </c>
      <c r="DE396" s="87">
        <v>71.0</v>
      </c>
      <c r="DF396" s="87">
        <v>89.0</v>
      </c>
      <c r="DG396" s="87">
        <v>188.0</v>
      </c>
      <c r="DH396" s="87">
        <v>929.0</v>
      </c>
      <c r="DI396" s="87">
        <v>911.0</v>
      </c>
      <c r="DJ396" s="87">
        <v>1.0</v>
      </c>
      <c r="DK396" s="87">
        <v>54.0</v>
      </c>
      <c r="DL396" s="87">
        <v>187.0</v>
      </c>
      <c r="DM396" s="87">
        <v>18.0</v>
      </c>
      <c r="DN396" s="87"/>
      <c r="DO396" s="87">
        <v>238.0</v>
      </c>
      <c r="DP396" s="87">
        <v>864.0</v>
      </c>
      <c r="DQ396" s="87">
        <v>268.0</v>
      </c>
      <c r="DR396" s="87">
        <v>331.0</v>
      </c>
      <c r="DS396" s="87"/>
      <c r="DT396" s="87"/>
      <c r="DU396" s="87"/>
      <c r="DV396" s="87">
        <v>21.0</v>
      </c>
      <c r="DW396" s="87"/>
      <c r="DX396" s="87">
        <v>70.0</v>
      </c>
      <c r="DY396" s="87">
        <v>169.0</v>
      </c>
      <c r="DZ396" s="87">
        <v>20.0</v>
      </c>
      <c r="EA396" s="87">
        <v>13.0</v>
      </c>
      <c r="EB396" s="87">
        <v>26.0</v>
      </c>
      <c r="EC396" s="87">
        <v>20.0</v>
      </c>
      <c r="ED396" s="87">
        <v>2579.0</v>
      </c>
      <c r="EE396" s="87">
        <v>72.0</v>
      </c>
      <c r="EF396" s="87"/>
      <c r="EG396" s="87">
        <v>185.0</v>
      </c>
      <c r="EH396" s="87"/>
      <c r="EI396" s="87">
        <v>8.0</v>
      </c>
      <c r="EJ396" s="87">
        <v>4498.0</v>
      </c>
      <c r="EK396" s="88"/>
      <c r="EL396" s="88"/>
      <c r="EM396" s="88"/>
      <c r="EN396" s="88"/>
      <c r="EO396" s="88"/>
      <c r="EP396" s="88"/>
      <c r="EQ396" s="90"/>
    </row>
    <row r="397" ht="12.0" customHeight="1">
      <c r="A397" s="89">
        <v>1.06444029E8</v>
      </c>
      <c r="B397" s="89" t="s">
        <v>2487</v>
      </c>
      <c r="C397" s="89" t="s">
        <v>2473</v>
      </c>
      <c r="D397" s="89" t="s">
        <v>2488</v>
      </c>
      <c r="E397" s="89" t="s">
        <v>2489</v>
      </c>
      <c r="F397" s="89" t="s">
        <v>2473</v>
      </c>
      <c r="G397" s="89" t="s">
        <v>2490</v>
      </c>
      <c r="H397" s="89" t="s">
        <v>503</v>
      </c>
      <c r="I397" s="89" t="s">
        <v>456</v>
      </c>
      <c r="J397" s="89" t="s">
        <v>499</v>
      </c>
      <c r="K397" s="89" t="s">
        <v>1504</v>
      </c>
      <c r="L397" s="89" t="s">
        <v>1505</v>
      </c>
      <c r="M397" s="89" t="s">
        <v>2477</v>
      </c>
      <c r="N397" s="89" t="s">
        <v>441</v>
      </c>
      <c r="O397" s="87"/>
      <c r="P397" s="87"/>
      <c r="Q397" s="87">
        <v>429.0</v>
      </c>
      <c r="R397" s="87"/>
      <c r="S397" s="87"/>
      <c r="T397" s="87"/>
      <c r="U397" s="87">
        <v>255.0</v>
      </c>
      <c r="V397" s="87">
        <v>174.0</v>
      </c>
      <c r="W397" s="87"/>
      <c r="X397" s="87"/>
      <c r="Y397" s="87"/>
      <c r="Z397" s="87">
        <v>89.0</v>
      </c>
      <c r="AA397" s="87">
        <v>120.0</v>
      </c>
      <c r="AB397" s="87">
        <v>85.0</v>
      </c>
      <c r="AC397" s="87">
        <v>66.0</v>
      </c>
      <c r="AD397" s="87">
        <v>41.0</v>
      </c>
      <c r="AE397" s="87">
        <v>20.0</v>
      </c>
      <c r="AF397" s="87"/>
      <c r="AG397" s="87">
        <v>8.0</v>
      </c>
      <c r="AH397" s="87">
        <v>108.0</v>
      </c>
      <c r="AI397" s="87">
        <v>277.0</v>
      </c>
      <c r="AJ397" s="87">
        <v>44.0</v>
      </c>
      <c r="AK397" s="87"/>
      <c r="AL397" s="87"/>
      <c r="AM397" s="87"/>
      <c r="AN397" s="87">
        <v>23.0</v>
      </c>
      <c r="AO397" s="87">
        <v>279.0</v>
      </c>
      <c r="AP397" s="87">
        <v>17.0</v>
      </c>
      <c r="AQ397" s="87">
        <v>110.0</v>
      </c>
      <c r="AR397" s="87"/>
      <c r="AS397" s="87">
        <v>361.0</v>
      </c>
      <c r="AT397" s="87">
        <v>1.0</v>
      </c>
      <c r="AU397" s="87">
        <v>38.0</v>
      </c>
      <c r="AV397" s="87">
        <v>4.0</v>
      </c>
      <c r="AW397" s="87">
        <v>4.0</v>
      </c>
      <c r="AX397" s="87"/>
      <c r="AY397" s="87"/>
      <c r="AZ397" s="87"/>
      <c r="BA397" s="87">
        <v>18.0</v>
      </c>
      <c r="BB397" s="87">
        <v>3.0</v>
      </c>
      <c r="BC397" s="87"/>
      <c r="BD397" s="87"/>
      <c r="BE397" s="87"/>
      <c r="BF397" s="87"/>
      <c r="BG397" s="87">
        <v>429.0</v>
      </c>
      <c r="BH397" s="87"/>
      <c r="BI397" s="87">
        <v>5245.0</v>
      </c>
      <c r="BJ397" s="87"/>
      <c r="BK397" s="87">
        <v>429.0</v>
      </c>
      <c r="BL397" s="87"/>
      <c r="BM397" s="87"/>
      <c r="BN397" s="87"/>
      <c r="BO397" s="87"/>
      <c r="BP397" s="87">
        <v>230.0</v>
      </c>
      <c r="BQ397" s="87">
        <v>7.0</v>
      </c>
      <c r="BR397" s="87"/>
      <c r="BS397" s="87">
        <v>1.0</v>
      </c>
      <c r="BT397" s="87">
        <v>154.0</v>
      </c>
      <c r="BU397" s="87">
        <v>2.0</v>
      </c>
      <c r="BV397" s="87">
        <v>34.0</v>
      </c>
      <c r="BW397" s="87"/>
      <c r="BX397" s="87"/>
      <c r="BY397" s="87"/>
      <c r="BZ397" s="87"/>
      <c r="CA397" s="87"/>
      <c r="CB397" s="87"/>
      <c r="CC397" s="87"/>
      <c r="CD397" s="87"/>
      <c r="CE397" s="87">
        <v>1.0</v>
      </c>
      <c r="CF397" s="87"/>
      <c r="CG397" s="87"/>
      <c r="CH397" s="87">
        <v>429.0</v>
      </c>
      <c r="CI397" s="87"/>
      <c r="CJ397" s="87">
        <v>81.0</v>
      </c>
      <c r="CK397" s="87">
        <v>272.0</v>
      </c>
      <c r="CL397" s="87">
        <v>71.0</v>
      </c>
      <c r="CM397" s="87"/>
      <c r="CN397" s="87"/>
      <c r="CO397" s="87"/>
      <c r="CP397" s="87"/>
      <c r="CQ397" s="87"/>
      <c r="CR397" s="87">
        <v>5.0</v>
      </c>
      <c r="CS397" s="87"/>
      <c r="CT397" s="87"/>
      <c r="CU397" s="87"/>
      <c r="CV397" s="87"/>
      <c r="CW397" s="87">
        <v>1.0</v>
      </c>
      <c r="CX397" s="87">
        <v>428.0</v>
      </c>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v>429.0</v>
      </c>
      <c r="EE397" s="87"/>
      <c r="EF397" s="87">
        <v>1.0</v>
      </c>
      <c r="EG397" s="87">
        <v>2.0</v>
      </c>
      <c r="EH397" s="87"/>
      <c r="EI397" s="87">
        <v>1.0</v>
      </c>
      <c r="EJ397" s="87">
        <v>425.0</v>
      </c>
      <c r="EK397" s="88"/>
      <c r="EL397" s="88"/>
      <c r="EM397" s="88"/>
      <c r="EN397" s="88"/>
      <c r="EO397" s="88"/>
      <c r="EP397" s="88"/>
      <c r="EQ397" s="90"/>
    </row>
    <row r="398" ht="12.0" customHeight="1">
      <c r="A398" s="89">
        <v>1.06450936E8</v>
      </c>
      <c r="B398" s="89" t="s">
        <v>2491</v>
      </c>
      <c r="C398" s="89" t="s">
        <v>2492</v>
      </c>
      <c r="D398" s="89" t="s">
        <v>2493</v>
      </c>
      <c r="E398" s="89" t="s">
        <v>2494</v>
      </c>
      <c r="F398" s="89" t="s">
        <v>2495</v>
      </c>
      <c r="G398" s="89" t="s">
        <v>2496</v>
      </c>
      <c r="H398" s="89" t="s">
        <v>494</v>
      </c>
      <c r="I398" s="89" t="s">
        <v>543</v>
      </c>
      <c r="J398" s="89" t="s">
        <v>437</v>
      </c>
      <c r="K398" s="89" t="s">
        <v>645</v>
      </c>
      <c r="L398" s="89" t="s">
        <v>645</v>
      </c>
      <c r="M398" s="89" t="s">
        <v>2497</v>
      </c>
      <c r="N398" s="89" t="s">
        <v>714</v>
      </c>
      <c r="O398" s="87">
        <v>178.0</v>
      </c>
      <c r="P398" s="87">
        <v>133.0</v>
      </c>
      <c r="Q398" s="87"/>
      <c r="R398" s="87"/>
      <c r="S398" s="87"/>
      <c r="T398" s="87"/>
      <c r="U398" s="87">
        <v>136.0</v>
      </c>
      <c r="V398" s="87">
        <v>175.0</v>
      </c>
      <c r="W398" s="87"/>
      <c r="X398" s="87"/>
      <c r="Y398" s="87"/>
      <c r="Z398" s="87"/>
      <c r="AA398" s="87"/>
      <c r="AB398" s="87">
        <v>12.0</v>
      </c>
      <c r="AC398" s="87">
        <v>16.0</v>
      </c>
      <c r="AD398" s="87">
        <v>54.0</v>
      </c>
      <c r="AE398" s="87">
        <v>100.0</v>
      </c>
      <c r="AF398" s="87">
        <v>117.0</v>
      </c>
      <c r="AG398" s="87">
        <v>12.0</v>
      </c>
      <c r="AH398" s="87"/>
      <c r="AI398" s="87">
        <v>304.0</v>
      </c>
      <c r="AJ398" s="87">
        <v>7.0</v>
      </c>
      <c r="AK398" s="87"/>
      <c r="AL398" s="87"/>
      <c r="AM398" s="87"/>
      <c r="AN398" s="87"/>
      <c r="AO398" s="87">
        <v>293.0</v>
      </c>
      <c r="AP398" s="87">
        <v>18.0</v>
      </c>
      <c r="AQ398" s="87"/>
      <c r="AR398" s="87"/>
      <c r="AS398" s="87">
        <v>152.0</v>
      </c>
      <c r="AT398" s="87"/>
      <c r="AU398" s="87">
        <v>17.0</v>
      </c>
      <c r="AV398" s="87">
        <v>2.0</v>
      </c>
      <c r="AW398" s="87">
        <v>19.0</v>
      </c>
      <c r="AX398" s="87">
        <v>120.0</v>
      </c>
      <c r="AY398" s="87"/>
      <c r="AZ398" s="87"/>
      <c r="BA398" s="87"/>
      <c r="BB398" s="87">
        <v>1.0</v>
      </c>
      <c r="BC398" s="87"/>
      <c r="BD398" s="87"/>
      <c r="BE398" s="87">
        <v>72.0</v>
      </c>
      <c r="BF398" s="87"/>
      <c r="BG398" s="87">
        <v>239.0</v>
      </c>
      <c r="BH398" s="87"/>
      <c r="BI398" s="87">
        <v>29720.0</v>
      </c>
      <c r="BJ398" s="87">
        <v>46.0</v>
      </c>
      <c r="BK398" s="87">
        <v>199.0</v>
      </c>
      <c r="BL398" s="87">
        <v>66.0</v>
      </c>
      <c r="BM398" s="87"/>
      <c r="BN398" s="87"/>
      <c r="BO398" s="87"/>
      <c r="BP398" s="87">
        <v>154.0</v>
      </c>
      <c r="BQ398" s="87">
        <v>22.0</v>
      </c>
      <c r="BR398" s="87"/>
      <c r="BS398" s="87">
        <v>77.0</v>
      </c>
      <c r="BT398" s="87"/>
      <c r="BU398" s="87"/>
      <c r="BV398" s="87">
        <v>5.0</v>
      </c>
      <c r="BW398" s="87">
        <v>44.0</v>
      </c>
      <c r="BX398" s="87"/>
      <c r="BY398" s="87"/>
      <c r="BZ398" s="87"/>
      <c r="CA398" s="87">
        <v>8.0</v>
      </c>
      <c r="CB398" s="87"/>
      <c r="CC398" s="87">
        <v>1.0</v>
      </c>
      <c r="CD398" s="87"/>
      <c r="CE398" s="87"/>
      <c r="CF398" s="87"/>
      <c r="CG398" s="87">
        <v>39.0</v>
      </c>
      <c r="CH398" s="87">
        <v>272.0</v>
      </c>
      <c r="CI398" s="87"/>
      <c r="CJ398" s="87">
        <v>203.0</v>
      </c>
      <c r="CK398" s="87">
        <v>66.0</v>
      </c>
      <c r="CL398" s="87">
        <v>34.0</v>
      </c>
      <c r="CM398" s="87"/>
      <c r="CN398" s="87"/>
      <c r="CO398" s="87">
        <v>1.0</v>
      </c>
      <c r="CP398" s="87"/>
      <c r="CQ398" s="87"/>
      <c r="CR398" s="87">
        <v>7.0</v>
      </c>
      <c r="CS398" s="87"/>
      <c r="CT398" s="87">
        <v>53.0</v>
      </c>
      <c r="CU398" s="87">
        <v>12.0</v>
      </c>
      <c r="CV398" s="87">
        <v>4.0</v>
      </c>
      <c r="CW398" s="87">
        <v>17.0</v>
      </c>
      <c r="CX398" s="87">
        <v>6.0</v>
      </c>
      <c r="CY398" s="87">
        <v>29.0</v>
      </c>
      <c r="CZ398" s="87"/>
      <c r="DA398" s="87"/>
      <c r="DB398" s="87">
        <v>40.0</v>
      </c>
      <c r="DC398" s="87">
        <v>37.0</v>
      </c>
      <c r="DD398" s="87">
        <v>13.0</v>
      </c>
      <c r="DE398" s="87">
        <v>11.0</v>
      </c>
      <c r="DF398" s="87">
        <v>10.0</v>
      </c>
      <c r="DG398" s="87">
        <v>16.0</v>
      </c>
      <c r="DH398" s="87"/>
      <c r="DI398" s="87"/>
      <c r="DJ398" s="87"/>
      <c r="DK398" s="87">
        <v>20.0</v>
      </c>
      <c r="DL398" s="87">
        <v>24.0</v>
      </c>
      <c r="DM398" s="87">
        <v>16.0</v>
      </c>
      <c r="DN398" s="87">
        <v>3.0</v>
      </c>
      <c r="DO398" s="87">
        <v>51.0</v>
      </c>
      <c r="DP398" s="87"/>
      <c r="DQ398" s="87">
        <v>3.0</v>
      </c>
      <c r="DR398" s="87">
        <v>1.0</v>
      </c>
      <c r="DS398" s="87"/>
      <c r="DT398" s="87"/>
      <c r="DU398" s="87"/>
      <c r="DV398" s="87"/>
      <c r="DW398" s="87"/>
      <c r="DX398" s="87">
        <v>2.0</v>
      </c>
      <c r="DY398" s="87">
        <v>5.0</v>
      </c>
      <c r="DZ398" s="87">
        <v>1.0</v>
      </c>
      <c r="EA398" s="87"/>
      <c r="EB398" s="87">
        <v>1.0</v>
      </c>
      <c r="EC398" s="87"/>
      <c r="ED398" s="87">
        <v>235.0</v>
      </c>
      <c r="EE398" s="87">
        <v>12.0</v>
      </c>
      <c r="EF398" s="87"/>
      <c r="EG398" s="87">
        <v>6.0</v>
      </c>
      <c r="EH398" s="87"/>
      <c r="EI398" s="87">
        <v>3.0</v>
      </c>
      <c r="EJ398" s="87">
        <v>302.0</v>
      </c>
      <c r="EK398" s="88"/>
      <c r="EL398" s="88"/>
      <c r="EM398" s="88"/>
      <c r="EN398" s="88"/>
      <c r="EO398" s="88"/>
      <c r="EP398" s="88"/>
      <c r="EQ398" s="90"/>
    </row>
    <row r="399" ht="12.0" customHeight="1">
      <c r="A399" s="89">
        <v>1.0645094E8</v>
      </c>
      <c r="B399" s="89" t="s">
        <v>2498</v>
      </c>
      <c r="C399" s="89" t="s">
        <v>2492</v>
      </c>
      <c r="D399" s="89" t="s">
        <v>2499</v>
      </c>
      <c r="E399" s="89" t="s">
        <v>2500</v>
      </c>
      <c r="F399" s="89" t="s">
        <v>2501</v>
      </c>
      <c r="G399" s="89" t="s">
        <v>2502</v>
      </c>
      <c r="H399" s="89" t="s">
        <v>475</v>
      </c>
      <c r="I399" s="89" t="s">
        <v>543</v>
      </c>
      <c r="J399" s="89" t="s">
        <v>469</v>
      </c>
      <c r="K399" s="89" t="s">
        <v>645</v>
      </c>
      <c r="L399" s="89" t="s">
        <v>645</v>
      </c>
      <c r="M399" s="89" t="s">
        <v>2503</v>
      </c>
      <c r="N399" s="89" t="s">
        <v>441</v>
      </c>
      <c r="O399" s="87">
        <v>5662.0</v>
      </c>
      <c r="P399" s="87"/>
      <c r="Q399" s="87">
        <v>166.0</v>
      </c>
      <c r="R399" s="87"/>
      <c r="S399" s="87"/>
      <c r="T399" s="87"/>
      <c r="U399" s="87">
        <v>3027.0</v>
      </c>
      <c r="V399" s="87">
        <v>2801.0</v>
      </c>
      <c r="W399" s="87"/>
      <c r="X399" s="87"/>
      <c r="Y399" s="87">
        <v>29.0</v>
      </c>
      <c r="Z399" s="87">
        <v>168.0</v>
      </c>
      <c r="AA399" s="87">
        <v>299.0</v>
      </c>
      <c r="AB399" s="87">
        <v>441.0</v>
      </c>
      <c r="AC399" s="87">
        <v>776.0</v>
      </c>
      <c r="AD399" s="87">
        <v>1310.0</v>
      </c>
      <c r="AE399" s="87">
        <v>1494.0</v>
      </c>
      <c r="AF399" s="87">
        <v>1311.0</v>
      </c>
      <c r="AG399" s="87"/>
      <c r="AH399" s="87">
        <v>182.0</v>
      </c>
      <c r="AI399" s="87">
        <v>5582.0</v>
      </c>
      <c r="AJ399" s="87">
        <v>64.0</v>
      </c>
      <c r="AK399" s="87">
        <v>158.0</v>
      </c>
      <c r="AL399" s="87">
        <v>66.0</v>
      </c>
      <c r="AM399" s="87"/>
      <c r="AN399" s="87">
        <v>79.0</v>
      </c>
      <c r="AO399" s="87">
        <v>5249.0</v>
      </c>
      <c r="AP399" s="87">
        <v>52.0</v>
      </c>
      <c r="AQ399" s="87">
        <v>224.0</v>
      </c>
      <c r="AR399" s="87"/>
      <c r="AS399" s="87">
        <v>5479.0</v>
      </c>
      <c r="AT399" s="87"/>
      <c r="AU399" s="87">
        <v>181.0</v>
      </c>
      <c r="AV399" s="87">
        <v>126.0</v>
      </c>
      <c r="AW399" s="87"/>
      <c r="AX399" s="87">
        <v>8.0</v>
      </c>
      <c r="AY399" s="87"/>
      <c r="AZ399" s="87"/>
      <c r="BA399" s="87">
        <v>18.0</v>
      </c>
      <c r="BB399" s="87">
        <v>16.0</v>
      </c>
      <c r="BC399" s="87"/>
      <c r="BD399" s="87"/>
      <c r="BE399" s="87">
        <v>4706.0</v>
      </c>
      <c r="BF399" s="87"/>
      <c r="BG399" s="87">
        <v>1122.0</v>
      </c>
      <c r="BH399" s="87"/>
      <c r="BI399" s="87">
        <v>26731.0</v>
      </c>
      <c r="BJ399" s="87">
        <v>4771.0</v>
      </c>
      <c r="BK399" s="87">
        <v>50.0</v>
      </c>
      <c r="BL399" s="87">
        <v>1007.0</v>
      </c>
      <c r="BM399" s="87"/>
      <c r="BN399" s="87"/>
      <c r="BO399" s="87"/>
      <c r="BP399" s="87">
        <v>3497.0</v>
      </c>
      <c r="BQ399" s="87">
        <v>140.0</v>
      </c>
      <c r="BR399" s="87">
        <v>25.0</v>
      </c>
      <c r="BS399" s="87">
        <v>622.0</v>
      </c>
      <c r="BT399" s="87">
        <v>4.0</v>
      </c>
      <c r="BU399" s="87">
        <v>21.0</v>
      </c>
      <c r="BV399" s="87">
        <v>245.0</v>
      </c>
      <c r="BW399" s="87">
        <v>245.0</v>
      </c>
      <c r="BX399" s="87">
        <v>934.0</v>
      </c>
      <c r="BY399" s="87"/>
      <c r="BZ399" s="87"/>
      <c r="CA399" s="87">
        <v>65.0</v>
      </c>
      <c r="CB399" s="87">
        <v>20.0</v>
      </c>
      <c r="CC399" s="87">
        <v>10.0</v>
      </c>
      <c r="CD399" s="87"/>
      <c r="CE399" s="87"/>
      <c r="CF399" s="87"/>
      <c r="CG399" s="87">
        <v>765.0</v>
      </c>
      <c r="CH399" s="87">
        <v>5063.0</v>
      </c>
      <c r="CI399" s="87"/>
      <c r="CJ399" s="87">
        <v>3933.0</v>
      </c>
      <c r="CK399" s="87">
        <v>1345.0</v>
      </c>
      <c r="CL399" s="87">
        <v>418.0</v>
      </c>
      <c r="CM399" s="87">
        <v>46.0</v>
      </c>
      <c r="CN399" s="87"/>
      <c r="CO399" s="87">
        <v>7.0</v>
      </c>
      <c r="CP399" s="87">
        <v>4.0</v>
      </c>
      <c r="CQ399" s="87">
        <v>32.0</v>
      </c>
      <c r="CR399" s="87">
        <v>43.0</v>
      </c>
      <c r="CS399" s="87"/>
      <c r="CT399" s="87">
        <v>950.0</v>
      </c>
      <c r="CU399" s="87">
        <v>135.0</v>
      </c>
      <c r="CV399" s="87">
        <v>29.0</v>
      </c>
      <c r="CW399" s="87">
        <v>231.0</v>
      </c>
      <c r="CX399" s="87">
        <v>233.0</v>
      </c>
      <c r="CY399" s="87">
        <v>186.0</v>
      </c>
      <c r="CZ399" s="87">
        <v>1.0</v>
      </c>
      <c r="DA399" s="87">
        <v>10.0</v>
      </c>
      <c r="DB399" s="87">
        <v>1231.0</v>
      </c>
      <c r="DC399" s="87">
        <v>529.0</v>
      </c>
      <c r="DD399" s="87">
        <v>786.0</v>
      </c>
      <c r="DE399" s="87">
        <v>142.0</v>
      </c>
      <c r="DF399" s="87">
        <v>518.0</v>
      </c>
      <c r="DG399" s="87">
        <v>243.0</v>
      </c>
      <c r="DH399" s="87"/>
      <c r="DI399" s="87"/>
      <c r="DJ399" s="87">
        <v>2.0</v>
      </c>
      <c r="DK399" s="87">
        <v>113.0</v>
      </c>
      <c r="DL399" s="87">
        <v>467.0</v>
      </c>
      <c r="DM399" s="87">
        <v>20.0</v>
      </c>
      <c r="DN399" s="87">
        <v>2.0</v>
      </c>
      <c r="DO399" s="87">
        <v>1580.0</v>
      </c>
      <c r="DP399" s="87"/>
      <c r="DQ399" s="87">
        <v>698.0</v>
      </c>
      <c r="DR399" s="87">
        <v>684.0</v>
      </c>
      <c r="DS399" s="87">
        <v>1.0</v>
      </c>
      <c r="DT399" s="87"/>
      <c r="DU399" s="87"/>
      <c r="DV399" s="87">
        <v>20.0</v>
      </c>
      <c r="DW399" s="87">
        <v>6.0</v>
      </c>
      <c r="DX399" s="87">
        <v>83.0</v>
      </c>
      <c r="DY399" s="87">
        <v>693.0</v>
      </c>
      <c r="DZ399" s="87">
        <v>32.0</v>
      </c>
      <c r="EA399" s="87">
        <v>1.0</v>
      </c>
      <c r="EB399" s="87">
        <v>142.0</v>
      </c>
      <c r="EC399" s="87">
        <v>72.0</v>
      </c>
      <c r="ED399" s="87">
        <v>1646.0</v>
      </c>
      <c r="EE399" s="87">
        <v>170.0</v>
      </c>
      <c r="EF399" s="87">
        <v>1.0</v>
      </c>
      <c r="EG399" s="87">
        <v>381.0</v>
      </c>
      <c r="EH399" s="87"/>
      <c r="EI399" s="87">
        <v>36.0</v>
      </c>
      <c r="EJ399" s="87">
        <v>5410.0</v>
      </c>
      <c r="EK399" s="88"/>
      <c r="EL399" s="88"/>
      <c r="EM399" s="88"/>
      <c r="EN399" s="88"/>
      <c r="EO399" s="88"/>
      <c r="EP399" s="88"/>
      <c r="EQ399" s="90"/>
    </row>
    <row r="400" ht="12.0" customHeight="1">
      <c r="A400" s="89">
        <v>1.06450949E8</v>
      </c>
      <c r="B400" s="89" t="s">
        <v>2504</v>
      </c>
      <c r="C400" s="89" t="s">
        <v>2492</v>
      </c>
      <c r="D400" s="89" t="s">
        <v>2505</v>
      </c>
      <c r="E400" s="89" t="s">
        <v>2506</v>
      </c>
      <c r="F400" s="89" t="s">
        <v>2501</v>
      </c>
      <c r="G400" s="89" t="s">
        <v>2502</v>
      </c>
      <c r="H400" s="89" t="s">
        <v>447</v>
      </c>
      <c r="I400" s="89" t="s">
        <v>543</v>
      </c>
      <c r="J400" s="89" t="s">
        <v>469</v>
      </c>
      <c r="K400" s="89" t="s">
        <v>645</v>
      </c>
      <c r="L400" s="89" t="s">
        <v>645</v>
      </c>
      <c r="M400" s="89" t="s">
        <v>2503</v>
      </c>
      <c r="N400" s="89" t="s">
        <v>441</v>
      </c>
      <c r="O400" s="87">
        <v>14506.0</v>
      </c>
      <c r="P400" s="87"/>
      <c r="Q400" s="87"/>
      <c r="R400" s="87"/>
      <c r="S400" s="87"/>
      <c r="T400" s="87"/>
      <c r="U400" s="87">
        <v>6666.0</v>
      </c>
      <c r="V400" s="87">
        <v>7840.0</v>
      </c>
      <c r="W400" s="87"/>
      <c r="X400" s="87">
        <v>1979.0</v>
      </c>
      <c r="Y400" s="87">
        <v>210.0</v>
      </c>
      <c r="Z400" s="87">
        <v>1220.0</v>
      </c>
      <c r="AA400" s="87">
        <v>1503.0</v>
      </c>
      <c r="AB400" s="87">
        <v>922.0</v>
      </c>
      <c r="AC400" s="87">
        <v>1442.0</v>
      </c>
      <c r="AD400" s="87">
        <v>2513.0</v>
      </c>
      <c r="AE400" s="87">
        <v>2605.0</v>
      </c>
      <c r="AF400" s="87">
        <v>2110.0</v>
      </c>
      <c r="AG400" s="87">
        <v>2.0</v>
      </c>
      <c r="AH400" s="87">
        <v>942.0</v>
      </c>
      <c r="AI400" s="87">
        <v>13432.0</v>
      </c>
      <c r="AJ400" s="87">
        <v>132.0</v>
      </c>
      <c r="AK400" s="87">
        <v>246.0</v>
      </c>
      <c r="AL400" s="87">
        <v>289.0</v>
      </c>
      <c r="AM400" s="87">
        <v>35.0</v>
      </c>
      <c r="AN400" s="87">
        <v>184.0</v>
      </c>
      <c r="AO400" s="87">
        <v>12233.0</v>
      </c>
      <c r="AP400" s="87">
        <v>335.0</v>
      </c>
      <c r="AQ400" s="87">
        <v>917.0</v>
      </c>
      <c r="AR400" s="87">
        <v>267.0</v>
      </c>
      <c r="AS400" s="87">
        <v>11117.0</v>
      </c>
      <c r="AT400" s="87">
        <v>403.0</v>
      </c>
      <c r="AU400" s="87">
        <v>714.0</v>
      </c>
      <c r="AV400" s="87">
        <v>440.0</v>
      </c>
      <c r="AW400" s="87">
        <v>22.0</v>
      </c>
      <c r="AX400" s="87">
        <v>78.0</v>
      </c>
      <c r="AY400" s="87">
        <v>6.0</v>
      </c>
      <c r="AZ400" s="87"/>
      <c r="BA400" s="87">
        <v>10.0</v>
      </c>
      <c r="BB400" s="87">
        <v>1.0</v>
      </c>
      <c r="BC400" s="87">
        <v>1715.0</v>
      </c>
      <c r="BD400" s="87"/>
      <c r="BE400" s="87">
        <v>9809.0</v>
      </c>
      <c r="BF400" s="87">
        <v>145.0</v>
      </c>
      <c r="BG400" s="87">
        <v>4437.0</v>
      </c>
      <c r="BH400" s="87">
        <v>115.0</v>
      </c>
      <c r="BI400" s="87">
        <v>69567.0</v>
      </c>
      <c r="BJ400" s="87">
        <v>4311.0</v>
      </c>
      <c r="BK400" s="87">
        <v>6691.0</v>
      </c>
      <c r="BL400" s="87">
        <v>1112.0</v>
      </c>
      <c r="BM400" s="87">
        <v>1715.0</v>
      </c>
      <c r="BN400" s="87">
        <v>677.0</v>
      </c>
      <c r="BO400" s="87"/>
      <c r="BP400" s="87">
        <v>9058.0</v>
      </c>
      <c r="BQ400" s="87">
        <v>348.0</v>
      </c>
      <c r="BR400" s="87">
        <v>103.0</v>
      </c>
      <c r="BS400" s="87">
        <v>1502.0</v>
      </c>
      <c r="BT400" s="87">
        <v>50.0</v>
      </c>
      <c r="BU400" s="87">
        <v>7.0</v>
      </c>
      <c r="BV400" s="87">
        <v>300.0</v>
      </c>
      <c r="BW400" s="87">
        <v>639.0</v>
      </c>
      <c r="BX400" s="87">
        <v>2233.0</v>
      </c>
      <c r="BY400" s="87"/>
      <c r="BZ400" s="87">
        <v>1.0</v>
      </c>
      <c r="CA400" s="87">
        <v>220.0</v>
      </c>
      <c r="CB400" s="87">
        <v>33.0</v>
      </c>
      <c r="CC400" s="87"/>
      <c r="CD400" s="87">
        <v>12.0</v>
      </c>
      <c r="CE400" s="87"/>
      <c r="CF400" s="87"/>
      <c r="CG400" s="87">
        <v>1715.0</v>
      </c>
      <c r="CH400" s="87">
        <v>12791.0</v>
      </c>
      <c r="CI400" s="87"/>
      <c r="CJ400" s="87">
        <v>6307.0</v>
      </c>
      <c r="CK400" s="87">
        <v>4328.0</v>
      </c>
      <c r="CL400" s="87">
        <v>2843.0</v>
      </c>
      <c r="CM400" s="87">
        <v>54.0</v>
      </c>
      <c r="CN400" s="87"/>
      <c r="CO400" s="87">
        <v>788.0</v>
      </c>
      <c r="CP400" s="87"/>
      <c r="CQ400" s="87">
        <v>168.0</v>
      </c>
      <c r="CR400" s="87"/>
      <c r="CS400" s="87">
        <v>18.0</v>
      </c>
      <c r="CT400" s="87">
        <v>2130.0</v>
      </c>
      <c r="CU400" s="87">
        <v>335.0</v>
      </c>
      <c r="CV400" s="87">
        <v>86.0</v>
      </c>
      <c r="CW400" s="87">
        <v>495.0</v>
      </c>
      <c r="CX400" s="87">
        <v>299.0</v>
      </c>
      <c r="CY400" s="87">
        <v>316.0</v>
      </c>
      <c r="CZ400" s="87">
        <v>9.0</v>
      </c>
      <c r="DA400" s="87">
        <v>8.0</v>
      </c>
      <c r="DB400" s="87">
        <v>2110.0</v>
      </c>
      <c r="DC400" s="87">
        <v>786.0</v>
      </c>
      <c r="DD400" s="87">
        <v>1242.0</v>
      </c>
      <c r="DE400" s="87">
        <v>185.0</v>
      </c>
      <c r="DF400" s="87">
        <v>521.0</v>
      </c>
      <c r="DG400" s="87">
        <v>535.0</v>
      </c>
      <c r="DH400" s="87">
        <v>1815.0</v>
      </c>
      <c r="DI400" s="87">
        <v>1786.0</v>
      </c>
      <c r="DJ400" s="87">
        <v>10.0</v>
      </c>
      <c r="DK400" s="87">
        <v>171.0</v>
      </c>
      <c r="DL400" s="87">
        <v>1598.0</v>
      </c>
      <c r="DM400" s="87">
        <v>68.0</v>
      </c>
      <c r="DN400" s="87">
        <v>1.0</v>
      </c>
      <c r="DO400" s="87">
        <v>2206.0</v>
      </c>
      <c r="DP400" s="87">
        <v>1646.0</v>
      </c>
      <c r="DQ400" s="87">
        <v>1310.0</v>
      </c>
      <c r="DR400" s="87">
        <v>1225.0</v>
      </c>
      <c r="DS400" s="87">
        <v>6.0</v>
      </c>
      <c r="DT400" s="87">
        <v>7.0</v>
      </c>
      <c r="DU400" s="87">
        <v>4.0</v>
      </c>
      <c r="DV400" s="87">
        <v>176.0</v>
      </c>
      <c r="DW400" s="87">
        <v>27.0</v>
      </c>
      <c r="DX400" s="87">
        <v>294.0</v>
      </c>
      <c r="DY400" s="87">
        <v>1121.0</v>
      </c>
      <c r="DZ400" s="87">
        <v>226.0</v>
      </c>
      <c r="EA400" s="87">
        <v>48.0</v>
      </c>
      <c r="EB400" s="87">
        <v>290.0</v>
      </c>
      <c r="EC400" s="87">
        <v>263.0</v>
      </c>
      <c r="ED400" s="87">
        <v>5488.0</v>
      </c>
      <c r="EE400" s="87">
        <v>169.0</v>
      </c>
      <c r="EF400" s="87">
        <v>90.0</v>
      </c>
      <c r="EG400" s="87">
        <v>491.0</v>
      </c>
      <c r="EH400" s="87">
        <v>1.0</v>
      </c>
      <c r="EI400" s="87">
        <v>150.0</v>
      </c>
      <c r="EJ400" s="87">
        <v>13774.0</v>
      </c>
      <c r="EK400" s="88"/>
      <c r="EL400" s="88"/>
      <c r="EM400" s="88"/>
      <c r="EN400" s="88"/>
      <c r="EO400" s="88"/>
      <c r="EP400" s="88"/>
      <c r="EQ400" s="90"/>
    </row>
    <row r="401" ht="12.0" customHeight="1">
      <c r="A401" s="89">
        <v>1.06454012E8</v>
      </c>
      <c r="B401" s="89" t="s">
        <v>2507</v>
      </c>
      <c r="C401" s="89" t="s">
        <v>2492</v>
      </c>
      <c r="D401" s="89" t="s">
        <v>2508</v>
      </c>
      <c r="E401" s="89" t="s">
        <v>2509</v>
      </c>
      <c r="F401" s="89" t="s">
        <v>2501</v>
      </c>
      <c r="G401" s="89" t="s">
        <v>2502</v>
      </c>
      <c r="H401" s="89" t="s">
        <v>475</v>
      </c>
      <c r="I401" s="89" t="s">
        <v>543</v>
      </c>
      <c r="J401" s="89" t="s">
        <v>463</v>
      </c>
      <c r="K401" s="89" t="s">
        <v>645</v>
      </c>
      <c r="L401" s="89" t="s">
        <v>645</v>
      </c>
      <c r="M401" s="89" t="s">
        <v>2503</v>
      </c>
      <c r="N401" s="89" t="s">
        <v>441</v>
      </c>
      <c r="O401" s="87">
        <v>533.0</v>
      </c>
      <c r="P401" s="87">
        <v>285.0</v>
      </c>
      <c r="Q401" s="87"/>
      <c r="R401" s="87"/>
      <c r="S401" s="87"/>
      <c r="T401" s="87"/>
      <c r="U401" s="87">
        <v>471.0</v>
      </c>
      <c r="V401" s="87">
        <v>347.0</v>
      </c>
      <c r="W401" s="87"/>
      <c r="X401" s="87"/>
      <c r="Y401" s="87"/>
      <c r="Z401" s="87">
        <v>12.0</v>
      </c>
      <c r="AA401" s="87">
        <v>35.0</v>
      </c>
      <c r="AB401" s="87">
        <v>55.0</v>
      </c>
      <c r="AC401" s="87">
        <v>134.0</v>
      </c>
      <c r="AD401" s="87">
        <v>189.0</v>
      </c>
      <c r="AE401" s="87">
        <v>235.0</v>
      </c>
      <c r="AF401" s="87">
        <v>158.0</v>
      </c>
      <c r="AG401" s="87"/>
      <c r="AH401" s="87">
        <v>21.0</v>
      </c>
      <c r="AI401" s="87">
        <v>678.0</v>
      </c>
      <c r="AJ401" s="87">
        <v>119.0</v>
      </c>
      <c r="AK401" s="87">
        <v>14.0</v>
      </c>
      <c r="AL401" s="87"/>
      <c r="AM401" s="87"/>
      <c r="AN401" s="87"/>
      <c r="AO401" s="87">
        <v>660.0</v>
      </c>
      <c r="AP401" s="87">
        <v>144.0</v>
      </c>
      <c r="AQ401" s="87"/>
      <c r="AR401" s="87"/>
      <c r="AS401" s="87"/>
      <c r="AT401" s="87">
        <v>2.0</v>
      </c>
      <c r="AU401" s="87">
        <v>808.0</v>
      </c>
      <c r="AV401" s="87"/>
      <c r="AW401" s="87"/>
      <c r="AX401" s="87">
        <v>7.0</v>
      </c>
      <c r="AY401" s="87"/>
      <c r="AZ401" s="87">
        <v>1.0</v>
      </c>
      <c r="BA401" s="87"/>
      <c r="BB401" s="87"/>
      <c r="BC401" s="87"/>
      <c r="BD401" s="87"/>
      <c r="BE401" s="87"/>
      <c r="BF401" s="87"/>
      <c r="BG401" s="87">
        <v>818.0</v>
      </c>
      <c r="BH401" s="87"/>
      <c r="BI401" s="87">
        <v>24045.0</v>
      </c>
      <c r="BJ401" s="87"/>
      <c r="BK401" s="87"/>
      <c r="BL401" s="87">
        <v>818.0</v>
      </c>
      <c r="BM401" s="87"/>
      <c r="BN401" s="87"/>
      <c r="BO401" s="87"/>
      <c r="BP401" s="87">
        <v>269.0</v>
      </c>
      <c r="BQ401" s="87">
        <v>158.0</v>
      </c>
      <c r="BR401" s="87">
        <v>6.0</v>
      </c>
      <c r="BS401" s="87">
        <v>141.0</v>
      </c>
      <c r="BT401" s="87">
        <v>4.0</v>
      </c>
      <c r="BU401" s="87"/>
      <c r="BV401" s="87">
        <v>38.0</v>
      </c>
      <c r="BW401" s="87">
        <v>49.0</v>
      </c>
      <c r="BX401" s="87">
        <v>139.0</v>
      </c>
      <c r="BY401" s="87"/>
      <c r="BZ401" s="87"/>
      <c r="CA401" s="87">
        <v>5.0</v>
      </c>
      <c r="CB401" s="87"/>
      <c r="CC401" s="87"/>
      <c r="CD401" s="87">
        <v>9.0</v>
      </c>
      <c r="CE401" s="87"/>
      <c r="CF401" s="87"/>
      <c r="CG401" s="87">
        <v>55.0</v>
      </c>
      <c r="CH401" s="87">
        <v>763.0</v>
      </c>
      <c r="CI401" s="87"/>
      <c r="CJ401" s="87">
        <v>553.0</v>
      </c>
      <c r="CK401" s="87">
        <v>193.0</v>
      </c>
      <c r="CL401" s="87">
        <v>60.0</v>
      </c>
      <c r="CM401" s="87"/>
      <c r="CN401" s="87"/>
      <c r="CO401" s="87">
        <v>11.0</v>
      </c>
      <c r="CP401" s="87"/>
      <c r="CQ401" s="87"/>
      <c r="CR401" s="87">
        <v>1.0</v>
      </c>
      <c r="CS401" s="87"/>
      <c r="CT401" s="87">
        <v>82.0</v>
      </c>
      <c r="CU401" s="87">
        <v>1.0</v>
      </c>
      <c r="CV401" s="87">
        <v>1.0</v>
      </c>
      <c r="CW401" s="87">
        <v>53.0</v>
      </c>
      <c r="CX401" s="87"/>
      <c r="CY401" s="87">
        <v>9.0</v>
      </c>
      <c r="CZ401" s="87"/>
      <c r="DA401" s="87">
        <v>1.0</v>
      </c>
      <c r="DB401" s="87">
        <v>49.0</v>
      </c>
      <c r="DC401" s="87">
        <v>238.0</v>
      </c>
      <c r="DD401" s="87">
        <v>27.0</v>
      </c>
      <c r="DE401" s="87">
        <v>37.0</v>
      </c>
      <c r="DF401" s="87">
        <v>68.0</v>
      </c>
      <c r="DG401" s="87">
        <v>44.0</v>
      </c>
      <c r="DH401" s="87"/>
      <c r="DI401" s="87"/>
      <c r="DJ401" s="87"/>
      <c r="DK401" s="87">
        <v>9.0</v>
      </c>
      <c r="DL401" s="87">
        <v>165.0</v>
      </c>
      <c r="DM401" s="87">
        <v>34.0</v>
      </c>
      <c r="DN401" s="87"/>
      <c r="DO401" s="87">
        <v>167.0</v>
      </c>
      <c r="DP401" s="87"/>
      <c r="DQ401" s="87">
        <v>112.0</v>
      </c>
      <c r="DR401" s="87">
        <v>6.0</v>
      </c>
      <c r="DS401" s="87"/>
      <c r="DT401" s="87"/>
      <c r="DU401" s="87"/>
      <c r="DV401" s="87">
        <v>2.0</v>
      </c>
      <c r="DW401" s="87"/>
      <c r="DX401" s="87">
        <v>82.0</v>
      </c>
      <c r="DY401" s="87">
        <v>89.0</v>
      </c>
      <c r="DZ401" s="87"/>
      <c r="EA401" s="87"/>
      <c r="EB401" s="87">
        <v>6.0</v>
      </c>
      <c r="EC401" s="87"/>
      <c r="ED401" s="87">
        <v>354.0</v>
      </c>
      <c r="EE401" s="87"/>
      <c r="EF401" s="87"/>
      <c r="EG401" s="87">
        <v>30.0</v>
      </c>
      <c r="EH401" s="87"/>
      <c r="EI401" s="87">
        <v>25.0</v>
      </c>
      <c r="EJ401" s="87">
        <v>763.0</v>
      </c>
      <c r="EK401" s="88"/>
      <c r="EL401" s="88"/>
      <c r="EM401" s="88"/>
      <c r="EN401" s="88"/>
      <c r="EO401" s="88"/>
      <c r="EP401" s="88"/>
      <c r="EQ401" s="90"/>
    </row>
    <row r="402" ht="12.0" customHeight="1">
      <c r="A402" s="89">
        <v>1.06454013E8</v>
      </c>
      <c r="B402" s="89" t="s">
        <v>2510</v>
      </c>
      <c r="C402" s="89" t="s">
        <v>2492</v>
      </c>
      <c r="D402" s="89" t="s">
        <v>2511</v>
      </c>
      <c r="E402" s="89" t="s">
        <v>2512</v>
      </c>
      <c r="F402" s="89" t="s">
        <v>2501</v>
      </c>
      <c r="G402" s="89" t="s">
        <v>2502</v>
      </c>
      <c r="H402" s="89" t="s">
        <v>2513</v>
      </c>
      <c r="I402" s="89" t="s">
        <v>543</v>
      </c>
      <c r="J402" s="89" t="s">
        <v>499</v>
      </c>
      <c r="K402" s="89" t="s">
        <v>645</v>
      </c>
      <c r="L402" s="89" t="s">
        <v>645</v>
      </c>
      <c r="M402" s="89" t="s">
        <v>2503</v>
      </c>
      <c r="N402" s="89" t="s">
        <v>441</v>
      </c>
      <c r="O402" s="87">
        <v>56.0</v>
      </c>
      <c r="P402" s="87"/>
      <c r="Q402" s="87"/>
      <c r="R402" s="87"/>
      <c r="S402" s="87"/>
      <c r="T402" s="87"/>
      <c r="U402" s="87">
        <v>21.0</v>
      </c>
      <c r="V402" s="87">
        <v>35.0</v>
      </c>
      <c r="W402" s="87"/>
      <c r="X402" s="87"/>
      <c r="Y402" s="87"/>
      <c r="Z402" s="87"/>
      <c r="AA402" s="87"/>
      <c r="AB402" s="87"/>
      <c r="AC402" s="87"/>
      <c r="AD402" s="87">
        <v>20.0</v>
      </c>
      <c r="AE402" s="87">
        <v>18.0</v>
      </c>
      <c r="AF402" s="87"/>
      <c r="AG402" s="87">
        <v>18.0</v>
      </c>
      <c r="AH402" s="87"/>
      <c r="AI402" s="87">
        <v>46.0</v>
      </c>
      <c r="AJ402" s="87">
        <v>10.0</v>
      </c>
      <c r="AK402" s="87"/>
      <c r="AL402" s="87"/>
      <c r="AM402" s="87"/>
      <c r="AN402" s="87"/>
      <c r="AO402" s="87">
        <v>47.0</v>
      </c>
      <c r="AP402" s="87">
        <v>9.0</v>
      </c>
      <c r="AQ402" s="87"/>
      <c r="AR402" s="87"/>
      <c r="AS402" s="87">
        <v>56.0</v>
      </c>
      <c r="AT402" s="87"/>
      <c r="AU402" s="87"/>
      <c r="AV402" s="87"/>
      <c r="AW402" s="87"/>
      <c r="AX402" s="87"/>
      <c r="AY402" s="87"/>
      <c r="AZ402" s="87"/>
      <c r="BA402" s="87"/>
      <c r="BB402" s="87"/>
      <c r="BC402" s="87"/>
      <c r="BD402" s="87"/>
      <c r="BE402" s="87"/>
      <c r="BF402" s="87"/>
      <c r="BG402" s="87">
        <v>56.0</v>
      </c>
      <c r="BH402" s="87"/>
      <c r="BI402" s="87">
        <v>101.0</v>
      </c>
      <c r="BJ402" s="87"/>
      <c r="BK402" s="87"/>
      <c r="BL402" s="87">
        <v>56.0</v>
      </c>
      <c r="BM402" s="87"/>
      <c r="BN402" s="87"/>
      <c r="BO402" s="87"/>
      <c r="BP402" s="87">
        <v>56.0</v>
      </c>
      <c r="BQ402" s="87"/>
      <c r="BR402" s="87"/>
      <c r="BS402" s="87"/>
      <c r="BT402" s="87"/>
      <c r="BU402" s="87"/>
      <c r="BV402" s="87"/>
      <c r="BW402" s="87"/>
      <c r="BX402" s="87"/>
      <c r="BY402" s="87"/>
      <c r="BZ402" s="87"/>
      <c r="CA402" s="87"/>
      <c r="CB402" s="87"/>
      <c r="CC402" s="87"/>
      <c r="CD402" s="87"/>
      <c r="CE402" s="87"/>
      <c r="CF402" s="87"/>
      <c r="CG402" s="87">
        <v>2.0</v>
      </c>
      <c r="CH402" s="87">
        <v>54.0</v>
      </c>
      <c r="CI402" s="87"/>
      <c r="CJ402" s="87">
        <v>22.0</v>
      </c>
      <c r="CK402" s="87"/>
      <c r="CL402" s="87">
        <v>10.0</v>
      </c>
      <c r="CM402" s="87">
        <v>9.0</v>
      </c>
      <c r="CN402" s="87"/>
      <c r="CO402" s="87"/>
      <c r="CP402" s="87"/>
      <c r="CQ402" s="87">
        <v>15.0</v>
      </c>
      <c r="CR402" s="87"/>
      <c r="CS402" s="87"/>
      <c r="CT402" s="87"/>
      <c r="CU402" s="87">
        <v>3.0</v>
      </c>
      <c r="CV402" s="87"/>
      <c r="CW402" s="87"/>
      <c r="CX402" s="87"/>
      <c r="CY402" s="87"/>
      <c r="CZ402" s="87"/>
      <c r="DA402" s="87"/>
      <c r="DB402" s="87"/>
      <c r="DC402" s="87"/>
      <c r="DD402" s="87"/>
      <c r="DE402" s="87"/>
      <c r="DF402" s="87">
        <v>35.0</v>
      </c>
      <c r="DG402" s="87">
        <v>4.0</v>
      </c>
      <c r="DH402" s="87"/>
      <c r="DI402" s="87"/>
      <c r="DJ402" s="87"/>
      <c r="DK402" s="87"/>
      <c r="DL402" s="87"/>
      <c r="DM402" s="87">
        <v>14.0</v>
      </c>
      <c r="DN402" s="87"/>
      <c r="DO402" s="87"/>
      <c r="DP402" s="87"/>
      <c r="DQ402" s="87"/>
      <c r="DR402" s="87"/>
      <c r="DS402" s="87"/>
      <c r="DT402" s="87"/>
      <c r="DU402" s="87">
        <v>1.0</v>
      </c>
      <c r="DV402" s="87">
        <v>7.0</v>
      </c>
      <c r="DW402" s="87"/>
      <c r="DX402" s="87">
        <v>4.0</v>
      </c>
      <c r="DY402" s="87">
        <v>14.0</v>
      </c>
      <c r="DZ402" s="87">
        <v>30.0</v>
      </c>
      <c r="EA402" s="87"/>
      <c r="EB402" s="87"/>
      <c r="EC402" s="87"/>
      <c r="ED402" s="87"/>
      <c r="EE402" s="87"/>
      <c r="EF402" s="87"/>
      <c r="EG402" s="87"/>
      <c r="EH402" s="87"/>
      <c r="EI402" s="87"/>
      <c r="EJ402" s="87">
        <v>56.0</v>
      </c>
      <c r="EK402" s="88"/>
      <c r="EL402" s="88"/>
      <c r="EM402" s="88"/>
      <c r="EN402" s="88"/>
      <c r="EO402" s="88"/>
      <c r="EP402" s="88"/>
      <c r="EQ402" s="90"/>
    </row>
    <row r="403" ht="12.0" customHeight="1">
      <c r="A403" s="89">
        <v>1.06454068E8</v>
      </c>
      <c r="B403" s="89" t="s">
        <v>2514</v>
      </c>
      <c r="C403" s="89" t="s">
        <v>2492</v>
      </c>
      <c r="D403" s="89" t="s">
        <v>2515</v>
      </c>
      <c r="E403" s="89" t="s">
        <v>2516</v>
      </c>
      <c r="F403" s="89" t="s">
        <v>2501</v>
      </c>
      <c r="G403" s="89" t="s">
        <v>2502</v>
      </c>
      <c r="H403" s="89" t="s">
        <v>503</v>
      </c>
      <c r="I403" s="89" t="s">
        <v>543</v>
      </c>
      <c r="J403" s="89" t="s">
        <v>499</v>
      </c>
      <c r="K403" s="89" t="s">
        <v>645</v>
      </c>
      <c r="L403" s="89" t="s">
        <v>645</v>
      </c>
      <c r="M403" s="89" t="s">
        <v>2503</v>
      </c>
      <c r="N403" s="89" t="s">
        <v>441</v>
      </c>
      <c r="O403" s="87"/>
      <c r="P403" s="87"/>
      <c r="Q403" s="87">
        <v>407.0</v>
      </c>
      <c r="R403" s="87"/>
      <c r="S403" s="87"/>
      <c r="T403" s="87"/>
      <c r="U403" s="87">
        <v>189.0</v>
      </c>
      <c r="V403" s="87">
        <v>218.0</v>
      </c>
      <c r="W403" s="87"/>
      <c r="X403" s="87"/>
      <c r="Y403" s="87">
        <v>25.0</v>
      </c>
      <c r="Z403" s="87">
        <v>128.0</v>
      </c>
      <c r="AA403" s="87">
        <v>125.0</v>
      </c>
      <c r="AB403" s="87">
        <v>73.0</v>
      </c>
      <c r="AC403" s="87">
        <v>37.0</v>
      </c>
      <c r="AD403" s="87">
        <v>15.0</v>
      </c>
      <c r="AE403" s="87"/>
      <c r="AF403" s="87"/>
      <c r="AG403" s="87">
        <v>4.0</v>
      </c>
      <c r="AH403" s="87">
        <v>34.0</v>
      </c>
      <c r="AI403" s="87">
        <v>359.0</v>
      </c>
      <c r="AJ403" s="87">
        <v>14.0</v>
      </c>
      <c r="AK403" s="87">
        <v>21.0</v>
      </c>
      <c r="AL403" s="87"/>
      <c r="AM403" s="87"/>
      <c r="AN403" s="87">
        <v>17.0</v>
      </c>
      <c r="AO403" s="87">
        <v>334.0</v>
      </c>
      <c r="AP403" s="87">
        <v>35.0</v>
      </c>
      <c r="AQ403" s="87"/>
      <c r="AR403" s="87"/>
      <c r="AS403" s="87"/>
      <c r="AT403" s="87"/>
      <c r="AU403" s="87">
        <v>407.0</v>
      </c>
      <c r="AV403" s="87"/>
      <c r="AW403" s="87"/>
      <c r="AX403" s="87"/>
      <c r="AY403" s="87"/>
      <c r="AZ403" s="87"/>
      <c r="BA403" s="87"/>
      <c r="BB403" s="87"/>
      <c r="BC403" s="87"/>
      <c r="BD403" s="87"/>
      <c r="BE403" s="87"/>
      <c r="BF403" s="87">
        <v>407.0</v>
      </c>
      <c r="BG403" s="87"/>
      <c r="BH403" s="87"/>
      <c r="BI403" s="87">
        <v>4918.0</v>
      </c>
      <c r="BJ403" s="87"/>
      <c r="BK403" s="87">
        <v>406.0</v>
      </c>
      <c r="BL403" s="87">
        <v>1.0</v>
      </c>
      <c r="BM403" s="87"/>
      <c r="BN403" s="87"/>
      <c r="BO403" s="87"/>
      <c r="BP403" s="87">
        <v>336.0</v>
      </c>
      <c r="BQ403" s="87">
        <v>3.0</v>
      </c>
      <c r="BR403" s="87">
        <v>1.0</v>
      </c>
      <c r="BS403" s="87">
        <v>19.0</v>
      </c>
      <c r="BT403" s="87">
        <v>40.0</v>
      </c>
      <c r="BU403" s="87">
        <v>1.0</v>
      </c>
      <c r="BV403" s="87">
        <v>4.0</v>
      </c>
      <c r="BW403" s="87"/>
      <c r="BX403" s="87"/>
      <c r="BY403" s="87"/>
      <c r="BZ403" s="87"/>
      <c r="CA403" s="87"/>
      <c r="CB403" s="87">
        <v>3.0</v>
      </c>
      <c r="CC403" s="87"/>
      <c r="CD403" s="87"/>
      <c r="CE403" s="87"/>
      <c r="CF403" s="87"/>
      <c r="CG403" s="87"/>
      <c r="CH403" s="87">
        <v>407.0</v>
      </c>
      <c r="CI403" s="87"/>
      <c r="CJ403" s="87"/>
      <c r="CK403" s="87"/>
      <c r="CL403" s="87"/>
      <c r="CM403" s="87"/>
      <c r="CN403" s="87"/>
      <c r="CO403" s="87">
        <v>407.0</v>
      </c>
      <c r="CP403" s="87"/>
      <c r="CQ403" s="87"/>
      <c r="CR403" s="87"/>
      <c r="CS403" s="87"/>
      <c r="CT403" s="87"/>
      <c r="CU403" s="87"/>
      <c r="CV403" s="87"/>
      <c r="CW403" s="87"/>
      <c r="CX403" s="87">
        <v>407.0</v>
      </c>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v>407.0</v>
      </c>
      <c r="EE403" s="87"/>
      <c r="EF403" s="87"/>
      <c r="EG403" s="87">
        <v>20.0</v>
      </c>
      <c r="EH403" s="87"/>
      <c r="EI403" s="87">
        <v>8.0</v>
      </c>
      <c r="EJ403" s="87">
        <v>379.0</v>
      </c>
      <c r="EK403" s="88"/>
      <c r="EL403" s="88"/>
      <c r="EM403" s="88"/>
      <c r="EN403" s="88"/>
      <c r="EO403" s="88"/>
      <c r="EP403" s="88"/>
      <c r="EQ403" s="90"/>
    </row>
    <row r="404" ht="12.0" customHeight="1">
      <c r="A404" s="89">
        <v>1.06470871E8</v>
      </c>
      <c r="B404" s="89" t="s">
        <v>2517</v>
      </c>
      <c r="C404" s="89" t="s">
        <v>2518</v>
      </c>
      <c r="D404" s="89" t="s">
        <v>2519</v>
      </c>
      <c r="E404" s="89" t="s">
        <v>2520</v>
      </c>
      <c r="F404" s="89" t="s">
        <v>2521</v>
      </c>
      <c r="G404" s="89" t="s">
        <v>2522</v>
      </c>
      <c r="H404" s="89" t="s">
        <v>447</v>
      </c>
      <c r="I404" s="89" t="s">
        <v>543</v>
      </c>
      <c r="J404" s="89" t="s">
        <v>499</v>
      </c>
      <c r="K404" s="89" t="s">
        <v>645</v>
      </c>
      <c r="L404" s="89" t="s">
        <v>645</v>
      </c>
      <c r="M404" s="89" t="s">
        <v>2523</v>
      </c>
      <c r="N404" s="89" t="s">
        <v>547</v>
      </c>
      <c r="O404" s="87">
        <v>918.0</v>
      </c>
      <c r="P404" s="87">
        <v>10.0</v>
      </c>
      <c r="Q404" s="87"/>
      <c r="R404" s="87"/>
      <c r="S404" s="87"/>
      <c r="T404" s="87"/>
      <c r="U404" s="87">
        <v>423.0</v>
      </c>
      <c r="V404" s="87">
        <v>505.0</v>
      </c>
      <c r="W404" s="87"/>
      <c r="X404" s="87">
        <v>134.0</v>
      </c>
      <c r="Y404" s="87"/>
      <c r="Z404" s="87">
        <v>78.0</v>
      </c>
      <c r="AA404" s="87">
        <v>88.0</v>
      </c>
      <c r="AB404" s="87">
        <v>47.0</v>
      </c>
      <c r="AC404" s="87">
        <v>70.0</v>
      </c>
      <c r="AD404" s="87">
        <v>154.0</v>
      </c>
      <c r="AE404" s="87">
        <v>183.0</v>
      </c>
      <c r="AF404" s="87">
        <v>164.0</v>
      </c>
      <c r="AG404" s="87">
        <v>10.0</v>
      </c>
      <c r="AH404" s="87">
        <v>38.0</v>
      </c>
      <c r="AI404" s="87">
        <v>848.0</v>
      </c>
      <c r="AJ404" s="87">
        <v>42.0</v>
      </c>
      <c r="AK404" s="87"/>
      <c r="AL404" s="87">
        <v>20.0</v>
      </c>
      <c r="AM404" s="87"/>
      <c r="AN404" s="87">
        <v>24.0</v>
      </c>
      <c r="AO404" s="87">
        <v>803.0</v>
      </c>
      <c r="AP404" s="87">
        <v>20.0</v>
      </c>
      <c r="AQ404" s="87">
        <v>61.0</v>
      </c>
      <c r="AR404" s="87"/>
      <c r="AS404" s="87">
        <v>602.0</v>
      </c>
      <c r="AT404" s="87">
        <v>109.0</v>
      </c>
      <c r="AU404" s="87">
        <v>20.0</v>
      </c>
      <c r="AV404" s="87">
        <v>23.0</v>
      </c>
      <c r="AW404" s="87">
        <v>2.0</v>
      </c>
      <c r="AX404" s="87">
        <v>52.0</v>
      </c>
      <c r="AY404" s="87">
        <v>1.0</v>
      </c>
      <c r="AZ404" s="87"/>
      <c r="BA404" s="87"/>
      <c r="BB404" s="87"/>
      <c r="BC404" s="87">
        <v>119.0</v>
      </c>
      <c r="BD404" s="87"/>
      <c r="BE404" s="87">
        <v>584.0</v>
      </c>
      <c r="BF404" s="87">
        <v>1.0</v>
      </c>
      <c r="BG404" s="87">
        <v>339.0</v>
      </c>
      <c r="BH404" s="87">
        <v>4.0</v>
      </c>
      <c r="BI404" s="87">
        <v>2847.0</v>
      </c>
      <c r="BJ404" s="87">
        <v>160.0</v>
      </c>
      <c r="BK404" s="87">
        <v>468.0</v>
      </c>
      <c r="BL404" s="87">
        <v>149.0</v>
      </c>
      <c r="BM404" s="87">
        <v>119.0</v>
      </c>
      <c r="BN404" s="87">
        <v>32.0</v>
      </c>
      <c r="BO404" s="87"/>
      <c r="BP404" s="87">
        <v>673.0</v>
      </c>
      <c r="BQ404" s="87">
        <v>44.0</v>
      </c>
      <c r="BR404" s="87">
        <v>1.0</v>
      </c>
      <c r="BS404" s="87">
        <v>107.0</v>
      </c>
      <c r="BT404" s="87">
        <v>1.0</v>
      </c>
      <c r="BU404" s="87"/>
      <c r="BV404" s="87">
        <v>13.0</v>
      </c>
      <c r="BW404" s="87">
        <v>29.0</v>
      </c>
      <c r="BX404" s="87">
        <v>47.0</v>
      </c>
      <c r="BY404" s="87"/>
      <c r="BZ404" s="87"/>
      <c r="CA404" s="87">
        <v>13.0</v>
      </c>
      <c r="CB404" s="87"/>
      <c r="CC404" s="87"/>
      <c r="CD404" s="87"/>
      <c r="CE404" s="87"/>
      <c r="CF404" s="87"/>
      <c r="CG404" s="87">
        <v>143.0</v>
      </c>
      <c r="CH404" s="87">
        <v>785.0</v>
      </c>
      <c r="CI404" s="87"/>
      <c r="CJ404" s="87">
        <v>453.0</v>
      </c>
      <c r="CK404" s="87">
        <v>271.0</v>
      </c>
      <c r="CL404" s="87">
        <v>148.0</v>
      </c>
      <c r="CM404" s="87">
        <v>4.0</v>
      </c>
      <c r="CN404" s="87"/>
      <c r="CO404" s="87">
        <v>36.0</v>
      </c>
      <c r="CP404" s="87"/>
      <c r="CQ404" s="87">
        <v>13.0</v>
      </c>
      <c r="CR404" s="87"/>
      <c r="CS404" s="87">
        <v>3.0</v>
      </c>
      <c r="CT404" s="87">
        <v>113.0</v>
      </c>
      <c r="CU404" s="87">
        <v>14.0</v>
      </c>
      <c r="CV404" s="87">
        <v>8.0</v>
      </c>
      <c r="CW404" s="87">
        <v>45.0</v>
      </c>
      <c r="CX404" s="87">
        <v>15.0</v>
      </c>
      <c r="CY404" s="87">
        <v>17.0</v>
      </c>
      <c r="CZ404" s="87"/>
      <c r="DA404" s="87">
        <v>2.0</v>
      </c>
      <c r="DB404" s="87">
        <v>83.0</v>
      </c>
      <c r="DC404" s="87">
        <v>80.0</v>
      </c>
      <c r="DD404" s="87">
        <v>90.0</v>
      </c>
      <c r="DE404" s="87">
        <v>17.0</v>
      </c>
      <c r="DF404" s="87">
        <v>44.0</v>
      </c>
      <c r="DG404" s="87">
        <v>32.0</v>
      </c>
      <c r="DH404" s="87">
        <v>125.0</v>
      </c>
      <c r="DI404" s="87">
        <v>126.0</v>
      </c>
      <c r="DJ404" s="87"/>
      <c r="DK404" s="87">
        <v>13.0</v>
      </c>
      <c r="DL404" s="87">
        <v>98.0</v>
      </c>
      <c r="DM404" s="87">
        <v>6.0</v>
      </c>
      <c r="DN404" s="87"/>
      <c r="DO404" s="87">
        <v>105.0</v>
      </c>
      <c r="DP404" s="87">
        <v>112.0</v>
      </c>
      <c r="DQ404" s="87">
        <v>12.0</v>
      </c>
      <c r="DR404" s="87">
        <v>63.0</v>
      </c>
      <c r="DS404" s="87"/>
      <c r="DT404" s="87"/>
      <c r="DU404" s="87"/>
      <c r="DV404" s="87">
        <v>3.0</v>
      </c>
      <c r="DW404" s="87"/>
      <c r="DX404" s="87">
        <v>9.0</v>
      </c>
      <c r="DY404" s="87">
        <v>95.0</v>
      </c>
      <c r="DZ404" s="87">
        <v>12.0</v>
      </c>
      <c r="EA404" s="87"/>
      <c r="EB404" s="87">
        <v>8.0</v>
      </c>
      <c r="EC404" s="87">
        <v>3.0</v>
      </c>
      <c r="ED404" s="87">
        <v>502.0</v>
      </c>
      <c r="EE404" s="87">
        <v>4.0</v>
      </c>
      <c r="EF404" s="87">
        <v>3.0</v>
      </c>
      <c r="EG404" s="87">
        <v>15.0</v>
      </c>
      <c r="EH404" s="87"/>
      <c r="EI404" s="87">
        <v>20.0</v>
      </c>
      <c r="EJ404" s="87">
        <v>890.0</v>
      </c>
      <c r="EK404" s="88"/>
      <c r="EL404" s="88"/>
      <c r="EM404" s="88"/>
      <c r="EN404" s="88"/>
      <c r="EO404" s="88"/>
      <c r="EP404" s="88"/>
      <c r="EQ404" s="90"/>
    </row>
    <row r="405" ht="12.0" customHeight="1">
      <c r="A405" s="89">
        <v>1.06474007E8</v>
      </c>
      <c r="B405" s="89" t="s">
        <v>2524</v>
      </c>
      <c r="C405" s="89" t="s">
        <v>2518</v>
      </c>
      <c r="D405" s="89" t="s">
        <v>2525</v>
      </c>
      <c r="E405" s="89" t="s">
        <v>2526</v>
      </c>
      <c r="F405" s="89" t="s">
        <v>2527</v>
      </c>
      <c r="G405" s="89" t="s">
        <v>2528</v>
      </c>
      <c r="H405" s="89" t="s">
        <v>447</v>
      </c>
      <c r="I405" s="89" t="s">
        <v>543</v>
      </c>
      <c r="J405" s="89" t="s">
        <v>499</v>
      </c>
      <c r="K405" s="89" t="s">
        <v>645</v>
      </c>
      <c r="L405" s="89" t="s">
        <v>645</v>
      </c>
      <c r="M405" s="89" t="s">
        <v>2529</v>
      </c>
      <c r="N405" s="89" t="s">
        <v>547</v>
      </c>
      <c r="O405" s="87">
        <v>1392.0</v>
      </c>
      <c r="P405" s="87"/>
      <c r="Q405" s="87"/>
      <c r="R405" s="87"/>
      <c r="S405" s="87"/>
      <c r="T405" s="87"/>
      <c r="U405" s="87">
        <v>616.0</v>
      </c>
      <c r="V405" s="87">
        <v>776.0</v>
      </c>
      <c r="W405" s="87"/>
      <c r="X405" s="87">
        <v>196.0</v>
      </c>
      <c r="Y405" s="87">
        <v>22.0</v>
      </c>
      <c r="Z405" s="87">
        <v>117.0</v>
      </c>
      <c r="AA405" s="87">
        <v>135.0</v>
      </c>
      <c r="AB405" s="87">
        <v>77.0</v>
      </c>
      <c r="AC405" s="87">
        <v>159.0</v>
      </c>
      <c r="AD405" s="87">
        <v>227.0</v>
      </c>
      <c r="AE405" s="87">
        <v>228.0</v>
      </c>
      <c r="AF405" s="87">
        <v>231.0</v>
      </c>
      <c r="AG405" s="87"/>
      <c r="AH405" s="87">
        <v>93.0</v>
      </c>
      <c r="AI405" s="87">
        <v>1187.0</v>
      </c>
      <c r="AJ405" s="87">
        <v>112.0</v>
      </c>
      <c r="AK405" s="87">
        <v>86.0</v>
      </c>
      <c r="AL405" s="87">
        <v>20.0</v>
      </c>
      <c r="AM405" s="87"/>
      <c r="AN405" s="87">
        <v>11.0</v>
      </c>
      <c r="AO405" s="87">
        <v>1117.0</v>
      </c>
      <c r="AP405" s="87">
        <v>102.0</v>
      </c>
      <c r="AQ405" s="87">
        <v>39.0</v>
      </c>
      <c r="AR405" s="87">
        <v>17.0</v>
      </c>
      <c r="AS405" s="87">
        <v>1175.0</v>
      </c>
      <c r="AT405" s="87">
        <v>29.0</v>
      </c>
      <c r="AU405" s="87">
        <v>4.0</v>
      </c>
      <c r="AV405" s="87"/>
      <c r="AW405" s="87">
        <v>3.0</v>
      </c>
      <c r="AX405" s="87"/>
      <c r="AY405" s="87"/>
      <c r="AZ405" s="87"/>
      <c r="BA405" s="87"/>
      <c r="BB405" s="87"/>
      <c r="BC405" s="87">
        <v>181.0</v>
      </c>
      <c r="BD405" s="87"/>
      <c r="BE405" s="87">
        <v>950.0</v>
      </c>
      <c r="BF405" s="87">
        <v>1.0</v>
      </c>
      <c r="BG405" s="87">
        <v>441.0</v>
      </c>
      <c r="BH405" s="87"/>
      <c r="BI405" s="87">
        <v>5263.0</v>
      </c>
      <c r="BJ405" s="87">
        <v>351.0</v>
      </c>
      <c r="BK405" s="87">
        <v>602.0</v>
      </c>
      <c r="BL405" s="87">
        <v>253.0</v>
      </c>
      <c r="BM405" s="87">
        <v>181.0</v>
      </c>
      <c r="BN405" s="87">
        <v>2.0</v>
      </c>
      <c r="BO405" s="87">
        <v>3.0</v>
      </c>
      <c r="BP405" s="87">
        <v>1142.0</v>
      </c>
      <c r="BQ405" s="87">
        <v>58.0</v>
      </c>
      <c r="BR405" s="87">
        <v>4.0</v>
      </c>
      <c r="BS405" s="87">
        <v>72.0</v>
      </c>
      <c r="BT405" s="87">
        <v>1.0</v>
      </c>
      <c r="BU405" s="87">
        <v>1.0</v>
      </c>
      <c r="BV405" s="87">
        <v>38.0</v>
      </c>
      <c r="BW405" s="87">
        <v>41.0</v>
      </c>
      <c r="BX405" s="87">
        <v>5.0</v>
      </c>
      <c r="BY405" s="87"/>
      <c r="BZ405" s="87"/>
      <c r="CA405" s="87">
        <v>25.0</v>
      </c>
      <c r="CB405" s="87">
        <v>2.0</v>
      </c>
      <c r="CC405" s="87"/>
      <c r="CD405" s="87">
        <v>3.0</v>
      </c>
      <c r="CE405" s="87"/>
      <c r="CF405" s="87"/>
      <c r="CG405" s="87">
        <v>109.0</v>
      </c>
      <c r="CH405" s="87">
        <v>1283.0</v>
      </c>
      <c r="CI405" s="87"/>
      <c r="CJ405" s="87">
        <v>611.0</v>
      </c>
      <c r="CK405" s="87">
        <v>456.0</v>
      </c>
      <c r="CL405" s="87">
        <v>228.0</v>
      </c>
      <c r="CM405" s="87">
        <v>8.0</v>
      </c>
      <c r="CN405" s="87"/>
      <c r="CO405" s="87">
        <v>56.0</v>
      </c>
      <c r="CP405" s="87"/>
      <c r="CQ405" s="87">
        <v>33.0</v>
      </c>
      <c r="CR405" s="87"/>
      <c r="CS405" s="87"/>
      <c r="CT405" s="87">
        <v>195.0</v>
      </c>
      <c r="CU405" s="87">
        <v>11.0</v>
      </c>
      <c r="CV405" s="87">
        <v>6.0</v>
      </c>
      <c r="CW405" s="87">
        <v>58.0</v>
      </c>
      <c r="CX405" s="87">
        <v>25.0</v>
      </c>
      <c r="CY405" s="87">
        <v>29.0</v>
      </c>
      <c r="CZ405" s="87">
        <v>2.0</v>
      </c>
      <c r="DA405" s="87">
        <v>3.0</v>
      </c>
      <c r="DB405" s="87">
        <v>143.0</v>
      </c>
      <c r="DC405" s="87">
        <v>184.0</v>
      </c>
      <c r="DD405" s="87">
        <v>99.0</v>
      </c>
      <c r="DE405" s="87">
        <v>29.0</v>
      </c>
      <c r="DF405" s="87">
        <v>86.0</v>
      </c>
      <c r="DG405" s="87">
        <v>46.0</v>
      </c>
      <c r="DH405" s="87">
        <v>184.0</v>
      </c>
      <c r="DI405" s="87">
        <v>181.0</v>
      </c>
      <c r="DJ405" s="87"/>
      <c r="DK405" s="87">
        <v>29.0</v>
      </c>
      <c r="DL405" s="87">
        <v>81.0</v>
      </c>
      <c r="DM405" s="87">
        <v>1.0</v>
      </c>
      <c r="DN405" s="87"/>
      <c r="DO405" s="87">
        <v>42.0</v>
      </c>
      <c r="DP405" s="87">
        <v>179.0</v>
      </c>
      <c r="DQ405" s="87">
        <v>74.0</v>
      </c>
      <c r="DR405" s="87">
        <v>70.0</v>
      </c>
      <c r="DS405" s="87"/>
      <c r="DT405" s="87"/>
      <c r="DU405" s="87"/>
      <c r="DV405" s="87">
        <v>32.0</v>
      </c>
      <c r="DW405" s="87"/>
      <c r="DX405" s="87">
        <v>29.0</v>
      </c>
      <c r="DY405" s="87">
        <v>123.0</v>
      </c>
      <c r="DZ405" s="87">
        <v>2.0</v>
      </c>
      <c r="EA405" s="87">
        <v>1.0</v>
      </c>
      <c r="EB405" s="87">
        <v>9.0</v>
      </c>
      <c r="EC405" s="87"/>
      <c r="ED405" s="87">
        <v>829.0</v>
      </c>
      <c r="EE405" s="87">
        <v>2.0</v>
      </c>
      <c r="EF405" s="87"/>
      <c r="EG405" s="87">
        <v>31.0</v>
      </c>
      <c r="EH405" s="87"/>
      <c r="EI405" s="87">
        <v>38.0</v>
      </c>
      <c r="EJ405" s="87">
        <v>1323.0</v>
      </c>
      <c r="EK405" s="88"/>
      <c r="EL405" s="88"/>
      <c r="EM405" s="88"/>
      <c r="EN405" s="88"/>
      <c r="EO405" s="88"/>
      <c r="EP405" s="88"/>
      <c r="EQ405" s="90"/>
    </row>
    <row r="406" ht="12.0" customHeight="1">
      <c r="A406" s="89">
        <v>1.06480989E8</v>
      </c>
      <c r="B406" s="89" t="s">
        <v>2530</v>
      </c>
      <c r="C406" s="89" t="s">
        <v>2531</v>
      </c>
      <c r="D406" s="89" t="s">
        <v>2532</v>
      </c>
      <c r="E406" s="89" t="s">
        <v>2533</v>
      </c>
      <c r="F406" s="89" t="s">
        <v>2534</v>
      </c>
      <c r="G406" s="89" t="s">
        <v>2535</v>
      </c>
      <c r="H406" s="89" t="s">
        <v>447</v>
      </c>
      <c r="I406" s="89" t="s">
        <v>543</v>
      </c>
      <c r="J406" s="89" t="s">
        <v>469</v>
      </c>
      <c r="K406" s="89" t="s">
        <v>555</v>
      </c>
      <c r="L406" s="89" t="s">
        <v>591</v>
      </c>
      <c r="M406" s="89" t="s">
        <v>2536</v>
      </c>
      <c r="N406" s="89" t="s">
        <v>441</v>
      </c>
      <c r="O406" s="87">
        <v>8514.0</v>
      </c>
      <c r="P406" s="87"/>
      <c r="Q406" s="87"/>
      <c r="R406" s="87"/>
      <c r="S406" s="87">
        <v>1059.0</v>
      </c>
      <c r="T406" s="87"/>
      <c r="U406" s="87">
        <v>4190.0</v>
      </c>
      <c r="V406" s="87">
        <v>5383.0</v>
      </c>
      <c r="W406" s="87"/>
      <c r="X406" s="87">
        <v>1692.0</v>
      </c>
      <c r="Y406" s="87">
        <v>86.0</v>
      </c>
      <c r="Z406" s="87">
        <v>711.0</v>
      </c>
      <c r="AA406" s="87">
        <v>1294.0</v>
      </c>
      <c r="AB406" s="87">
        <v>604.0</v>
      </c>
      <c r="AC406" s="87">
        <v>831.0</v>
      </c>
      <c r="AD406" s="87">
        <v>1379.0</v>
      </c>
      <c r="AE406" s="87">
        <v>1619.0</v>
      </c>
      <c r="AF406" s="87">
        <v>1357.0</v>
      </c>
      <c r="AG406" s="87"/>
      <c r="AH406" s="87">
        <v>1960.0</v>
      </c>
      <c r="AI406" s="87">
        <v>7548.0</v>
      </c>
      <c r="AJ406" s="87">
        <v>65.0</v>
      </c>
      <c r="AK406" s="87">
        <v>30.0</v>
      </c>
      <c r="AL406" s="87">
        <v>1598.0</v>
      </c>
      <c r="AM406" s="87">
        <v>88.0</v>
      </c>
      <c r="AN406" s="87">
        <v>1510.0</v>
      </c>
      <c r="AO406" s="87">
        <v>3949.0</v>
      </c>
      <c r="AP406" s="87">
        <v>134.0</v>
      </c>
      <c r="AQ406" s="87">
        <v>2097.0</v>
      </c>
      <c r="AR406" s="87">
        <v>167.0</v>
      </c>
      <c r="AS406" s="87">
        <v>6013.0</v>
      </c>
      <c r="AT406" s="87">
        <v>132.0</v>
      </c>
      <c r="AU406" s="87">
        <v>1438.0</v>
      </c>
      <c r="AV406" s="87">
        <v>177.0</v>
      </c>
      <c r="AW406" s="87">
        <v>93.0</v>
      </c>
      <c r="AX406" s="87">
        <v>125.0</v>
      </c>
      <c r="AY406" s="87"/>
      <c r="AZ406" s="87"/>
      <c r="BA406" s="87"/>
      <c r="BB406" s="87">
        <v>2.0</v>
      </c>
      <c r="BC406" s="87">
        <v>1593.0</v>
      </c>
      <c r="BD406" s="87"/>
      <c r="BE406" s="87">
        <v>4098.0</v>
      </c>
      <c r="BF406" s="87">
        <v>136.0</v>
      </c>
      <c r="BG406" s="87">
        <v>5339.0</v>
      </c>
      <c r="BH406" s="87"/>
      <c r="BI406" s="87">
        <v>52955.0</v>
      </c>
      <c r="BJ406" s="87">
        <v>740.0</v>
      </c>
      <c r="BK406" s="87">
        <v>5734.0</v>
      </c>
      <c r="BL406" s="87">
        <v>1502.0</v>
      </c>
      <c r="BM406" s="87">
        <v>1593.0</v>
      </c>
      <c r="BN406" s="87"/>
      <c r="BO406" s="87">
        <v>4.0</v>
      </c>
      <c r="BP406" s="87">
        <v>5770.0</v>
      </c>
      <c r="BQ406" s="87">
        <v>313.0</v>
      </c>
      <c r="BR406" s="87">
        <v>72.0</v>
      </c>
      <c r="BS406" s="87">
        <v>576.0</v>
      </c>
      <c r="BT406" s="87"/>
      <c r="BU406" s="87">
        <v>1.0</v>
      </c>
      <c r="BV406" s="87">
        <v>66.0</v>
      </c>
      <c r="BW406" s="87">
        <v>316.0</v>
      </c>
      <c r="BX406" s="87">
        <v>2240.0</v>
      </c>
      <c r="BY406" s="87"/>
      <c r="BZ406" s="87"/>
      <c r="CA406" s="87">
        <v>195.0</v>
      </c>
      <c r="CB406" s="87">
        <v>9.0</v>
      </c>
      <c r="CC406" s="87">
        <v>1.0</v>
      </c>
      <c r="CD406" s="87">
        <v>7.0</v>
      </c>
      <c r="CE406" s="87">
        <v>7.0</v>
      </c>
      <c r="CF406" s="87"/>
      <c r="CG406" s="87">
        <v>966.0</v>
      </c>
      <c r="CH406" s="87">
        <v>8607.0</v>
      </c>
      <c r="CI406" s="87"/>
      <c r="CJ406" s="87">
        <v>3755.0</v>
      </c>
      <c r="CK406" s="87">
        <v>1228.0</v>
      </c>
      <c r="CL406" s="87">
        <v>4394.0</v>
      </c>
      <c r="CM406" s="87">
        <v>4.0</v>
      </c>
      <c r="CN406" s="87"/>
      <c r="CO406" s="87">
        <v>21.0</v>
      </c>
      <c r="CP406" s="87"/>
      <c r="CQ406" s="87">
        <v>171.0</v>
      </c>
      <c r="CR406" s="87"/>
      <c r="CS406" s="87"/>
      <c r="CT406" s="87">
        <v>1383.0</v>
      </c>
      <c r="CU406" s="87">
        <v>208.0</v>
      </c>
      <c r="CV406" s="87">
        <v>58.0</v>
      </c>
      <c r="CW406" s="87">
        <v>211.0</v>
      </c>
      <c r="CX406" s="87">
        <v>55.0</v>
      </c>
      <c r="CY406" s="87">
        <v>299.0</v>
      </c>
      <c r="CZ406" s="87">
        <v>3.0</v>
      </c>
      <c r="DA406" s="87"/>
      <c r="DB406" s="87">
        <v>1752.0</v>
      </c>
      <c r="DC406" s="87">
        <v>312.0</v>
      </c>
      <c r="DD406" s="87">
        <v>784.0</v>
      </c>
      <c r="DE406" s="87">
        <v>85.0</v>
      </c>
      <c r="DF406" s="87">
        <v>71.0</v>
      </c>
      <c r="DG406" s="87">
        <v>283.0</v>
      </c>
      <c r="DH406" s="87">
        <v>1667.0</v>
      </c>
      <c r="DI406" s="87">
        <v>1688.0</v>
      </c>
      <c r="DJ406" s="87">
        <v>1.0</v>
      </c>
      <c r="DK406" s="87">
        <v>142.0</v>
      </c>
      <c r="DL406" s="87">
        <v>521.0</v>
      </c>
      <c r="DM406" s="87">
        <v>50.0</v>
      </c>
      <c r="DN406" s="87"/>
      <c r="DO406" s="87">
        <v>3525.0</v>
      </c>
      <c r="DP406" s="87">
        <v>1573.0</v>
      </c>
      <c r="DQ406" s="87">
        <v>647.0</v>
      </c>
      <c r="DR406" s="87">
        <v>848.0</v>
      </c>
      <c r="DS406" s="87">
        <v>2.0</v>
      </c>
      <c r="DT406" s="87">
        <v>1.0</v>
      </c>
      <c r="DU406" s="87"/>
      <c r="DV406" s="87">
        <v>388.0</v>
      </c>
      <c r="DW406" s="87">
        <v>17.0</v>
      </c>
      <c r="DX406" s="87">
        <v>158.0</v>
      </c>
      <c r="DY406" s="87">
        <v>362.0</v>
      </c>
      <c r="DZ406" s="87">
        <v>37.0</v>
      </c>
      <c r="EA406" s="87">
        <v>17.0</v>
      </c>
      <c r="EB406" s="87">
        <v>100.0</v>
      </c>
      <c r="EC406" s="87">
        <v>185.0</v>
      </c>
      <c r="ED406" s="87">
        <v>1496.0</v>
      </c>
      <c r="EE406" s="87">
        <v>217.0</v>
      </c>
      <c r="EF406" s="87">
        <v>2.0</v>
      </c>
      <c r="EG406" s="87">
        <v>87.0</v>
      </c>
      <c r="EH406" s="87"/>
      <c r="EI406" s="87">
        <v>28.0</v>
      </c>
      <c r="EJ406" s="87">
        <v>9456.0</v>
      </c>
      <c r="EK406" s="88"/>
      <c r="EL406" s="88"/>
      <c r="EM406" s="88"/>
      <c r="EN406" s="88"/>
      <c r="EO406" s="88"/>
      <c r="EP406" s="88"/>
      <c r="EQ406" s="90"/>
    </row>
    <row r="407" ht="12.0" customHeight="1">
      <c r="A407" s="89">
        <v>1.06481015E8</v>
      </c>
      <c r="B407" s="89" t="s">
        <v>2537</v>
      </c>
      <c r="C407" s="89" t="s">
        <v>2531</v>
      </c>
      <c r="D407" s="89" t="s">
        <v>2538</v>
      </c>
      <c r="E407" s="89" t="s">
        <v>2539</v>
      </c>
      <c r="F407" s="89" t="s">
        <v>2534</v>
      </c>
      <c r="G407" s="89" t="s">
        <v>2540</v>
      </c>
      <c r="H407" s="89" t="s">
        <v>447</v>
      </c>
      <c r="I407" s="89" t="s">
        <v>543</v>
      </c>
      <c r="J407" s="89" t="s">
        <v>463</v>
      </c>
      <c r="K407" s="89" t="s">
        <v>555</v>
      </c>
      <c r="L407" s="89" t="s">
        <v>591</v>
      </c>
      <c r="M407" s="89" t="s">
        <v>2536</v>
      </c>
      <c r="N407" s="89" t="s">
        <v>441</v>
      </c>
      <c r="O407" s="87"/>
      <c r="P407" s="87"/>
      <c r="Q407" s="87">
        <v>2009.0</v>
      </c>
      <c r="R407" s="87"/>
      <c r="S407" s="87"/>
      <c r="T407" s="87"/>
      <c r="U407" s="87">
        <v>737.0</v>
      </c>
      <c r="V407" s="87">
        <v>1271.0</v>
      </c>
      <c r="W407" s="87">
        <v>1.0</v>
      </c>
      <c r="X407" s="87">
        <v>23.0</v>
      </c>
      <c r="Y407" s="87">
        <v>928.0</v>
      </c>
      <c r="Z407" s="87">
        <v>330.0</v>
      </c>
      <c r="AA407" s="87">
        <v>202.0</v>
      </c>
      <c r="AB407" s="87">
        <v>141.0</v>
      </c>
      <c r="AC407" s="87">
        <v>140.0</v>
      </c>
      <c r="AD407" s="87">
        <v>176.0</v>
      </c>
      <c r="AE407" s="87">
        <v>60.0</v>
      </c>
      <c r="AF407" s="87"/>
      <c r="AG407" s="87">
        <v>9.0</v>
      </c>
      <c r="AH407" s="87">
        <v>423.0</v>
      </c>
      <c r="AI407" s="87">
        <v>1546.0</v>
      </c>
      <c r="AJ407" s="87">
        <v>40.0</v>
      </c>
      <c r="AK407" s="87"/>
      <c r="AL407" s="87">
        <v>112.0</v>
      </c>
      <c r="AM407" s="87"/>
      <c r="AN407" s="87">
        <v>229.0</v>
      </c>
      <c r="AO407" s="87">
        <v>1078.0</v>
      </c>
      <c r="AP407" s="87">
        <v>63.0</v>
      </c>
      <c r="AQ407" s="87">
        <v>527.0</v>
      </c>
      <c r="AR407" s="87"/>
      <c r="AS407" s="87">
        <v>73.0</v>
      </c>
      <c r="AT407" s="87">
        <v>1.0</v>
      </c>
      <c r="AU407" s="87">
        <v>1935.0</v>
      </c>
      <c r="AV407" s="87"/>
      <c r="AW407" s="87"/>
      <c r="AX407" s="87"/>
      <c r="AY407" s="87"/>
      <c r="AZ407" s="87"/>
      <c r="BA407" s="87"/>
      <c r="BB407" s="87"/>
      <c r="BC407" s="87"/>
      <c r="BD407" s="87"/>
      <c r="BE407" s="87"/>
      <c r="BF407" s="87">
        <v>1913.0</v>
      </c>
      <c r="BG407" s="87">
        <v>95.0</v>
      </c>
      <c r="BH407" s="87">
        <v>1.0</v>
      </c>
      <c r="BI407" s="87">
        <v>17952.0</v>
      </c>
      <c r="BJ407" s="87">
        <v>14.0</v>
      </c>
      <c r="BK407" s="87">
        <v>1995.0</v>
      </c>
      <c r="BL407" s="87"/>
      <c r="BM407" s="87"/>
      <c r="BN407" s="87"/>
      <c r="BO407" s="87"/>
      <c r="BP407" s="87">
        <v>1828.0</v>
      </c>
      <c r="BQ407" s="87">
        <v>5.0</v>
      </c>
      <c r="BR407" s="87">
        <v>34.0</v>
      </c>
      <c r="BS407" s="87">
        <v>8.0</v>
      </c>
      <c r="BT407" s="87">
        <v>5.0</v>
      </c>
      <c r="BU407" s="87">
        <v>4.0</v>
      </c>
      <c r="BV407" s="87">
        <v>7.0</v>
      </c>
      <c r="BW407" s="87"/>
      <c r="BX407" s="87">
        <v>2.0</v>
      </c>
      <c r="BY407" s="87"/>
      <c r="BZ407" s="87"/>
      <c r="CA407" s="87"/>
      <c r="CB407" s="87">
        <v>115.0</v>
      </c>
      <c r="CC407" s="87"/>
      <c r="CD407" s="87"/>
      <c r="CE407" s="87">
        <v>1.0</v>
      </c>
      <c r="CF407" s="87"/>
      <c r="CG407" s="87">
        <v>3.0</v>
      </c>
      <c r="CH407" s="87">
        <v>2006.0</v>
      </c>
      <c r="CI407" s="87"/>
      <c r="CJ407" s="87">
        <v>469.0</v>
      </c>
      <c r="CK407" s="87">
        <v>506.0</v>
      </c>
      <c r="CL407" s="87">
        <v>992.0</v>
      </c>
      <c r="CM407" s="87"/>
      <c r="CN407" s="87">
        <v>21.0</v>
      </c>
      <c r="CO407" s="87">
        <v>17.0</v>
      </c>
      <c r="CP407" s="87"/>
      <c r="CQ407" s="87">
        <v>4.0</v>
      </c>
      <c r="CR407" s="87"/>
      <c r="CS407" s="87"/>
      <c r="CT407" s="87"/>
      <c r="CU407" s="87"/>
      <c r="CV407" s="87"/>
      <c r="CW407" s="87"/>
      <c r="CX407" s="87">
        <v>1999.0</v>
      </c>
      <c r="CY407" s="87">
        <v>3.0</v>
      </c>
      <c r="CZ407" s="87"/>
      <c r="DA407" s="87"/>
      <c r="DB407" s="87"/>
      <c r="DC407" s="87"/>
      <c r="DD407" s="87"/>
      <c r="DE407" s="87"/>
      <c r="DF407" s="87"/>
      <c r="DG407" s="87"/>
      <c r="DH407" s="87"/>
      <c r="DI407" s="87"/>
      <c r="DJ407" s="87"/>
      <c r="DK407" s="87"/>
      <c r="DL407" s="87"/>
      <c r="DM407" s="87"/>
      <c r="DN407" s="87">
        <v>7.0</v>
      </c>
      <c r="DO407" s="87">
        <v>4.0</v>
      </c>
      <c r="DP407" s="87"/>
      <c r="DQ407" s="87"/>
      <c r="DR407" s="87"/>
      <c r="DS407" s="87"/>
      <c r="DT407" s="87"/>
      <c r="DU407" s="87"/>
      <c r="DV407" s="87"/>
      <c r="DW407" s="87"/>
      <c r="DX407" s="87"/>
      <c r="DY407" s="87"/>
      <c r="DZ407" s="87"/>
      <c r="EA407" s="87">
        <v>1.0</v>
      </c>
      <c r="EB407" s="87"/>
      <c r="EC407" s="87"/>
      <c r="ED407" s="87">
        <v>1999.0</v>
      </c>
      <c r="EE407" s="87">
        <v>5.0</v>
      </c>
      <c r="EF407" s="87">
        <v>5.0</v>
      </c>
      <c r="EG407" s="87">
        <v>126.0</v>
      </c>
      <c r="EH407" s="87"/>
      <c r="EI407" s="87">
        <v>13.0</v>
      </c>
      <c r="EJ407" s="87">
        <v>1865.0</v>
      </c>
      <c r="EK407" s="88"/>
      <c r="EL407" s="88"/>
      <c r="EM407" s="88"/>
      <c r="EN407" s="88"/>
      <c r="EO407" s="88"/>
      <c r="EP407" s="88"/>
      <c r="EQ407" s="90"/>
    </row>
    <row r="408" ht="12.0" customHeight="1">
      <c r="A408" s="89">
        <v>1.06481094E8</v>
      </c>
      <c r="B408" s="89" t="s">
        <v>2541</v>
      </c>
      <c r="C408" s="89" t="s">
        <v>2531</v>
      </c>
      <c r="D408" s="89" t="s">
        <v>2542</v>
      </c>
      <c r="E408" s="89" t="s">
        <v>2543</v>
      </c>
      <c r="F408" s="89" t="s">
        <v>2534</v>
      </c>
      <c r="G408" s="89" t="s">
        <v>2535</v>
      </c>
      <c r="H408" s="89" t="s">
        <v>447</v>
      </c>
      <c r="I408" s="89" t="s">
        <v>543</v>
      </c>
      <c r="J408" s="89" t="s">
        <v>437</v>
      </c>
      <c r="K408" s="89" t="s">
        <v>555</v>
      </c>
      <c r="L408" s="89" t="s">
        <v>591</v>
      </c>
      <c r="M408" s="89" t="s">
        <v>2536</v>
      </c>
      <c r="N408" s="89" t="s">
        <v>441</v>
      </c>
      <c r="O408" s="87">
        <v>3437.0</v>
      </c>
      <c r="P408" s="87"/>
      <c r="Q408" s="87"/>
      <c r="R408" s="87"/>
      <c r="S408" s="87"/>
      <c r="T408" s="87"/>
      <c r="U408" s="87">
        <v>1711.0</v>
      </c>
      <c r="V408" s="87">
        <v>1726.0</v>
      </c>
      <c r="W408" s="87"/>
      <c r="X408" s="87"/>
      <c r="Y408" s="87">
        <v>14.0</v>
      </c>
      <c r="Z408" s="87">
        <v>108.0</v>
      </c>
      <c r="AA408" s="87">
        <v>212.0</v>
      </c>
      <c r="AB408" s="87">
        <v>292.0</v>
      </c>
      <c r="AC408" s="87">
        <v>557.0</v>
      </c>
      <c r="AD408" s="87">
        <v>974.0</v>
      </c>
      <c r="AE408" s="87">
        <v>731.0</v>
      </c>
      <c r="AF408" s="87">
        <v>549.0</v>
      </c>
      <c r="AG408" s="87"/>
      <c r="AH408" s="87">
        <v>627.0</v>
      </c>
      <c r="AI408" s="87">
        <v>2739.0</v>
      </c>
      <c r="AJ408" s="87">
        <v>71.0</v>
      </c>
      <c r="AK408" s="87">
        <v>12.0</v>
      </c>
      <c r="AL408" s="87">
        <v>204.0</v>
      </c>
      <c r="AM408" s="87">
        <v>309.0</v>
      </c>
      <c r="AN408" s="87">
        <v>955.0</v>
      </c>
      <c r="AO408" s="87">
        <v>1335.0</v>
      </c>
      <c r="AP408" s="87">
        <v>32.0</v>
      </c>
      <c r="AQ408" s="87">
        <v>518.0</v>
      </c>
      <c r="AR408" s="87">
        <v>72.0</v>
      </c>
      <c r="AS408" s="87">
        <v>3142.0</v>
      </c>
      <c r="AT408" s="87">
        <v>43.0</v>
      </c>
      <c r="AU408" s="87">
        <v>80.0</v>
      </c>
      <c r="AV408" s="87">
        <v>132.0</v>
      </c>
      <c r="AW408" s="87">
        <v>9.0</v>
      </c>
      <c r="AX408" s="87">
        <v>3.0</v>
      </c>
      <c r="AY408" s="87"/>
      <c r="AZ408" s="87">
        <v>1.0</v>
      </c>
      <c r="BA408" s="87">
        <v>26.0</v>
      </c>
      <c r="BB408" s="87">
        <v>1.0</v>
      </c>
      <c r="BC408" s="87"/>
      <c r="BD408" s="87"/>
      <c r="BE408" s="87">
        <v>2793.0</v>
      </c>
      <c r="BF408" s="87">
        <v>38.0</v>
      </c>
      <c r="BG408" s="87">
        <v>606.0</v>
      </c>
      <c r="BH408" s="87"/>
      <c r="BI408" s="87">
        <v>18302.0</v>
      </c>
      <c r="BJ408" s="87">
        <v>2026.0</v>
      </c>
      <c r="BK408" s="87">
        <v>874.0</v>
      </c>
      <c r="BL408" s="87">
        <v>537.0</v>
      </c>
      <c r="BM408" s="87"/>
      <c r="BN408" s="87"/>
      <c r="BO408" s="87"/>
      <c r="BP408" s="87">
        <v>1338.0</v>
      </c>
      <c r="BQ408" s="87">
        <v>137.0</v>
      </c>
      <c r="BR408" s="87">
        <v>8.0</v>
      </c>
      <c r="BS408" s="87">
        <v>498.0</v>
      </c>
      <c r="BT408" s="87">
        <v>19.0</v>
      </c>
      <c r="BU408" s="87">
        <v>25.0</v>
      </c>
      <c r="BV408" s="87">
        <v>149.0</v>
      </c>
      <c r="BW408" s="87">
        <v>100.0</v>
      </c>
      <c r="BX408" s="87">
        <v>1068.0</v>
      </c>
      <c r="BY408" s="87"/>
      <c r="BZ408" s="87"/>
      <c r="CA408" s="87">
        <v>83.0</v>
      </c>
      <c r="CB408" s="87">
        <v>5.0</v>
      </c>
      <c r="CC408" s="87">
        <v>2.0</v>
      </c>
      <c r="CD408" s="87">
        <v>5.0</v>
      </c>
      <c r="CE408" s="87"/>
      <c r="CF408" s="87"/>
      <c r="CG408" s="87">
        <v>193.0</v>
      </c>
      <c r="CH408" s="87">
        <v>3244.0</v>
      </c>
      <c r="CI408" s="87"/>
      <c r="CJ408" s="87">
        <v>1835.0</v>
      </c>
      <c r="CK408" s="87">
        <v>1046.0</v>
      </c>
      <c r="CL408" s="87">
        <v>343.0</v>
      </c>
      <c r="CM408" s="87">
        <v>28.0</v>
      </c>
      <c r="CN408" s="87"/>
      <c r="CO408" s="87">
        <v>109.0</v>
      </c>
      <c r="CP408" s="87"/>
      <c r="CQ408" s="87">
        <v>74.0</v>
      </c>
      <c r="CR408" s="87">
        <v>2.0</v>
      </c>
      <c r="CS408" s="87"/>
      <c r="CT408" s="87">
        <v>726.0</v>
      </c>
      <c r="CU408" s="87">
        <v>117.0</v>
      </c>
      <c r="CV408" s="87">
        <v>63.0</v>
      </c>
      <c r="CW408" s="87">
        <v>208.0</v>
      </c>
      <c r="CX408" s="87">
        <v>51.0</v>
      </c>
      <c r="CY408" s="87">
        <v>75.0</v>
      </c>
      <c r="CZ408" s="87">
        <v>3.0</v>
      </c>
      <c r="DA408" s="87">
        <v>5.0</v>
      </c>
      <c r="DB408" s="87">
        <v>488.0</v>
      </c>
      <c r="DC408" s="87">
        <v>241.0</v>
      </c>
      <c r="DD408" s="87">
        <v>449.0</v>
      </c>
      <c r="DE408" s="87">
        <v>76.0</v>
      </c>
      <c r="DF408" s="87">
        <v>354.0</v>
      </c>
      <c r="DG408" s="87">
        <v>207.0</v>
      </c>
      <c r="DH408" s="87"/>
      <c r="DI408" s="87"/>
      <c r="DJ408" s="87"/>
      <c r="DK408" s="87">
        <v>71.0</v>
      </c>
      <c r="DL408" s="87">
        <v>277.0</v>
      </c>
      <c r="DM408" s="87">
        <v>22.0</v>
      </c>
      <c r="DN408" s="87">
        <v>4.0</v>
      </c>
      <c r="DO408" s="87">
        <v>480.0</v>
      </c>
      <c r="DP408" s="87"/>
      <c r="DQ408" s="87">
        <v>188.0</v>
      </c>
      <c r="DR408" s="87">
        <v>366.0</v>
      </c>
      <c r="DS408" s="87">
        <v>1.0</v>
      </c>
      <c r="DT408" s="87">
        <v>4.0</v>
      </c>
      <c r="DU408" s="87"/>
      <c r="DV408" s="87">
        <v>30.0</v>
      </c>
      <c r="DW408" s="87">
        <v>17.0</v>
      </c>
      <c r="DX408" s="87">
        <v>112.0</v>
      </c>
      <c r="DY408" s="87">
        <v>547.0</v>
      </c>
      <c r="DZ408" s="87">
        <v>11.0</v>
      </c>
      <c r="EA408" s="87">
        <v>2.0</v>
      </c>
      <c r="EB408" s="87">
        <v>116.0</v>
      </c>
      <c r="EC408" s="87">
        <v>32.0</v>
      </c>
      <c r="ED408" s="87">
        <v>1410.0</v>
      </c>
      <c r="EE408" s="87">
        <v>121.0</v>
      </c>
      <c r="EF408" s="87">
        <v>5.0</v>
      </c>
      <c r="EG408" s="87">
        <v>188.0</v>
      </c>
      <c r="EH408" s="87"/>
      <c r="EI408" s="87">
        <v>17.0</v>
      </c>
      <c r="EJ408" s="87">
        <v>3227.0</v>
      </c>
      <c r="EK408" s="88"/>
      <c r="EL408" s="88"/>
      <c r="EM408" s="88"/>
      <c r="EN408" s="88"/>
      <c r="EO408" s="88"/>
      <c r="EP408" s="88"/>
      <c r="EQ408" s="90"/>
    </row>
    <row r="409" ht="12.0" customHeight="1">
      <c r="A409" s="89">
        <v>1.06481357E8</v>
      </c>
      <c r="B409" s="89" t="s">
        <v>2544</v>
      </c>
      <c r="C409" s="89" t="s">
        <v>2531</v>
      </c>
      <c r="D409" s="89" t="s">
        <v>2545</v>
      </c>
      <c r="E409" s="89" t="s">
        <v>2546</v>
      </c>
      <c r="F409" s="89" t="s">
        <v>2547</v>
      </c>
      <c r="G409" s="89" t="s">
        <v>2548</v>
      </c>
      <c r="H409" s="89" t="s">
        <v>447</v>
      </c>
      <c r="I409" s="89" t="s">
        <v>543</v>
      </c>
      <c r="J409" s="89" t="s">
        <v>457</v>
      </c>
      <c r="K409" s="89" t="s">
        <v>555</v>
      </c>
      <c r="L409" s="89" t="s">
        <v>598</v>
      </c>
      <c r="M409" s="89" t="s">
        <v>2549</v>
      </c>
      <c r="N409" s="89" t="s">
        <v>441</v>
      </c>
      <c r="O409" s="87">
        <v>11607.0</v>
      </c>
      <c r="P409" s="87"/>
      <c r="Q409" s="87"/>
      <c r="R409" s="87"/>
      <c r="S409" s="87"/>
      <c r="T409" s="87"/>
      <c r="U409" s="87">
        <v>4993.0</v>
      </c>
      <c r="V409" s="87">
        <v>6614.0</v>
      </c>
      <c r="W409" s="87"/>
      <c r="X409" s="87">
        <v>1712.0</v>
      </c>
      <c r="Y409" s="87">
        <v>145.0</v>
      </c>
      <c r="Z409" s="87">
        <v>1160.0</v>
      </c>
      <c r="AA409" s="87">
        <v>1444.0</v>
      </c>
      <c r="AB409" s="87">
        <v>824.0</v>
      </c>
      <c r="AC409" s="87">
        <v>1204.0</v>
      </c>
      <c r="AD409" s="87">
        <v>1857.0</v>
      </c>
      <c r="AE409" s="87">
        <v>1618.0</v>
      </c>
      <c r="AF409" s="87">
        <v>1643.0</v>
      </c>
      <c r="AG409" s="87"/>
      <c r="AH409" s="87">
        <v>2940.0</v>
      </c>
      <c r="AI409" s="87">
        <v>8494.0</v>
      </c>
      <c r="AJ409" s="87">
        <v>173.0</v>
      </c>
      <c r="AK409" s="87">
        <v>47.0</v>
      </c>
      <c r="AL409" s="87">
        <v>994.0</v>
      </c>
      <c r="AM409" s="87">
        <v>162.0</v>
      </c>
      <c r="AN409" s="87">
        <v>2030.0</v>
      </c>
      <c r="AO409" s="87">
        <v>7358.0</v>
      </c>
      <c r="AP409" s="87">
        <v>89.0</v>
      </c>
      <c r="AQ409" s="87">
        <v>793.0</v>
      </c>
      <c r="AR409" s="87">
        <v>134.0</v>
      </c>
      <c r="AS409" s="87">
        <v>9607.0</v>
      </c>
      <c r="AT409" s="87">
        <v>27.0</v>
      </c>
      <c r="AU409" s="87">
        <v>76.0</v>
      </c>
      <c r="AV409" s="87">
        <v>86.0</v>
      </c>
      <c r="AW409" s="87">
        <v>9.0</v>
      </c>
      <c r="AX409" s="87"/>
      <c r="AY409" s="87"/>
      <c r="AZ409" s="87"/>
      <c r="BA409" s="87">
        <v>58.0</v>
      </c>
      <c r="BB409" s="87">
        <v>105.0</v>
      </c>
      <c r="BC409" s="87">
        <v>1639.0</v>
      </c>
      <c r="BD409" s="87"/>
      <c r="BE409" s="87">
        <v>7597.0</v>
      </c>
      <c r="BF409" s="87">
        <v>22.0</v>
      </c>
      <c r="BG409" s="87">
        <v>3988.0</v>
      </c>
      <c r="BH409" s="87"/>
      <c r="BI409" s="87">
        <v>53522.0</v>
      </c>
      <c r="BJ409" s="87">
        <v>2691.0</v>
      </c>
      <c r="BK409" s="87">
        <v>6260.0</v>
      </c>
      <c r="BL409" s="87">
        <v>768.0</v>
      </c>
      <c r="BM409" s="87">
        <v>1639.0</v>
      </c>
      <c r="BN409" s="87">
        <v>240.0</v>
      </c>
      <c r="BO409" s="87">
        <v>9.0</v>
      </c>
      <c r="BP409" s="87">
        <v>7834.0</v>
      </c>
      <c r="BQ409" s="87">
        <v>252.0</v>
      </c>
      <c r="BR409" s="87">
        <v>40.0</v>
      </c>
      <c r="BS409" s="87">
        <v>871.0</v>
      </c>
      <c r="BT409" s="87">
        <v>11.0</v>
      </c>
      <c r="BU409" s="87">
        <v>103.0</v>
      </c>
      <c r="BV409" s="87">
        <v>295.0</v>
      </c>
      <c r="BW409" s="87">
        <v>378.0</v>
      </c>
      <c r="BX409" s="87">
        <v>1514.0</v>
      </c>
      <c r="BY409" s="87"/>
      <c r="BZ409" s="87">
        <v>16.0</v>
      </c>
      <c r="CA409" s="87">
        <v>141.0</v>
      </c>
      <c r="CB409" s="87">
        <v>7.0</v>
      </c>
      <c r="CC409" s="87"/>
      <c r="CD409" s="87">
        <v>144.0</v>
      </c>
      <c r="CE409" s="87"/>
      <c r="CF409" s="87">
        <v>1.0</v>
      </c>
      <c r="CG409" s="87">
        <v>437.0</v>
      </c>
      <c r="CH409" s="87">
        <v>11170.0</v>
      </c>
      <c r="CI409" s="87"/>
      <c r="CJ409" s="87">
        <v>4361.0</v>
      </c>
      <c r="CK409" s="87">
        <v>4741.0</v>
      </c>
      <c r="CL409" s="87">
        <v>1782.0</v>
      </c>
      <c r="CM409" s="87">
        <v>30.0</v>
      </c>
      <c r="CN409" s="87">
        <v>1.0</v>
      </c>
      <c r="CO409" s="87">
        <v>576.0</v>
      </c>
      <c r="CP409" s="87"/>
      <c r="CQ409" s="87">
        <v>109.0</v>
      </c>
      <c r="CR409" s="87">
        <v>7.0</v>
      </c>
      <c r="CS409" s="87"/>
      <c r="CT409" s="87">
        <v>1569.0</v>
      </c>
      <c r="CU409" s="87">
        <v>251.0</v>
      </c>
      <c r="CV409" s="87">
        <v>108.0</v>
      </c>
      <c r="CW409" s="87">
        <v>367.0</v>
      </c>
      <c r="CX409" s="87">
        <v>81.0</v>
      </c>
      <c r="CY409" s="87">
        <v>280.0</v>
      </c>
      <c r="CZ409" s="87">
        <v>8.0</v>
      </c>
      <c r="DA409" s="87">
        <v>7.0</v>
      </c>
      <c r="DB409" s="87">
        <v>1691.0</v>
      </c>
      <c r="DC409" s="87">
        <v>692.0</v>
      </c>
      <c r="DD409" s="87">
        <v>987.0</v>
      </c>
      <c r="DE409" s="87">
        <v>224.0</v>
      </c>
      <c r="DF409" s="87">
        <v>290.0</v>
      </c>
      <c r="DG409" s="87">
        <v>510.0</v>
      </c>
      <c r="DH409" s="87">
        <v>1758.0</v>
      </c>
      <c r="DI409" s="87">
        <v>1707.0</v>
      </c>
      <c r="DJ409" s="87">
        <v>3.0</v>
      </c>
      <c r="DK409" s="87">
        <v>95.0</v>
      </c>
      <c r="DL409" s="87">
        <v>939.0</v>
      </c>
      <c r="DM409" s="87">
        <v>37.0</v>
      </c>
      <c r="DN409" s="87">
        <v>3.0</v>
      </c>
      <c r="DO409" s="87">
        <v>1362.0</v>
      </c>
      <c r="DP409" s="87">
        <v>1564.0</v>
      </c>
      <c r="DQ409" s="87">
        <v>920.0</v>
      </c>
      <c r="DR409" s="87">
        <v>790.0</v>
      </c>
      <c r="DS409" s="87">
        <v>4.0</v>
      </c>
      <c r="DT409" s="87">
        <v>6.0</v>
      </c>
      <c r="DU409" s="87"/>
      <c r="DV409" s="87">
        <v>442.0</v>
      </c>
      <c r="DW409" s="87">
        <v>36.0</v>
      </c>
      <c r="DX409" s="87">
        <v>225.0</v>
      </c>
      <c r="DY409" s="87">
        <v>642.0</v>
      </c>
      <c r="DZ409" s="87">
        <v>158.0</v>
      </c>
      <c r="EA409" s="87">
        <v>14.0</v>
      </c>
      <c r="EB409" s="87">
        <v>207.0</v>
      </c>
      <c r="EC409" s="87">
        <v>157.0</v>
      </c>
      <c r="ED409" s="87">
        <v>5001.0</v>
      </c>
      <c r="EE409" s="87">
        <v>79.0</v>
      </c>
      <c r="EF409" s="87">
        <v>28.0</v>
      </c>
      <c r="EG409" s="87">
        <v>235.0</v>
      </c>
      <c r="EH409" s="87">
        <v>10.0</v>
      </c>
      <c r="EI409" s="87">
        <v>71.0</v>
      </c>
      <c r="EJ409" s="87">
        <v>11263.0</v>
      </c>
      <c r="EK409" s="88"/>
      <c r="EL409" s="88"/>
      <c r="EM409" s="88"/>
      <c r="EN409" s="88"/>
      <c r="EO409" s="88"/>
      <c r="EP409" s="88"/>
      <c r="EQ409" s="90"/>
    </row>
    <row r="410" ht="12.0" customHeight="1">
      <c r="A410" s="89">
        <v>1.06484044E8</v>
      </c>
      <c r="B410" s="89" t="s">
        <v>2550</v>
      </c>
      <c r="C410" s="89" t="s">
        <v>2531</v>
      </c>
      <c r="D410" s="89" t="s">
        <v>2551</v>
      </c>
      <c r="E410" s="89" t="s">
        <v>2552</v>
      </c>
      <c r="F410" s="89" t="s">
        <v>2553</v>
      </c>
      <c r="G410" s="89" t="s">
        <v>2554</v>
      </c>
      <c r="H410" s="89" t="s">
        <v>447</v>
      </c>
      <c r="I410" s="89" t="s">
        <v>543</v>
      </c>
      <c r="J410" s="89" t="s">
        <v>437</v>
      </c>
      <c r="K410" s="89" t="s">
        <v>555</v>
      </c>
      <c r="L410" s="89" t="s">
        <v>598</v>
      </c>
      <c r="M410" s="89" t="s">
        <v>2555</v>
      </c>
      <c r="N410" s="89" t="s">
        <v>441</v>
      </c>
      <c r="O410" s="87">
        <v>7046.0</v>
      </c>
      <c r="P410" s="87"/>
      <c r="Q410" s="87"/>
      <c r="R410" s="87"/>
      <c r="S410" s="87"/>
      <c r="T410" s="87"/>
      <c r="U410" s="87">
        <v>2908.0</v>
      </c>
      <c r="V410" s="87">
        <v>4138.0</v>
      </c>
      <c r="W410" s="87"/>
      <c r="X410" s="87">
        <v>1401.0</v>
      </c>
      <c r="Y410" s="87">
        <v>59.0</v>
      </c>
      <c r="Z410" s="87">
        <v>699.0</v>
      </c>
      <c r="AA410" s="87">
        <v>1077.0</v>
      </c>
      <c r="AB410" s="87">
        <v>417.0</v>
      </c>
      <c r="AC410" s="87">
        <v>582.0</v>
      </c>
      <c r="AD410" s="87">
        <v>918.0</v>
      </c>
      <c r="AE410" s="87">
        <v>1042.0</v>
      </c>
      <c r="AF410" s="87">
        <v>851.0</v>
      </c>
      <c r="AG410" s="87"/>
      <c r="AH410" s="87">
        <v>1654.0</v>
      </c>
      <c r="AI410" s="87">
        <v>5334.0</v>
      </c>
      <c r="AJ410" s="87">
        <v>58.0</v>
      </c>
      <c r="AK410" s="87">
        <v>45.0</v>
      </c>
      <c r="AL410" s="87">
        <v>731.0</v>
      </c>
      <c r="AM410" s="87">
        <v>78.0</v>
      </c>
      <c r="AN410" s="87">
        <v>800.0</v>
      </c>
      <c r="AO410" s="87">
        <v>3622.0</v>
      </c>
      <c r="AP410" s="87">
        <v>74.0</v>
      </c>
      <c r="AQ410" s="87">
        <v>1381.0</v>
      </c>
      <c r="AR410" s="87">
        <v>315.0</v>
      </c>
      <c r="AS410" s="87">
        <v>5206.0</v>
      </c>
      <c r="AT410" s="87">
        <v>44.0</v>
      </c>
      <c r="AU410" s="87">
        <v>326.0</v>
      </c>
      <c r="AV410" s="87">
        <v>42.0</v>
      </c>
      <c r="AW410" s="87">
        <v>36.0</v>
      </c>
      <c r="AX410" s="87"/>
      <c r="AY410" s="87"/>
      <c r="AZ410" s="87"/>
      <c r="BA410" s="87">
        <v>5.0</v>
      </c>
      <c r="BB410" s="87">
        <v>24.0</v>
      </c>
      <c r="BC410" s="87">
        <v>1362.0</v>
      </c>
      <c r="BD410" s="87">
        <v>1.0</v>
      </c>
      <c r="BE410" s="87">
        <v>3310.0</v>
      </c>
      <c r="BF410" s="87">
        <v>105.0</v>
      </c>
      <c r="BG410" s="87">
        <v>3631.0</v>
      </c>
      <c r="BH410" s="87"/>
      <c r="BI410" s="87">
        <v>29053.0</v>
      </c>
      <c r="BJ410" s="87">
        <v>503.0</v>
      </c>
      <c r="BK410" s="87">
        <v>4170.0</v>
      </c>
      <c r="BL410" s="87">
        <v>706.0</v>
      </c>
      <c r="BM410" s="87">
        <v>1362.0</v>
      </c>
      <c r="BN410" s="87">
        <v>303.0</v>
      </c>
      <c r="BO410" s="87">
        <v>2.0</v>
      </c>
      <c r="BP410" s="87">
        <v>4549.0</v>
      </c>
      <c r="BQ410" s="87">
        <v>334.0</v>
      </c>
      <c r="BR410" s="87">
        <v>66.0</v>
      </c>
      <c r="BS410" s="87">
        <v>529.0</v>
      </c>
      <c r="BT410" s="87"/>
      <c r="BU410" s="87">
        <v>7.0</v>
      </c>
      <c r="BV410" s="87">
        <v>55.0</v>
      </c>
      <c r="BW410" s="87">
        <v>253.0</v>
      </c>
      <c r="BX410" s="87">
        <v>1117.0</v>
      </c>
      <c r="BY410" s="87"/>
      <c r="BZ410" s="87"/>
      <c r="CA410" s="87">
        <v>115.0</v>
      </c>
      <c r="CB410" s="87">
        <v>5.0</v>
      </c>
      <c r="CC410" s="87"/>
      <c r="CD410" s="87">
        <v>9.0</v>
      </c>
      <c r="CE410" s="87">
        <v>7.0</v>
      </c>
      <c r="CF410" s="87"/>
      <c r="CG410" s="87">
        <v>636.0</v>
      </c>
      <c r="CH410" s="87">
        <v>6410.0</v>
      </c>
      <c r="CI410" s="87"/>
      <c r="CJ410" s="87">
        <v>2457.0</v>
      </c>
      <c r="CK410" s="87">
        <v>764.0</v>
      </c>
      <c r="CL410" s="87">
        <v>3676.0</v>
      </c>
      <c r="CM410" s="87">
        <v>32.0</v>
      </c>
      <c r="CN410" s="87"/>
      <c r="CO410" s="87">
        <v>15.0</v>
      </c>
      <c r="CP410" s="87"/>
      <c r="CQ410" s="87">
        <v>102.0</v>
      </c>
      <c r="CR410" s="87"/>
      <c r="CS410" s="87"/>
      <c r="CT410" s="87">
        <v>889.0</v>
      </c>
      <c r="CU410" s="87">
        <v>160.0</v>
      </c>
      <c r="CV410" s="87">
        <v>29.0</v>
      </c>
      <c r="CW410" s="87">
        <v>156.0</v>
      </c>
      <c r="CX410" s="87">
        <v>40.0</v>
      </c>
      <c r="CY410" s="87">
        <v>101.0</v>
      </c>
      <c r="CZ410" s="87">
        <v>3.0</v>
      </c>
      <c r="DA410" s="87">
        <v>4.0</v>
      </c>
      <c r="DB410" s="87">
        <v>571.0</v>
      </c>
      <c r="DC410" s="87">
        <v>270.0</v>
      </c>
      <c r="DD410" s="87">
        <v>480.0</v>
      </c>
      <c r="DE410" s="87">
        <v>77.0</v>
      </c>
      <c r="DF410" s="87">
        <v>428.0</v>
      </c>
      <c r="DG410" s="87">
        <v>170.0</v>
      </c>
      <c r="DH410" s="87">
        <v>1437.0</v>
      </c>
      <c r="DI410" s="87">
        <v>1390.0</v>
      </c>
      <c r="DJ410" s="87">
        <v>4.0</v>
      </c>
      <c r="DK410" s="87">
        <v>75.0</v>
      </c>
      <c r="DL410" s="87">
        <v>742.0</v>
      </c>
      <c r="DM410" s="87">
        <v>20.0</v>
      </c>
      <c r="DN410" s="87"/>
      <c r="DO410" s="87">
        <v>1832.0</v>
      </c>
      <c r="DP410" s="87">
        <v>1351.0</v>
      </c>
      <c r="DQ410" s="87">
        <v>190.0</v>
      </c>
      <c r="DR410" s="87">
        <v>475.0</v>
      </c>
      <c r="DS410" s="87">
        <v>3.0</v>
      </c>
      <c r="DT410" s="87">
        <v>4.0</v>
      </c>
      <c r="DU410" s="87">
        <v>1.0</v>
      </c>
      <c r="DV410" s="87">
        <v>377.0</v>
      </c>
      <c r="DW410" s="87">
        <v>10.0</v>
      </c>
      <c r="DX410" s="87">
        <v>182.0</v>
      </c>
      <c r="DY410" s="87">
        <v>810.0</v>
      </c>
      <c r="DZ410" s="87">
        <v>231.0</v>
      </c>
      <c r="EA410" s="87">
        <v>42.0</v>
      </c>
      <c r="EB410" s="87">
        <v>94.0</v>
      </c>
      <c r="EC410" s="87">
        <v>129.0</v>
      </c>
      <c r="ED410" s="87">
        <v>1152.0</v>
      </c>
      <c r="EE410" s="87">
        <v>163.0</v>
      </c>
      <c r="EF410" s="87">
        <v>4.0</v>
      </c>
      <c r="EG410" s="87">
        <v>31.0</v>
      </c>
      <c r="EH410" s="87">
        <v>2.0</v>
      </c>
      <c r="EI410" s="87">
        <v>23.0</v>
      </c>
      <c r="EJ410" s="87">
        <v>6986.0</v>
      </c>
      <c r="EK410" s="88"/>
      <c r="EL410" s="88"/>
      <c r="EM410" s="88"/>
      <c r="EN410" s="88"/>
      <c r="EO410" s="88"/>
      <c r="EP410" s="88"/>
      <c r="EQ410" s="90"/>
    </row>
    <row r="411" ht="12.0" customHeight="1">
      <c r="A411" s="89">
        <v>1.06484062E8</v>
      </c>
      <c r="B411" s="89" t="s">
        <v>2556</v>
      </c>
      <c r="C411" s="89" t="s">
        <v>2531</v>
      </c>
      <c r="D411" s="89" t="s">
        <v>2557</v>
      </c>
      <c r="E411" s="89" t="s">
        <v>2558</v>
      </c>
      <c r="F411" s="89" t="s">
        <v>2534</v>
      </c>
      <c r="G411" s="89" t="s">
        <v>2535</v>
      </c>
      <c r="H411" s="89" t="s">
        <v>503</v>
      </c>
      <c r="I411" s="89" t="s">
        <v>543</v>
      </c>
      <c r="J411" s="89" t="s">
        <v>499</v>
      </c>
      <c r="K411" s="89" t="s">
        <v>555</v>
      </c>
      <c r="L411" s="89" t="s">
        <v>591</v>
      </c>
      <c r="M411" s="89" t="s">
        <v>2536</v>
      </c>
      <c r="N411" s="89" t="s">
        <v>441</v>
      </c>
      <c r="O411" s="87"/>
      <c r="P411" s="87"/>
      <c r="Q411" s="87">
        <v>371.0</v>
      </c>
      <c r="R411" s="87"/>
      <c r="S411" s="87"/>
      <c r="T411" s="87"/>
      <c r="U411" s="87">
        <v>245.0</v>
      </c>
      <c r="V411" s="87">
        <v>126.0</v>
      </c>
      <c r="W411" s="87"/>
      <c r="X411" s="87"/>
      <c r="Y411" s="87"/>
      <c r="Z411" s="87">
        <v>98.0</v>
      </c>
      <c r="AA411" s="87">
        <v>141.0</v>
      </c>
      <c r="AB411" s="87">
        <v>61.0</v>
      </c>
      <c r="AC411" s="87">
        <v>40.0</v>
      </c>
      <c r="AD411" s="87">
        <v>22.0</v>
      </c>
      <c r="AE411" s="87"/>
      <c r="AF411" s="87"/>
      <c r="AG411" s="87">
        <v>9.0</v>
      </c>
      <c r="AH411" s="87">
        <v>71.0</v>
      </c>
      <c r="AI411" s="87">
        <v>283.0</v>
      </c>
      <c r="AJ411" s="87">
        <v>17.0</v>
      </c>
      <c r="AK411" s="87"/>
      <c r="AL411" s="87"/>
      <c r="AM411" s="87"/>
      <c r="AN411" s="87">
        <v>115.0</v>
      </c>
      <c r="AO411" s="87">
        <v>141.0</v>
      </c>
      <c r="AP411" s="87">
        <v>36.0</v>
      </c>
      <c r="AQ411" s="87">
        <v>53.0</v>
      </c>
      <c r="AR411" s="87">
        <v>26.0</v>
      </c>
      <c r="AS411" s="87">
        <v>363.0</v>
      </c>
      <c r="AT411" s="87"/>
      <c r="AU411" s="87">
        <v>3.0</v>
      </c>
      <c r="AV411" s="87"/>
      <c r="AW411" s="87">
        <v>1.0</v>
      </c>
      <c r="AX411" s="87"/>
      <c r="AY411" s="87"/>
      <c r="AZ411" s="87"/>
      <c r="BA411" s="87"/>
      <c r="BB411" s="87">
        <v>4.0</v>
      </c>
      <c r="BC411" s="87"/>
      <c r="BD411" s="87"/>
      <c r="BE411" s="87"/>
      <c r="BF411" s="87">
        <v>3.0</v>
      </c>
      <c r="BG411" s="87">
        <v>368.0</v>
      </c>
      <c r="BH411" s="87"/>
      <c r="BI411" s="87">
        <v>4784.0</v>
      </c>
      <c r="BJ411" s="87">
        <v>3.0</v>
      </c>
      <c r="BK411" s="87">
        <v>368.0</v>
      </c>
      <c r="BL411" s="87"/>
      <c r="BM411" s="87"/>
      <c r="BN411" s="87"/>
      <c r="BO411" s="87"/>
      <c r="BP411" s="87">
        <v>204.0</v>
      </c>
      <c r="BQ411" s="87">
        <v>4.0</v>
      </c>
      <c r="BR411" s="87"/>
      <c r="BS411" s="87"/>
      <c r="BT411" s="87">
        <v>153.0</v>
      </c>
      <c r="BU411" s="87">
        <v>8.0</v>
      </c>
      <c r="BV411" s="87">
        <v>1.0</v>
      </c>
      <c r="BW411" s="87"/>
      <c r="BX411" s="87"/>
      <c r="BY411" s="87"/>
      <c r="BZ411" s="87"/>
      <c r="CA411" s="87"/>
      <c r="CB411" s="87">
        <v>1.0</v>
      </c>
      <c r="CC411" s="87"/>
      <c r="CD411" s="87"/>
      <c r="CE411" s="87"/>
      <c r="CF411" s="87"/>
      <c r="CG411" s="87"/>
      <c r="CH411" s="87">
        <v>371.0</v>
      </c>
      <c r="CI411" s="87"/>
      <c r="CJ411" s="87">
        <v>19.0</v>
      </c>
      <c r="CK411" s="87">
        <v>294.0</v>
      </c>
      <c r="CL411" s="87"/>
      <c r="CM411" s="87"/>
      <c r="CN411" s="87">
        <v>57.0</v>
      </c>
      <c r="CO411" s="87"/>
      <c r="CP411" s="87">
        <v>1.0</v>
      </c>
      <c r="CQ411" s="87"/>
      <c r="CR411" s="87"/>
      <c r="CS411" s="87"/>
      <c r="CT411" s="87"/>
      <c r="CU411" s="87"/>
      <c r="CV411" s="87"/>
      <c r="CW411" s="87"/>
      <c r="CX411" s="87">
        <v>371.0</v>
      </c>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v>371.0</v>
      </c>
      <c r="EE411" s="87"/>
      <c r="EF411" s="87">
        <v>1.0</v>
      </c>
      <c r="EG411" s="87">
        <v>4.0</v>
      </c>
      <c r="EH411" s="87"/>
      <c r="EI411" s="87">
        <v>1.0</v>
      </c>
      <c r="EJ411" s="87">
        <v>365.0</v>
      </c>
      <c r="EK411" s="88"/>
      <c r="EL411" s="88"/>
      <c r="EM411" s="88"/>
      <c r="EN411" s="88"/>
      <c r="EO411" s="88"/>
      <c r="EP411" s="88"/>
      <c r="EQ411" s="90"/>
    </row>
    <row r="412" ht="12.0" customHeight="1">
      <c r="A412" s="89">
        <v>1.0649004E8</v>
      </c>
      <c r="B412" s="89" t="s">
        <v>2559</v>
      </c>
      <c r="C412" s="89" t="s">
        <v>2560</v>
      </c>
      <c r="D412" s="89" t="s">
        <v>2561</v>
      </c>
      <c r="E412" s="89" t="s">
        <v>2562</v>
      </c>
      <c r="F412" s="89" t="s">
        <v>2563</v>
      </c>
      <c r="G412" s="89" t="s">
        <v>2564</v>
      </c>
      <c r="H412" s="89" t="s">
        <v>503</v>
      </c>
      <c r="I412" s="89" t="s">
        <v>543</v>
      </c>
      <c r="J412" s="89" t="s">
        <v>499</v>
      </c>
      <c r="K412" s="89" t="s">
        <v>637</v>
      </c>
      <c r="L412" s="89" t="s">
        <v>637</v>
      </c>
      <c r="M412" s="89" t="s">
        <v>2565</v>
      </c>
      <c r="N412" s="89" t="s">
        <v>441</v>
      </c>
      <c r="O412" s="87"/>
      <c r="P412" s="87"/>
      <c r="Q412" s="87">
        <v>181.0</v>
      </c>
      <c r="R412" s="87"/>
      <c r="S412" s="87"/>
      <c r="T412" s="87"/>
      <c r="U412" s="87">
        <v>104.0</v>
      </c>
      <c r="V412" s="87">
        <v>77.0</v>
      </c>
      <c r="W412" s="87"/>
      <c r="X412" s="87"/>
      <c r="Y412" s="87"/>
      <c r="Z412" s="87">
        <v>64.0</v>
      </c>
      <c r="AA412" s="87">
        <v>36.0</v>
      </c>
      <c r="AB412" s="87">
        <v>45.0</v>
      </c>
      <c r="AC412" s="87">
        <v>24.0</v>
      </c>
      <c r="AD412" s="87"/>
      <c r="AE412" s="87"/>
      <c r="AF412" s="87"/>
      <c r="AG412" s="87">
        <v>12.0</v>
      </c>
      <c r="AH412" s="87">
        <v>32.0</v>
      </c>
      <c r="AI412" s="87">
        <v>144.0</v>
      </c>
      <c r="AJ412" s="87">
        <v>5.0</v>
      </c>
      <c r="AK412" s="87"/>
      <c r="AL412" s="87"/>
      <c r="AM412" s="87"/>
      <c r="AN412" s="87">
        <v>11.0</v>
      </c>
      <c r="AO412" s="87">
        <v>153.0</v>
      </c>
      <c r="AP412" s="87">
        <v>17.0</v>
      </c>
      <c r="AQ412" s="87"/>
      <c r="AR412" s="87"/>
      <c r="AS412" s="87">
        <v>181.0</v>
      </c>
      <c r="AT412" s="87"/>
      <c r="AU412" s="87"/>
      <c r="AV412" s="87"/>
      <c r="AW412" s="87"/>
      <c r="AX412" s="87"/>
      <c r="AY412" s="87"/>
      <c r="AZ412" s="87"/>
      <c r="BA412" s="87"/>
      <c r="BB412" s="87"/>
      <c r="BC412" s="87"/>
      <c r="BD412" s="87"/>
      <c r="BE412" s="87"/>
      <c r="BF412" s="87">
        <v>1.0</v>
      </c>
      <c r="BG412" s="87">
        <v>180.0</v>
      </c>
      <c r="BH412" s="87"/>
      <c r="BI412" s="87">
        <v>4145.0</v>
      </c>
      <c r="BJ412" s="87"/>
      <c r="BK412" s="87">
        <v>181.0</v>
      </c>
      <c r="BL412" s="87"/>
      <c r="BM412" s="87"/>
      <c r="BN412" s="87"/>
      <c r="BO412" s="87"/>
      <c r="BP412" s="87">
        <v>53.0</v>
      </c>
      <c r="BQ412" s="87">
        <v>3.0</v>
      </c>
      <c r="BR412" s="87">
        <v>5.0</v>
      </c>
      <c r="BS412" s="87">
        <v>2.0</v>
      </c>
      <c r="BT412" s="87">
        <v>2.0</v>
      </c>
      <c r="BU412" s="87">
        <v>4.0</v>
      </c>
      <c r="BV412" s="87">
        <v>10.0</v>
      </c>
      <c r="BW412" s="87"/>
      <c r="BX412" s="87"/>
      <c r="BY412" s="87"/>
      <c r="BZ412" s="87">
        <v>4.0</v>
      </c>
      <c r="CA412" s="87"/>
      <c r="CB412" s="87">
        <v>98.0</v>
      </c>
      <c r="CC412" s="87"/>
      <c r="CD412" s="87"/>
      <c r="CE412" s="87"/>
      <c r="CF412" s="87"/>
      <c r="CG412" s="87"/>
      <c r="CH412" s="87">
        <v>181.0</v>
      </c>
      <c r="CI412" s="87"/>
      <c r="CJ412" s="87"/>
      <c r="CK412" s="87">
        <v>165.0</v>
      </c>
      <c r="CL412" s="87"/>
      <c r="CM412" s="87"/>
      <c r="CN412" s="87">
        <v>16.0</v>
      </c>
      <c r="CO412" s="87"/>
      <c r="CP412" s="87"/>
      <c r="CQ412" s="87"/>
      <c r="CR412" s="87"/>
      <c r="CS412" s="87"/>
      <c r="CT412" s="87"/>
      <c r="CU412" s="87"/>
      <c r="CV412" s="87"/>
      <c r="CW412" s="87"/>
      <c r="CX412" s="87">
        <v>181.0</v>
      </c>
      <c r="CY412" s="87"/>
      <c r="CZ412" s="87"/>
      <c r="DA412" s="87"/>
      <c r="DB412" s="87"/>
      <c r="DC412" s="87"/>
      <c r="DD412" s="87"/>
      <c r="DE412" s="87"/>
      <c r="DF412" s="87"/>
      <c r="DG412" s="87"/>
      <c r="DH412" s="87"/>
      <c r="DI412" s="87"/>
      <c r="DJ412" s="87"/>
      <c r="DK412" s="87"/>
      <c r="DL412" s="87"/>
      <c r="DM412" s="87"/>
      <c r="DN412" s="87"/>
      <c r="DO412" s="87">
        <v>181.0</v>
      </c>
      <c r="DP412" s="87"/>
      <c r="DQ412" s="87"/>
      <c r="DR412" s="87"/>
      <c r="DS412" s="87"/>
      <c r="DT412" s="87"/>
      <c r="DU412" s="87"/>
      <c r="DV412" s="87"/>
      <c r="DW412" s="87"/>
      <c r="DX412" s="87"/>
      <c r="DY412" s="87"/>
      <c r="DZ412" s="87"/>
      <c r="EA412" s="87"/>
      <c r="EB412" s="87"/>
      <c r="EC412" s="87"/>
      <c r="ED412" s="87"/>
      <c r="EE412" s="87"/>
      <c r="EF412" s="87"/>
      <c r="EG412" s="87">
        <v>86.0</v>
      </c>
      <c r="EH412" s="87"/>
      <c r="EI412" s="87"/>
      <c r="EJ412" s="87">
        <v>95.0</v>
      </c>
      <c r="EK412" s="88"/>
      <c r="EL412" s="88"/>
      <c r="EM412" s="88"/>
      <c r="EN412" s="88"/>
      <c r="EO412" s="88"/>
      <c r="EP412" s="88"/>
      <c r="EQ412" s="90"/>
    </row>
    <row r="413" ht="12.0" customHeight="1">
      <c r="A413" s="89">
        <v>1.06490964E8</v>
      </c>
      <c r="B413" s="89" t="s">
        <v>2566</v>
      </c>
      <c r="C413" s="89" t="s">
        <v>2560</v>
      </c>
      <c r="D413" s="89" t="s">
        <v>2567</v>
      </c>
      <c r="E413" s="89" t="s">
        <v>2568</v>
      </c>
      <c r="F413" s="89" t="s">
        <v>2569</v>
      </c>
      <c r="G413" s="89" t="s">
        <v>2570</v>
      </c>
      <c r="H413" s="89" t="s">
        <v>475</v>
      </c>
      <c r="I413" s="89" t="s">
        <v>543</v>
      </c>
      <c r="J413" s="89" t="s">
        <v>499</v>
      </c>
      <c r="K413" s="89" t="s">
        <v>637</v>
      </c>
      <c r="L413" s="89" t="s">
        <v>637</v>
      </c>
      <c r="M413" s="89" t="s">
        <v>2571</v>
      </c>
      <c r="N413" s="89" t="s">
        <v>547</v>
      </c>
      <c r="O413" s="87">
        <v>552.0</v>
      </c>
      <c r="P413" s="87">
        <v>63.0</v>
      </c>
      <c r="Q413" s="87"/>
      <c r="R413" s="87"/>
      <c r="S413" s="87"/>
      <c r="T413" s="87"/>
      <c r="U413" s="87">
        <v>294.0</v>
      </c>
      <c r="V413" s="87">
        <v>321.0</v>
      </c>
      <c r="W413" s="87"/>
      <c r="X413" s="87"/>
      <c r="Y413" s="87"/>
      <c r="Z413" s="87">
        <v>13.0</v>
      </c>
      <c r="AA413" s="87">
        <v>30.0</v>
      </c>
      <c r="AB413" s="87">
        <v>35.0</v>
      </c>
      <c r="AC413" s="87">
        <v>76.0</v>
      </c>
      <c r="AD413" s="87">
        <v>96.0</v>
      </c>
      <c r="AE413" s="87">
        <v>151.0</v>
      </c>
      <c r="AF413" s="87">
        <v>210.0</v>
      </c>
      <c r="AG413" s="87">
        <v>4.0</v>
      </c>
      <c r="AH413" s="87">
        <v>87.0</v>
      </c>
      <c r="AI413" s="87">
        <v>454.0</v>
      </c>
      <c r="AJ413" s="87">
        <v>74.0</v>
      </c>
      <c r="AK413" s="87"/>
      <c r="AL413" s="87"/>
      <c r="AM413" s="87"/>
      <c r="AN413" s="87">
        <v>11.0</v>
      </c>
      <c r="AO413" s="87">
        <v>533.0</v>
      </c>
      <c r="AP413" s="87">
        <v>9.0</v>
      </c>
      <c r="AQ413" s="87">
        <v>62.0</v>
      </c>
      <c r="AR413" s="87"/>
      <c r="AS413" s="87">
        <v>463.0</v>
      </c>
      <c r="AT413" s="87">
        <v>149.0</v>
      </c>
      <c r="AU413" s="87">
        <v>2.0</v>
      </c>
      <c r="AV413" s="87"/>
      <c r="AW413" s="87"/>
      <c r="AX413" s="87">
        <v>1.0</v>
      </c>
      <c r="AY413" s="87"/>
      <c r="AZ413" s="87"/>
      <c r="BA413" s="87"/>
      <c r="BB413" s="87"/>
      <c r="BC413" s="87"/>
      <c r="BD413" s="87"/>
      <c r="BE413" s="87">
        <v>469.0</v>
      </c>
      <c r="BF413" s="87">
        <v>1.0</v>
      </c>
      <c r="BG413" s="87">
        <v>145.0</v>
      </c>
      <c r="BH413" s="87"/>
      <c r="BI413" s="87">
        <v>3358.0</v>
      </c>
      <c r="BJ413" s="87">
        <v>430.0</v>
      </c>
      <c r="BK413" s="87">
        <v>49.0</v>
      </c>
      <c r="BL413" s="87">
        <v>136.0</v>
      </c>
      <c r="BM413" s="87"/>
      <c r="BN413" s="87"/>
      <c r="BO413" s="87"/>
      <c r="BP413" s="87">
        <v>353.0</v>
      </c>
      <c r="BQ413" s="87">
        <v>42.0</v>
      </c>
      <c r="BR413" s="87">
        <v>1.0</v>
      </c>
      <c r="BS413" s="87">
        <v>134.0</v>
      </c>
      <c r="BT413" s="87"/>
      <c r="BU413" s="87"/>
      <c r="BV413" s="87">
        <v>24.0</v>
      </c>
      <c r="BW413" s="87">
        <v>12.0</v>
      </c>
      <c r="BX413" s="87">
        <v>36.0</v>
      </c>
      <c r="BY413" s="87"/>
      <c r="BZ413" s="87"/>
      <c r="CA413" s="87">
        <v>13.0</v>
      </c>
      <c r="CB413" s="87"/>
      <c r="CC413" s="87"/>
      <c r="CD413" s="87"/>
      <c r="CE413" s="87"/>
      <c r="CF413" s="87"/>
      <c r="CG413" s="87">
        <v>112.0</v>
      </c>
      <c r="CH413" s="87">
        <v>503.0</v>
      </c>
      <c r="CI413" s="87"/>
      <c r="CJ413" s="87">
        <v>398.0</v>
      </c>
      <c r="CK413" s="87">
        <v>133.0</v>
      </c>
      <c r="CL413" s="87">
        <v>59.0</v>
      </c>
      <c r="CM413" s="87">
        <v>2.0</v>
      </c>
      <c r="CN413" s="87"/>
      <c r="CO413" s="87">
        <v>13.0</v>
      </c>
      <c r="CP413" s="87"/>
      <c r="CQ413" s="87">
        <v>10.0</v>
      </c>
      <c r="CR413" s="87"/>
      <c r="CS413" s="87"/>
      <c r="CT413" s="87">
        <v>69.0</v>
      </c>
      <c r="CU413" s="87">
        <v>8.0</v>
      </c>
      <c r="CV413" s="87">
        <v>4.0</v>
      </c>
      <c r="CW413" s="87">
        <v>44.0</v>
      </c>
      <c r="CX413" s="87">
        <v>8.0</v>
      </c>
      <c r="CY413" s="87">
        <v>35.0</v>
      </c>
      <c r="CZ413" s="87"/>
      <c r="DA413" s="87">
        <v>3.0</v>
      </c>
      <c r="DB413" s="87">
        <v>71.0</v>
      </c>
      <c r="DC413" s="87">
        <v>70.0</v>
      </c>
      <c r="DD413" s="87">
        <v>77.0</v>
      </c>
      <c r="DE413" s="87">
        <v>30.0</v>
      </c>
      <c r="DF413" s="87">
        <v>36.0</v>
      </c>
      <c r="DG413" s="87">
        <v>38.0</v>
      </c>
      <c r="DH413" s="87"/>
      <c r="DI413" s="87"/>
      <c r="DJ413" s="87"/>
      <c r="DK413" s="87">
        <v>29.0</v>
      </c>
      <c r="DL413" s="87">
        <v>69.0</v>
      </c>
      <c r="DM413" s="87">
        <v>24.0</v>
      </c>
      <c r="DN413" s="87"/>
      <c r="DO413" s="87">
        <v>120.0</v>
      </c>
      <c r="DP413" s="87"/>
      <c r="DQ413" s="87">
        <v>12.0</v>
      </c>
      <c r="DR413" s="87">
        <v>31.0</v>
      </c>
      <c r="DS413" s="87"/>
      <c r="DT413" s="87"/>
      <c r="DU413" s="87"/>
      <c r="DV413" s="87"/>
      <c r="DW413" s="87"/>
      <c r="DX413" s="87">
        <v>12.0</v>
      </c>
      <c r="DY413" s="87">
        <v>42.0</v>
      </c>
      <c r="DZ413" s="87">
        <v>4.0</v>
      </c>
      <c r="EA413" s="87">
        <v>1.0</v>
      </c>
      <c r="EB413" s="87">
        <v>5.0</v>
      </c>
      <c r="EC413" s="87"/>
      <c r="ED413" s="87">
        <v>375.0</v>
      </c>
      <c r="EE413" s="87">
        <v>13.0</v>
      </c>
      <c r="EF413" s="87"/>
      <c r="EG413" s="87">
        <v>23.0</v>
      </c>
      <c r="EH413" s="87"/>
      <c r="EI413" s="87">
        <v>9.0</v>
      </c>
      <c r="EJ413" s="87">
        <v>583.0</v>
      </c>
      <c r="EK413" s="88"/>
      <c r="EL413" s="88"/>
      <c r="EM413" s="88"/>
      <c r="EN413" s="88"/>
      <c r="EO413" s="88"/>
      <c r="EP413" s="88"/>
      <c r="EQ413" s="90"/>
    </row>
    <row r="414" ht="12.0" customHeight="1">
      <c r="A414" s="89">
        <v>1.06491001E8</v>
      </c>
      <c r="B414" s="89" t="s">
        <v>2572</v>
      </c>
      <c r="C414" s="89" t="s">
        <v>2560</v>
      </c>
      <c r="D414" s="89" t="s">
        <v>2573</v>
      </c>
      <c r="E414" s="89" t="s">
        <v>2574</v>
      </c>
      <c r="F414" s="89" t="s">
        <v>2575</v>
      </c>
      <c r="G414" s="89" t="s">
        <v>2576</v>
      </c>
      <c r="H414" s="89" t="s">
        <v>475</v>
      </c>
      <c r="I414" s="89" t="s">
        <v>543</v>
      </c>
      <c r="J414" s="89" t="s">
        <v>463</v>
      </c>
      <c r="K414" s="89" t="s">
        <v>555</v>
      </c>
      <c r="L414" s="89" t="s">
        <v>486</v>
      </c>
      <c r="M414" s="89" t="s">
        <v>2577</v>
      </c>
      <c r="N414" s="89" t="s">
        <v>441</v>
      </c>
      <c r="O414" s="87">
        <v>2737.0</v>
      </c>
      <c r="P414" s="87"/>
      <c r="Q414" s="87"/>
      <c r="R414" s="87"/>
      <c r="S414" s="87"/>
      <c r="T414" s="87"/>
      <c r="U414" s="87">
        <v>1175.0</v>
      </c>
      <c r="V414" s="87">
        <v>1562.0</v>
      </c>
      <c r="W414" s="87"/>
      <c r="X414" s="87">
        <v>371.0</v>
      </c>
      <c r="Y414" s="87">
        <v>23.0</v>
      </c>
      <c r="Z414" s="87">
        <v>226.0</v>
      </c>
      <c r="AA414" s="87">
        <v>303.0</v>
      </c>
      <c r="AB414" s="87">
        <v>171.0</v>
      </c>
      <c r="AC414" s="87">
        <v>279.0</v>
      </c>
      <c r="AD414" s="87">
        <v>404.0</v>
      </c>
      <c r="AE414" s="87">
        <v>428.0</v>
      </c>
      <c r="AF414" s="87">
        <v>532.0</v>
      </c>
      <c r="AG414" s="87"/>
      <c r="AH414" s="87">
        <v>696.0</v>
      </c>
      <c r="AI414" s="87">
        <v>1964.0</v>
      </c>
      <c r="AJ414" s="87">
        <v>77.0</v>
      </c>
      <c r="AK414" s="87"/>
      <c r="AL414" s="87">
        <v>54.0</v>
      </c>
      <c r="AM414" s="87"/>
      <c r="AN414" s="87">
        <v>68.0</v>
      </c>
      <c r="AO414" s="87">
        <v>2400.0</v>
      </c>
      <c r="AP414" s="87">
        <v>71.0</v>
      </c>
      <c r="AQ414" s="87">
        <v>119.0</v>
      </c>
      <c r="AR414" s="87">
        <v>25.0</v>
      </c>
      <c r="AS414" s="87">
        <v>2017.0</v>
      </c>
      <c r="AT414" s="87">
        <v>34.0</v>
      </c>
      <c r="AU414" s="87">
        <v>222.0</v>
      </c>
      <c r="AV414" s="87">
        <v>63.0</v>
      </c>
      <c r="AW414" s="87">
        <v>39.0</v>
      </c>
      <c r="AX414" s="87"/>
      <c r="AY414" s="87"/>
      <c r="AZ414" s="87"/>
      <c r="BA414" s="87">
        <v>2.0</v>
      </c>
      <c r="BB414" s="87">
        <v>1.0</v>
      </c>
      <c r="BC414" s="87">
        <v>359.0</v>
      </c>
      <c r="BD414" s="87"/>
      <c r="BE414" s="87">
        <v>1716.0</v>
      </c>
      <c r="BF414" s="87">
        <v>159.0</v>
      </c>
      <c r="BG414" s="87">
        <v>862.0</v>
      </c>
      <c r="BH414" s="87"/>
      <c r="BI414" s="87">
        <v>10782.0</v>
      </c>
      <c r="BJ414" s="87">
        <v>1732.0</v>
      </c>
      <c r="BK414" s="87">
        <v>304.0</v>
      </c>
      <c r="BL414" s="87">
        <v>341.0</v>
      </c>
      <c r="BM414" s="87">
        <v>359.0</v>
      </c>
      <c r="BN414" s="87">
        <v>1.0</v>
      </c>
      <c r="BO414" s="87"/>
      <c r="BP414" s="87">
        <v>1505.0</v>
      </c>
      <c r="BQ414" s="87">
        <v>219.0</v>
      </c>
      <c r="BR414" s="87">
        <v>16.0</v>
      </c>
      <c r="BS414" s="87">
        <v>415.0</v>
      </c>
      <c r="BT414" s="87">
        <v>1.0</v>
      </c>
      <c r="BU414" s="87">
        <v>2.0</v>
      </c>
      <c r="BV414" s="87">
        <v>56.0</v>
      </c>
      <c r="BW414" s="87">
        <v>62.0</v>
      </c>
      <c r="BX414" s="87">
        <v>394.0</v>
      </c>
      <c r="BY414" s="87"/>
      <c r="BZ414" s="87">
        <v>3.0</v>
      </c>
      <c r="CA414" s="87">
        <v>53.0</v>
      </c>
      <c r="CB414" s="87">
        <v>9.0</v>
      </c>
      <c r="CC414" s="87">
        <v>2.0</v>
      </c>
      <c r="CD414" s="87"/>
      <c r="CE414" s="87"/>
      <c r="CF414" s="87"/>
      <c r="CG414" s="87">
        <v>472.0</v>
      </c>
      <c r="CH414" s="87">
        <v>2265.0</v>
      </c>
      <c r="CI414" s="87"/>
      <c r="CJ414" s="87">
        <v>1138.0</v>
      </c>
      <c r="CK414" s="87">
        <v>1022.0</v>
      </c>
      <c r="CL414" s="87">
        <v>458.0</v>
      </c>
      <c r="CM414" s="87">
        <v>6.0</v>
      </c>
      <c r="CN414" s="87"/>
      <c r="CO414" s="87">
        <v>46.0</v>
      </c>
      <c r="CP414" s="87"/>
      <c r="CQ414" s="87">
        <v>67.0</v>
      </c>
      <c r="CR414" s="87"/>
      <c r="CS414" s="87"/>
      <c r="CT414" s="87">
        <v>408.0</v>
      </c>
      <c r="CU414" s="87">
        <v>37.0</v>
      </c>
      <c r="CV414" s="87">
        <v>12.0</v>
      </c>
      <c r="CW414" s="87">
        <v>133.0</v>
      </c>
      <c r="CX414" s="87">
        <v>57.0</v>
      </c>
      <c r="CY414" s="87">
        <v>54.0</v>
      </c>
      <c r="CZ414" s="87"/>
      <c r="DA414" s="87">
        <v>5.0</v>
      </c>
      <c r="DB414" s="87">
        <v>272.0</v>
      </c>
      <c r="DC414" s="87">
        <v>169.0</v>
      </c>
      <c r="DD414" s="87">
        <v>247.0</v>
      </c>
      <c r="DE414" s="87">
        <v>67.0</v>
      </c>
      <c r="DF414" s="87">
        <v>101.0</v>
      </c>
      <c r="DG414" s="87">
        <v>182.0</v>
      </c>
      <c r="DH414" s="87">
        <v>382.0</v>
      </c>
      <c r="DI414" s="87">
        <v>371.0</v>
      </c>
      <c r="DJ414" s="87">
        <v>2.0</v>
      </c>
      <c r="DK414" s="87">
        <v>37.0</v>
      </c>
      <c r="DL414" s="87">
        <v>189.0</v>
      </c>
      <c r="DM414" s="87">
        <v>12.0</v>
      </c>
      <c r="DN414" s="87"/>
      <c r="DO414" s="87">
        <v>577.0</v>
      </c>
      <c r="DP414" s="87">
        <v>357.0</v>
      </c>
      <c r="DQ414" s="87">
        <v>105.0</v>
      </c>
      <c r="DR414" s="87">
        <v>132.0</v>
      </c>
      <c r="DS414" s="87"/>
      <c r="DT414" s="87"/>
      <c r="DU414" s="87"/>
      <c r="DV414" s="87">
        <v>31.0</v>
      </c>
      <c r="DW414" s="87">
        <v>1.0</v>
      </c>
      <c r="DX414" s="87">
        <v>37.0</v>
      </c>
      <c r="DY414" s="87">
        <v>186.0</v>
      </c>
      <c r="DZ414" s="87">
        <v>14.0</v>
      </c>
      <c r="EA414" s="87">
        <v>1.0</v>
      </c>
      <c r="EB414" s="87">
        <v>14.0</v>
      </c>
      <c r="EC414" s="87">
        <v>46.0</v>
      </c>
      <c r="ED414" s="87">
        <v>1016.0</v>
      </c>
      <c r="EE414" s="87">
        <v>220.0</v>
      </c>
      <c r="EF414" s="87"/>
      <c r="EG414" s="87">
        <v>125.0</v>
      </c>
      <c r="EH414" s="87"/>
      <c r="EI414" s="87">
        <v>15.0</v>
      </c>
      <c r="EJ414" s="87">
        <v>2597.0</v>
      </c>
      <c r="EK414" s="88"/>
      <c r="EL414" s="88"/>
      <c r="EM414" s="88"/>
      <c r="EN414" s="88"/>
      <c r="EO414" s="88"/>
      <c r="EP414" s="88"/>
      <c r="EQ414" s="90"/>
    </row>
    <row r="415" ht="12.0" customHeight="1">
      <c r="A415" s="89">
        <v>1.06491064E8</v>
      </c>
      <c r="B415" s="89" t="s">
        <v>2578</v>
      </c>
      <c r="C415" s="89" t="s">
        <v>2560</v>
      </c>
      <c r="D415" s="89" t="s">
        <v>2579</v>
      </c>
      <c r="E415" s="89" t="s">
        <v>2580</v>
      </c>
      <c r="F415" s="89" t="s">
        <v>2563</v>
      </c>
      <c r="G415" s="89" t="s">
        <v>2581</v>
      </c>
      <c r="H415" s="89" t="s">
        <v>475</v>
      </c>
      <c r="I415" s="89" t="s">
        <v>543</v>
      </c>
      <c r="J415" s="89" t="s">
        <v>469</v>
      </c>
      <c r="K415" s="89" t="s">
        <v>637</v>
      </c>
      <c r="L415" s="89" t="s">
        <v>486</v>
      </c>
      <c r="M415" s="89" t="s">
        <v>2565</v>
      </c>
      <c r="N415" s="89" t="s">
        <v>441</v>
      </c>
      <c r="O415" s="87">
        <v>11481.0</v>
      </c>
      <c r="P415" s="87">
        <v>3.0</v>
      </c>
      <c r="Q415" s="87"/>
      <c r="R415" s="87"/>
      <c r="S415" s="87">
        <v>265.0</v>
      </c>
      <c r="T415" s="87"/>
      <c r="U415" s="87">
        <v>6068.0</v>
      </c>
      <c r="V415" s="87">
        <v>5681.0</v>
      </c>
      <c r="W415" s="87"/>
      <c r="X415" s="87">
        <v>896.0</v>
      </c>
      <c r="Y415" s="87">
        <v>165.0</v>
      </c>
      <c r="Z415" s="87">
        <v>563.0</v>
      </c>
      <c r="AA415" s="87">
        <v>865.0</v>
      </c>
      <c r="AB415" s="87">
        <v>795.0</v>
      </c>
      <c r="AC415" s="87">
        <v>1274.0</v>
      </c>
      <c r="AD415" s="87">
        <v>2238.0</v>
      </c>
      <c r="AE415" s="87">
        <v>2480.0</v>
      </c>
      <c r="AF415" s="87">
        <v>2472.0</v>
      </c>
      <c r="AG415" s="87">
        <v>1.0</v>
      </c>
      <c r="AH415" s="87">
        <v>2051.0</v>
      </c>
      <c r="AI415" s="87">
        <v>9139.0</v>
      </c>
      <c r="AJ415" s="87">
        <v>559.0</v>
      </c>
      <c r="AK415" s="87">
        <v>83.0</v>
      </c>
      <c r="AL415" s="87">
        <v>223.0</v>
      </c>
      <c r="AM415" s="87">
        <v>55.0</v>
      </c>
      <c r="AN415" s="87">
        <v>254.0</v>
      </c>
      <c r="AO415" s="87">
        <v>10155.0</v>
      </c>
      <c r="AP415" s="87">
        <v>475.0</v>
      </c>
      <c r="AQ415" s="87">
        <v>368.0</v>
      </c>
      <c r="AR415" s="87">
        <v>136.0</v>
      </c>
      <c r="AS415" s="87">
        <v>9427.0</v>
      </c>
      <c r="AT415" s="87">
        <v>50.0</v>
      </c>
      <c r="AU415" s="87">
        <v>1366.0</v>
      </c>
      <c r="AV415" s="87">
        <v>166.0</v>
      </c>
      <c r="AW415" s="87">
        <v>40.0</v>
      </c>
      <c r="AX415" s="87">
        <v>150.0</v>
      </c>
      <c r="AY415" s="87">
        <v>2.0</v>
      </c>
      <c r="AZ415" s="87"/>
      <c r="BA415" s="87"/>
      <c r="BB415" s="87">
        <v>2.0</v>
      </c>
      <c r="BC415" s="87">
        <v>546.0</v>
      </c>
      <c r="BD415" s="87"/>
      <c r="BE415" s="87">
        <v>8486.0</v>
      </c>
      <c r="BF415" s="87">
        <v>589.0</v>
      </c>
      <c r="BG415" s="87">
        <v>2674.0</v>
      </c>
      <c r="BH415" s="87"/>
      <c r="BI415" s="87">
        <v>71128.0</v>
      </c>
      <c r="BJ415" s="87">
        <v>7235.0</v>
      </c>
      <c r="BK415" s="87">
        <v>1111.0</v>
      </c>
      <c r="BL415" s="87">
        <v>1517.0</v>
      </c>
      <c r="BM415" s="87">
        <v>546.0</v>
      </c>
      <c r="BN415" s="87">
        <v>1335.0</v>
      </c>
      <c r="BO415" s="87">
        <v>5.0</v>
      </c>
      <c r="BP415" s="87">
        <v>6398.0</v>
      </c>
      <c r="BQ415" s="87">
        <v>372.0</v>
      </c>
      <c r="BR415" s="87">
        <v>180.0</v>
      </c>
      <c r="BS415" s="87">
        <v>1659.0</v>
      </c>
      <c r="BT415" s="87">
        <v>12.0</v>
      </c>
      <c r="BU415" s="87">
        <v>7.0</v>
      </c>
      <c r="BV415" s="87">
        <v>352.0</v>
      </c>
      <c r="BW415" s="87">
        <v>521.0</v>
      </c>
      <c r="BX415" s="87">
        <v>1931.0</v>
      </c>
      <c r="BY415" s="87"/>
      <c r="BZ415" s="87">
        <v>14.0</v>
      </c>
      <c r="CA415" s="87">
        <v>215.0</v>
      </c>
      <c r="CB415" s="87">
        <v>36.0</v>
      </c>
      <c r="CC415" s="87">
        <v>14.0</v>
      </c>
      <c r="CD415" s="87">
        <v>1.0</v>
      </c>
      <c r="CE415" s="87"/>
      <c r="CF415" s="87">
        <v>37.0</v>
      </c>
      <c r="CG415" s="87">
        <v>1667.0</v>
      </c>
      <c r="CH415" s="87">
        <v>10082.0</v>
      </c>
      <c r="CI415" s="87"/>
      <c r="CJ415" s="87">
        <v>5786.0</v>
      </c>
      <c r="CK415" s="87">
        <v>3142.0</v>
      </c>
      <c r="CL415" s="87">
        <v>2155.0</v>
      </c>
      <c r="CM415" s="87">
        <v>97.0</v>
      </c>
      <c r="CN415" s="87"/>
      <c r="CO415" s="87">
        <v>339.0</v>
      </c>
      <c r="CP415" s="87"/>
      <c r="CQ415" s="87">
        <v>228.0</v>
      </c>
      <c r="CR415" s="87">
        <v>2.0</v>
      </c>
      <c r="CS415" s="87"/>
      <c r="CT415" s="87">
        <v>1304.0</v>
      </c>
      <c r="CU415" s="87">
        <v>388.0</v>
      </c>
      <c r="CV415" s="87">
        <v>89.0</v>
      </c>
      <c r="CW415" s="87">
        <v>368.0</v>
      </c>
      <c r="CX415" s="87">
        <v>214.0</v>
      </c>
      <c r="CY415" s="87">
        <v>273.0</v>
      </c>
      <c r="CZ415" s="87">
        <v>9.0</v>
      </c>
      <c r="DA415" s="87">
        <v>12.0</v>
      </c>
      <c r="DB415" s="87">
        <v>2227.0</v>
      </c>
      <c r="DC415" s="87">
        <v>718.0</v>
      </c>
      <c r="DD415" s="87">
        <v>1233.0</v>
      </c>
      <c r="DE415" s="87">
        <v>211.0</v>
      </c>
      <c r="DF415" s="87">
        <v>567.0</v>
      </c>
      <c r="DG415" s="87">
        <v>542.0</v>
      </c>
      <c r="DH415" s="87">
        <v>593.0</v>
      </c>
      <c r="DI415" s="87">
        <v>607.0</v>
      </c>
      <c r="DJ415" s="87">
        <v>11.0</v>
      </c>
      <c r="DK415" s="87">
        <v>116.0</v>
      </c>
      <c r="DL415" s="87">
        <v>2118.0</v>
      </c>
      <c r="DM415" s="87">
        <v>146.0</v>
      </c>
      <c r="DN415" s="87">
        <v>3.0</v>
      </c>
      <c r="DO415" s="87">
        <v>1829.0</v>
      </c>
      <c r="DP415" s="87">
        <v>531.0</v>
      </c>
      <c r="DQ415" s="87">
        <v>1438.0</v>
      </c>
      <c r="DR415" s="87">
        <v>1101.0</v>
      </c>
      <c r="DS415" s="87">
        <v>13.0</v>
      </c>
      <c r="DT415" s="87">
        <v>7.0</v>
      </c>
      <c r="DU415" s="87">
        <v>1.0</v>
      </c>
      <c r="DV415" s="87">
        <v>92.0</v>
      </c>
      <c r="DW415" s="87">
        <v>42.0</v>
      </c>
      <c r="DX415" s="87">
        <v>402.0</v>
      </c>
      <c r="DY415" s="87">
        <v>1328.0</v>
      </c>
      <c r="DZ415" s="87">
        <v>195.0</v>
      </c>
      <c r="EA415" s="87">
        <v>38.0</v>
      </c>
      <c r="EB415" s="87">
        <v>172.0</v>
      </c>
      <c r="EC415" s="87">
        <v>294.0</v>
      </c>
      <c r="ED415" s="87">
        <v>4067.0</v>
      </c>
      <c r="EE415" s="87">
        <v>199.0</v>
      </c>
      <c r="EF415" s="87">
        <v>4.0</v>
      </c>
      <c r="EG415" s="87">
        <v>548.0</v>
      </c>
      <c r="EH415" s="87">
        <v>2.0</v>
      </c>
      <c r="EI415" s="87">
        <v>109.0</v>
      </c>
      <c r="EJ415" s="87">
        <v>11086.0</v>
      </c>
      <c r="EK415" s="88"/>
      <c r="EL415" s="88"/>
      <c r="EM415" s="88"/>
      <c r="EN415" s="88"/>
      <c r="EO415" s="88"/>
      <c r="EP415" s="88"/>
      <c r="EQ415" s="90"/>
    </row>
    <row r="416" ht="12.0" customHeight="1">
      <c r="A416" s="89">
        <v>1.06491076E8</v>
      </c>
      <c r="B416" s="89" t="s">
        <v>2582</v>
      </c>
      <c r="C416" s="89" t="s">
        <v>2560</v>
      </c>
      <c r="D416" s="89" t="s">
        <v>2583</v>
      </c>
      <c r="E416" s="89" t="s">
        <v>2584</v>
      </c>
      <c r="F416" s="89" t="s">
        <v>2560</v>
      </c>
      <c r="G416" s="89" t="s">
        <v>2585</v>
      </c>
      <c r="H416" s="89" t="s">
        <v>494</v>
      </c>
      <c r="I416" s="89" t="s">
        <v>543</v>
      </c>
      <c r="J416" s="89" t="s">
        <v>463</v>
      </c>
      <c r="K416" s="89" t="s">
        <v>555</v>
      </c>
      <c r="L416" s="89" t="s">
        <v>486</v>
      </c>
      <c r="M416" s="89" t="s">
        <v>2586</v>
      </c>
      <c r="N416" s="89" t="s">
        <v>441</v>
      </c>
      <c r="O416" s="87">
        <v>789.0</v>
      </c>
      <c r="P416" s="87">
        <v>117.0</v>
      </c>
      <c r="Q416" s="87"/>
      <c r="R416" s="87"/>
      <c r="S416" s="87"/>
      <c r="T416" s="87"/>
      <c r="U416" s="87">
        <v>439.0</v>
      </c>
      <c r="V416" s="87">
        <v>467.0</v>
      </c>
      <c r="W416" s="87"/>
      <c r="X416" s="87"/>
      <c r="Y416" s="87"/>
      <c r="Z416" s="87"/>
      <c r="AA416" s="87">
        <v>49.0</v>
      </c>
      <c r="AB416" s="87">
        <v>49.0</v>
      </c>
      <c r="AC416" s="87">
        <v>86.0</v>
      </c>
      <c r="AD416" s="87">
        <v>136.0</v>
      </c>
      <c r="AE416" s="87">
        <v>205.0</v>
      </c>
      <c r="AF416" s="87">
        <v>367.0</v>
      </c>
      <c r="AG416" s="87">
        <v>14.0</v>
      </c>
      <c r="AH416" s="87">
        <v>100.0</v>
      </c>
      <c r="AI416" s="87">
        <v>717.0</v>
      </c>
      <c r="AJ416" s="87">
        <v>89.0</v>
      </c>
      <c r="AK416" s="87">
        <v>13.0</v>
      </c>
      <c r="AL416" s="87"/>
      <c r="AM416" s="87"/>
      <c r="AN416" s="87"/>
      <c r="AO416" s="87">
        <v>742.0</v>
      </c>
      <c r="AP416" s="87">
        <v>139.0</v>
      </c>
      <c r="AQ416" s="87"/>
      <c r="AR416" s="87">
        <v>12.0</v>
      </c>
      <c r="AS416" s="87">
        <v>630.0</v>
      </c>
      <c r="AT416" s="87">
        <v>14.0</v>
      </c>
      <c r="AU416" s="87">
        <v>18.0</v>
      </c>
      <c r="AV416" s="87">
        <v>74.0</v>
      </c>
      <c r="AW416" s="87">
        <v>6.0</v>
      </c>
      <c r="AX416" s="87">
        <v>135.0</v>
      </c>
      <c r="AY416" s="87"/>
      <c r="AZ416" s="87">
        <v>5.0</v>
      </c>
      <c r="BA416" s="87">
        <v>22.0</v>
      </c>
      <c r="BB416" s="87">
        <v>2.0</v>
      </c>
      <c r="BC416" s="87"/>
      <c r="BD416" s="87"/>
      <c r="BE416" s="87">
        <v>675.0</v>
      </c>
      <c r="BF416" s="87"/>
      <c r="BG416" s="87">
        <v>231.0</v>
      </c>
      <c r="BH416" s="87"/>
      <c r="BI416" s="87">
        <v>15167.0</v>
      </c>
      <c r="BJ416" s="87">
        <v>672.0</v>
      </c>
      <c r="BK416" s="87">
        <v>11.0</v>
      </c>
      <c r="BL416" s="87">
        <v>223.0</v>
      </c>
      <c r="BM416" s="87"/>
      <c r="BN416" s="87"/>
      <c r="BO416" s="87"/>
      <c r="BP416" s="87">
        <v>355.0</v>
      </c>
      <c r="BQ416" s="87">
        <v>69.0</v>
      </c>
      <c r="BR416" s="87"/>
      <c r="BS416" s="87">
        <v>194.0</v>
      </c>
      <c r="BT416" s="87">
        <v>2.0</v>
      </c>
      <c r="BU416" s="87">
        <v>21.0</v>
      </c>
      <c r="BV416" s="87">
        <v>6.0</v>
      </c>
      <c r="BW416" s="87">
        <v>46.0</v>
      </c>
      <c r="BX416" s="87">
        <v>180.0</v>
      </c>
      <c r="BY416" s="87"/>
      <c r="BZ416" s="87">
        <v>2.0</v>
      </c>
      <c r="CA416" s="87">
        <v>31.0</v>
      </c>
      <c r="CB416" s="87"/>
      <c r="CC416" s="87"/>
      <c r="CD416" s="87"/>
      <c r="CE416" s="87"/>
      <c r="CF416" s="87"/>
      <c r="CG416" s="87">
        <v>260.0</v>
      </c>
      <c r="CH416" s="87">
        <v>646.0</v>
      </c>
      <c r="CI416" s="87"/>
      <c r="CJ416" s="87">
        <v>434.0</v>
      </c>
      <c r="CK416" s="87">
        <v>139.0</v>
      </c>
      <c r="CL416" s="87">
        <v>289.0</v>
      </c>
      <c r="CM416" s="87">
        <v>7.0</v>
      </c>
      <c r="CN416" s="87"/>
      <c r="CO416" s="87">
        <v>17.0</v>
      </c>
      <c r="CP416" s="87"/>
      <c r="CQ416" s="87">
        <v>3.0</v>
      </c>
      <c r="CR416" s="87">
        <v>17.0</v>
      </c>
      <c r="CS416" s="87"/>
      <c r="CT416" s="87">
        <v>185.0</v>
      </c>
      <c r="CU416" s="87">
        <v>20.0</v>
      </c>
      <c r="CV416" s="87">
        <v>2.0</v>
      </c>
      <c r="CW416" s="87">
        <v>62.0</v>
      </c>
      <c r="CX416" s="87">
        <v>23.0</v>
      </c>
      <c r="CY416" s="87">
        <v>32.0</v>
      </c>
      <c r="CZ416" s="87"/>
      <c r="DA416" s="87"/>
      <c r="DB416" s="87">
        <v>131.0</v>
      </c>
      <c r="DC416" s="87">
        <v>80.0</v>
      </c>
      <c r="DD416" s="87">
        <v>68.0</v>
      </c>
      <c r="DE416" s="87">
        <v>22.0</v>
      </c>
      <c r="DF416" s="87">
        <v>52.0</v>
      </c>
      <c r="DG416" s="87">
        <v>42.0</v>
      </c>
      <c r="DH416" s="87"/>
      <c r="DI416" s="87"/>
      <c r="DJ416" s="87"/>
      <c r="DK416" s="87">
        <v>11.0</v>
      </c>
      <c r="DL416" s="87">
        <v>125.0</v>
      </c>
      <c r="DM416" s="87">
        <v>50.0</v>
      </c>
      <c r="DN416" s="87">
        <v>1.0</v>
      </c>
      <c r="DO416" s="87">
        <v>66.0</v>
      </c>
      <c r="DP416" s="87"/>
      <c r="DQ416" s="87">
        <v>46.0</v>
      </c>
      <c r="DR416" s="87">
        <v>64.0</v>
      </c>
      <c r="DS416" s="87"/>
      <c r="DT416" s="87"/>
      <c r="DU416" s="87">
        <v>1.0</v>
      </c>
      <c r="DV416" s="87">
        <v>10.0</v>
      </c>
      <c r="DW416" s="87"/>
      <c r="DX416" s="87">
        <v>14.0</v>
      </c>
      <c r="DY416" s="87">
        <v>121.0</v>
      </c>
      <c r="DZ416" s="87">
        <v>3.0</v>
      </c>
      <c r="EA416" s="87"/>
      <c r="EB416" s="87">
        <v>3.0</v>
      </c>
      <c r="EC416" s="87"/>
      <c r="ED416" s="87">
        <v>542.0</v>
      </c>
      <c r="EE416" s="87">
        <v>36.0</v>
      </c>
      <c r="EF416" s="87"/>
      <c r="EG416" s="87">
        <v>7.0</v>
      </c>
      <c r="EH416" s="87"/>
      <c r="EI416" s="87">
        <v>17.0</v>
      </c>
      <c r="EJ416" s="87">
        <v>882.0</v>
      </c>
      <c r="EK416" s="88"/>
      <c r="EL416" s="88"/>
      <c r="EM416" s="88"/>
      <c r="EN416" s="88"/>
      <c r="EO416" s="88"/>
      <c r="EP416" s="88"/>
      <c r="EQ416" s="90"/>
    </row>
    <row r="417" ht="12.0" customHeight="1">
      <c r="A417" s="89">
        <v>1.06491338E8</v>
      </c>
      <c r="B417" s="89" t="s">
        <v>2587</v>
      </c>
      <c r="C417" s="89" t="s">
        <v>2560</v>
      </c>
      <c r="D417" s="89" t="s">
        <v>2588</v>
      </c>
      <c r="E417" s="89" t="s">
        <v>2589</v>
      </c>
      <c r="F417" s="89" t="s">
        <v>2590</v>
      </c>
      <c r="G417" s="89" t="s">
        <v>2591</v>
      </c>
      <c r="H417" s="89" t="s">
        <v>475</v>
      </c>
      <c r="I417" s="89" t="s">
        <v>543</v>
      </c>
      <c r="J417" s="89" t="s">
        <v>499</v>
      </c>
      <c r="K417" s="89" t="s">
        <v>637</v>
      </c>
      <c r="L417" s="89" t="s">
        <v>486</v>
      </c>
      <c r="M417" s="89" t="s">
        <v>2592</v>
      </c>
      <c r="N417" s="89" t="s">
        <v>547</v>
      </c>
      <c r="O417" s="87">
        <v>381.0</v>
      </c>
      <c r="P417" s="87"/>
      <c r="Q417" s="87"/>
      <c r="R417" s="87"/>
      <c r="S417" s="87"/>
      <c r="T417" s="87"/>
      <c r="U417" s="87">
        <v>240.0</v>
      </c>
      <c r="V417" s="87">
        <v>141.0</v>
      </c>
      <c r="W417" s="87"/>
      <c r="X417" s="87"/>
      <c r="Y417" s="87"/>
      <c r="Z417" s="87"/>
      <c r="AA417" s="87">
        <v>22.0</v>
      </c>
      <c r="AB417" s="87">
        <v>40.0</v>
      </c>
      <c r="AC417" s="87">
        <v>62.0</v>
      </c>
      <c r="AD417" s="87">
        <v>110.0</v>
      </c>
      <c r="AE417" s="87">
        <v>99.0</v>
      </c>
      <c r="AF417" s="87">
        <v>40.0</v>
      </c>
      <c r="AG417" s="87">
        <v>8.0</v>
      </c>
      <c r="AH417" s="87">
        <v>21.0</v>
      </c>
      <c r="AI417" s="87">
        <v>357.0</v>
      </c>
      <c r="AJ417" s="87">
        <v>3.0</v>
      </c>
      <c r="AK417" s="87"/>
      <c r="AL417" s="87">
        <v>13.0</v>
      </c>
      <c r="AM417" s="87"/>
      <c r="AN417" s="87">
        <v>23.0</v>
      </c>
      <c r="AO417" s="87">
        <v>331.0</v>
      </c>
      <c r="AP417" s="87">
        <v>14.0</v>
      </c>
      <c r="AQ417" s="87"/>
      <c r="AR417" s="87"/>
      <c r="AS417" s="87">
        <v>4.0</v>
      </c>
      <c r="AT417" s="87"/>
      <c r="AU417" s="87">
        <v>377.0</v>
      </c>
      <c r="AV417" s="87"/>
      <c r="AW417" s="87"/>
      <c r="AX417" s="87"/>
      <c r="AY417" s="87"/>
      <c r="AZ417" s="87"/>
      <c r="BA417" s="87"/>
      <c r="BB417" s="87"/>
      <c r="BC417" s="87"/>
      <c r="BD417" s="87"/>
      <c r="BE417" s="87"/>
      <c r="BF417" s="87"/>
      <c r="BG417" s="87">
        <v>381.0</v>
      </c>
      <c r="BH417" s="87"/>
      <c r="BI417" s="87">
        <v>11039.0</v>
      </c>
      <c r="BJ417" s="87"/>
      <c r="BK417" s="87"/>
      <c r="BL417" s="87">
        <v>381.0</v>
      </c>
      <c r="BM417" s="87"/>
      <c r="BN417" s="87"/>
      <c r="BO417" s="87"/>
      <c r="BP417" s="87">
        <v>80.0</v>
      </c>
      <c r="BQ417" s="87">
        <v>49.0</v>
      </c>
      <c r="BR417" s="87">
        <v>4.0</v>
      </c>
      <c r="BS417" s="87">
        <v>164.0</v>
      </c>
      <c r="BT417" s="87">
        <v>4.0</v>
      </c>
      <c r="BU417" s="87"/>
      <c r="BV417" s="87">
        <v>20.0</v>
      </c>
      <c r="BW417" s="87">
        <v>29.0</v>
      </c>
      <c r="BX417" s="87">
        <v>9.0</v>
      </c>
      <c r="BY417" s="87"/>
      <c r="BZ417" s="87"/>
      <c r="CA417" s="87">
        <v>3.0</v>
      </c>
      <c r="CB417" s="87"/>
      <c r="CC417" s="87">
        <v>5.0</v>
      </c>
      <c r="CD417" s="87">
        <v>14.0</v>
      </c>
      <c r="CE417" s="87"/>
      <c r="CF417" s="87"/>
      <c r="CG417" s="87">
        <v>95.0</v>
      </c>
      <c r="CH417" s="87">
        <v>286.0</v>
      </c>
      <c r="CI417" s="87"/>
      <c r="CJ417" s="87">
        <v>217.0</v>
      </c>
      <c r="CK417" s="87">
        <v>133.0</v>
      </c>
      <c r="CL417" s="87">
        <v>24.0</v>
      </c>
      <c r="CM417" s="87"/>
      <c r="CN417" s="87"/>
      <c r="CO417" s="87">
        <v>7.0</v>
      </c>
      <c r="CP417" s="87"/>
      <c r="CQ417" s="87"/>
      <c r="CR417" s="87"/>
      <c r="CS417" s="87"/>
      <c r="CT417" s="87">
        <v>17.0</v>
      </c>
      <c r="CU417" s="87">
        <v>6.0</v>
      </c>
      <c r="CV417" s="87"/>
      <c r="CW417" s="87">
        <v>9.0</v>
      </c>
      <c r="CX417" s="87">
        <v>2.0</v>
      </c>
      <c r="CY417" s="87">
        <v>15.0</v>
      </c>
      <c r="CZ417" s="87"/>
      <c r="DA417" s="87"/>
      <c r="DB417" s="87">
        <v>17.0</v>
      </c>
      <c r="DC417" s="87">
        <v>154.0</v>
      </c>
      <c r="DD417" s="87">
        <v>25.0</v>
      </c>
      <c r="DE417" s="87">
        <v>30.0</v>
      </c>
      <c r="DF417" s="87">
        <v>38.0</v>
      </c>
      <c r="DG417" s="87">
        <v>13.0</v>
      </c>
      <c r="DH417" s="87"/>
      <c r="DI417" s="87"/>
      <c r="DJ417" s="87"/>
      <c r="DK417" s="87">
        <v>10.0</v>
      </c>
      <c r="DL417" s="87">
        <v>38.0</v>
      </c>
      <c r="DM417" s="87">
        <v>7.0</v>
      </c>
      <c r="DN417" s="87"/>
      <c r="DO417" s="87">
        <v>153.0</v>
      </c>
      <c r="DP417" s="87"/>
      <c r="DQ417" s="87">
        <v>9.0</v>
      </c>
      <c r="DR417" s="87"/>
      <c r="DS417" s="87"/>
      <c r="DT417" s="87"/>
      <c r="DU417" s="87"/>
      <c r="DV417" s="87"/>
      <c r="DW417" s="87"/>
      <c r="DX417" s="87">
        <v>35.0</v>
      </c>
      <c r="DY417" s="87">
        <v>1.0</v>
      </c>
      <c r="DZ417" s="87"/>
      <c r="EA417" s="87"/>
      <c r="EB417" s="87">
        <v>51.0</v>
      </c>
      <c r="EC417" s="87"/>
      <c r="ED417" s="87">
        <v>99.0</v>
      </c>
      <c r="EE417" s="87">
        <v>33.0</v>
      </c>
      <c r="EF417" s="87"/>
      <c r="EG417" s="87">
        <v>22.0</v>
      </c>
      <c r="EH417" s="87"/>
      <c r="EI417" s="87"/>
      <c r="EJ417" s="87">
        <v>359.0</v>
      </c>
      <c r="EK417" s="88"/>
      <c r="EL417" s="88"/>
      <c r="EM417" s="88"/>
      <c r="EN417" s="88"/>
      <c r="EO417" s="88"/>
      <c r="EP417" s="88"/>
      <c r="EQ417" s="90"/>
    </row>
    <row r="418" ht="12.0" customHeight="1">
      <c r="A418" s="89">
        <v>1.06494019E8</v>
      </c>
      <c r="B418" s="89" t="s">
        <v>2593</v>
      </c>
      <c r="C418" s="89" t="s">
        <v>2560</v>
      </c>
      <c r="D418" s="89" t="s">
        <v>2594</v>
      </c>
      <c r="E418" s="89" t="s">
        <v>2595</v>
      </c>
      <c r="F418" s="89" t="s">
        <v>2563</v>
      </c>
      <c r="G418" s="89" t="s">
        <v>2596</v>
      </c>
      <c r="H418" s="89" t="s">
        <v>447</v>
      </c>
      <c r="I418" s="89" t="s">
        <v>456</v>
      </c>
      <c r="J418" s="89" t="s">
        <v>457</v>
      </c>
      <c r="K418" s="89" t="s">
        <v>637</v>
      </c>
      <c r="L418" s="89" t="s">
        <v>637</v>
      </c>
      <c r="M418" s="89" t="s">
        <v>2565</v>
      </c>
      <c r="N418" s="89" t="s">
        <v>441</v>
      </c>
      <c r="O418" s="87">
        <v>11799.0</v>
      </c>
      <c r="P418" s="87"/>
      <c r="Q418" s="87"/>
      <c r="R418" s="87"/>
      <c r="S418" s="87"/>
      <c r="T418" s="87"/>
      <c r="U418" s="87">
        <v>4774.0</v>
      </c>
      <c r="V418" s="87">
        <v>7023.0</v>
      </c>
      <c r="W418" s="87">
        <v>2.0</v>
      </c>
      <c r="X418" s="87">
        <v>2182.0</v>
      </c>
      <c r="Y418" s="87">
        <v>136.0</v>
      </c>
      <c r="Z418" s="87">
        <v>833.0</v>
      </c>
      <c r="AA418" s="87">
        <v>1566.0</v>
      </c>
      <c r="AB418" s="87">
        <v>609.0</v>
      </c>
      <c r="AC418" s="87">
        <v>848.0</v>
      </c>
      <c r="AD418" s="87">
        <v>1536.0</v>
      </c>
      <c r="AE418" s="87">
        <v>2063.0</v>
      </c>
      <c r="AF418" s="87">
        <v>2026.0</v>
      </c>
      <c r="AG418" s="87"/>
      <c r="AH418" s="87">
        <v>2390.0</v>
      </c>
      <c r="AI418" s="87">
        <v>9150.0</v>
      </c>
      <c r="AJ418" s="87">
        <v>259.0</v>
      </c>
      <c r="AK418" s="87">
        <v>82.0</v>
      </c>
      <c r="AL418" s="87">
        <v>500.0</v>
      </c>
      <c r="AM418" s="87">
        <v>57.0</v>
      </c>
      <c r="AN418" s="87">
        <v>215.0</v>
      </c>
      <c r="AO418" s="87">
        <v>8396.0</v>
      </c>
      <c r="AP418" s="87">
        <v>166.0</v>
      </c>
      <c r="AQ418" s="87">
        <v>2057.0</v>
      </c>
      <c r="AR418" s="87">
        <v>326.0</v>
      </c>
      <c r="AS418" s="87">
        <v>8975.0</v>
      </c>
      <c r="AT418" s="87">
        <v>222.0</v>
      </c>
      <c r="AU418" s="87">
        <v>355.0</v>
      </c>
      <c r="AV418" s="87">
        <v>151.0</v>
      </c>
      <c r="AW418" s="87">
        <v>92.0</v>
      </c>
      <c r="AX418" s="87"/>
      <c r="AY418" s="87"/>
      <c r="AZ418" s="87"/>
      <c r="BA418" s="87">
        <v>1.0</v>
      </c>
      <c r="BB418" s="87">
        <v>15.0</v>
      </c>
      <c r="BC418" s="87">
        <v>1988.0</v>
      </c>
      <c r="BD418" s="87"/>
      <c r="BE418" s="87">
        <v>6882.0</v>
      </c>
      <c r="BF418" s="87">
        <v>116.0</v>
      </c>
      <c r="BG418" s="87">
        <v>4801.0</v>
      </c>
      <c r="BH418" s="87"/>
      <c r="BI418" s="87">
        <v>46289.0</v>
      </c>
      <c r="BJ418" s="87">
        <v>632.0</v>
      </c>
      <c r="BK418" s="87">
        <v>8583.0</v>
      </c>
      <c r="BL418" s="87">
        <v>593.0</v>
      </c>
      <c r="BM418" s="87">
        <v>1988.0</v>
      </c>
      <c r="BN418" s="87"/>
      <c r="BO418" s="87">
        <v>3.0</v>
      </c>
      <c r="BP418" s="87">
        <v>8663.0</v>
      </c>
      <c r="BQ418" s="87">
        <v>393.0</v>
      </c>
      <c r="BR418" s="87">
        <v>30.0</v>
      </c>
      <c r="BS418" s="87">
        <v>653.0</v>
      </c>
      <c r="BT418" s="87">
        <v>9.0</v>
      </c>
      <c r="BU418" s="87"/>
      <c r="BV418" s="87">
        <v>87.0</v>
      </c>
      <c r="BW418" s="87">
        <v>270.0</v>
      </c>
      <c r="BX418" s="87">
        <v>1307.0</v>
      </c>
      <c r="BY418" s="87">
        <v>1.0</v>
      </c>
      <c r="BZ418" s="87">
        <v>1.0</v>
      </c>
      <c r="CA418" s="87">
        <v>340.0</v>
      </c>
      <c r="CB418" s="87">
        <v>27.0</v>
      </c>
      <c r="CC418" s="87"/>
      <c r="CD418" s="87">
        <v>13.0</v>
      </c>
      <c r="CE418" s="87">
        <v>5.0</v>
      </c>
      <c r="CF418" s="87"/>
      <c r="CG418" s="87">
        <v>1762.0</v>
      </c>
      <c r="CH418" s="87">
        <v>10037.0</v>
      </c>
      <c r="CI418" s="87"/>
      <c r="CJ418" s="87">
        <v>5079.0</v>
      </c>
      <c r="CK418" s="87">
        <v>895.0</v>
      </c>
      <c r="CL418" s="87">
        <v>5712.0</v>
      </c>
      <c r="CM418" s="87">
        <v>14.0</v>
      </c>
      <c r="CN418" s="87"/>
      <c r="CO418" s="87">
        <v>9.0</v>
      </c>
      <c r="CP418" s="87"/>
      <c r="CQ418" s="87">
        <v>87.0</v>
      </c>
      <c r="CR418" s="87">
        <v>1.0</v>
      </c>
      <c r="CS418" s="87">
        <v>2.0</v>
      </c>
      <c r="CT418" s="87">
        <v>1868.0</v>
      </c>
      <c r="CU418" s="87">
        <v>231.0</v>
      </c>
      <c r="CV418" s="87">
        <v>79.0</v>
      </c>
      <c r="CW418" s="87">
        <v>292.0</v>
      </c>
      <c r="CX418" s="87">
        <v>156.0</v>
      </c>
      <c r="CY418" s="87">
        <v>266.0</v>
      </c>
      <c r="CZ418" s="87">
        <v>13.0</v>
      </c>
      <c r="DA418" s="87">
        <v>7.0</v>
      </c>
      <c r="DB418" s="87">
        <v>1251.0</v>
      </c>
      <c r="DC418" s="87">
        <v>505.0</v>
      </c>
      <c r="DD418" s="87">
        <v>1259.0</v>
      </c>
      <c r="DE418" s="87">
        <v>140.0</v>
      </c>
      <c r="DF418" s="87">
        <v>281.0</v>
      </c>
      <c r="DG418" s="87">
        <v>343.0</v>
      </c>
      <c r="DH418" s="87">
        <v>2095.0</v>
      </c>
      <c r="DI418" s="87">
        <v>2058.0</v>
      </c>
      <c r="DJ418" s="87"/>
      <c r="DK418" s="87">
        <v>188.0</v>
      </c>
      <c r="DL418" s="87">
        <v>747.0</v>
      </c>
      <c r="DM418" s="87">
        <v>20.0</v>
      </c>
      <c r="DN418" s="87"/>
      <c r="DO418" s="87">
        <v>3544.0</v>
      </c>
      <c r="DP418" s="87">
        <v>1971.0</v>
      </c>
      <c r="DQ418" s="87">
        <v>325.0</v>
      </c>
      <c r="DR418" s="87">
        <v>968.0</v>
      </c>
      <c r="DS418" s="87">
        <v>3.0</v>
      </c>
      <c r="DT418" s="87">
        <v>1.0</v>
      </c>
      <c r="DU418" s="87">
        <v>3.0</v>
      </c>
      <c r="DV418" s="87">
        <v>386.0</v>
      </c>
      <c r="DW418" s="87">
        <v>36.0</v>
      </c>
      <c r="DX418" s="87">
        <v>187.0</v>
      </c>
      <c r="DY418" s="87">
        <v>589.0</v>
      </c>
      <c r="DZ418" s="87">
        <v>54.0</v>
      </c>
      <c r="EA418" s="87">
        <v>57.0</v>
      </c>
      <c r="EB418" s="87">
        <v>132.0</v>
      </c>
      <c r="EC418" s="87">
        <v>377.0</v>
      </c>
      <c r="ED418" s="87">
        <v>2824.0</v>
      </c>
      <c r="EE418" s="87">
        <v>342.0</v>
      </c>
      <c r="EF418" s="87">
        <v>4.0</v>
      </c>
      <c r="EG418" s="87">
        <v>95.0</v>
      </c>
      <c r="EH418" s="87"/>
      <c r="EI418" s="87">
        <v>18.0</v>
      </c>
      <c r="EJ418" s="87">
        <v>11682.0</v>
      </c>
      <c r="EK418" s="88"/>
      <c r="EL418" s="88"/>
      <c r="EM418" s="88"/>
      <c r="EN418" s="88"/>
      <c r="EO418" s="88"/>
      <c r="EP418" s="88"/>
      <c r="EQ418" s="90"/>
    </row>
    <row r="419" ht="12.0" customHeight="1">
      <c r="A419" s="89">
        <v>1.06494048E8</v>
      </c>
      <c r="B419" s="89" t="s">
        <v>2597</v>
      </c>
      <c r="C419" s="89" t="s">
        <v>2560</v>
      </c>
      <c r="D419" s="89" t="s">
        <v>2598</v>
      </c>
      <c r="E419" s="89" t="s">
        <v>2599</v>
      </c>
      <c r="F419" s="89" t="s">
        <v>2563</v>
      </c>
      <c r="G419" s="89" t="s">
        <v>2600</v>
      </c>
      <c r="H419" s="89" t="s">
        <v>475</v>
      </c>
      <c r="I419" s="89" t="s">
        <v>456</v>
      </c>
      <c r="J419" s="89" t="s">
        <v>437</v>
      </c>
      <c r="K419" s="89" t="s">
        <v>637</v>
      </c>
      <c r="L419" s="89" t="s">
        <v>486</v>
      </c>
      <c r="M419" s="89" t="s">
        <v>2565</v>
      </c>
      <c r="N419" s="89" t="s">
        <v>441</v>
      </c>
      <c r="O419" s="87"/>
      <c r="P419" s="87"/>
      <c r="Q419" s="87">
        <v>2549.0</v>
      </c>
      <c r="R419" s="87"/>
      <c r="S419" s="87"/>
      <c r="T419" s="87"/>
      <c r="U419" s="87">
        <v>1154.0</v>
      </c>
      <c r="V419" s="87">
        <v>1395.0</v>
      </c>
      <c r="W419" s="87"/>
      <c r="X419" s="87"/>
      <c r="Y419" s="87">
        <v>796.0</v>
      </c>
      <c r="Z419" s="87">
        <v>554.0</v>
      </c>
      <c r="AA419" s="87">
        <v>455.0</v>
      </c>
      <c r="AB419" s="87">
        <v>307.0</v>
      </c>
      <c r="AC419" s="87">
        <v>241.0</v>
      </c>
      <c r="AD419" s="87">
        <v>156.0</v>
      </c>
      <c r="AE419" s="87">
        <v>37.0</v>
      </c>
      <c r="AF419" s="87"/>
      <c r="AG419" s="87">
        <v>3.0</v>
      </c>
      <c r="AH419" s="87">
        <v>551.0</v>
      </c>
      <c r="AI419" s="87">
        <v>1606.0</v>
      </c>
      <c r="AJ419" s="87">
        <v>392.0</v>
      </c>
      <c r="AK419" s="87">
        <v>28.0</v>
      </c>
      <c r="AL419" s="87">
        <v>109.0</v>
      </c>
      <c r="AM419" s="87">
        <v>14.0</v>
      </c>
      <c r="AN419" s="87">
        <v>244.0</v>
      </c>
      <c r="AO419" s="87">
        <v>1150.0</v>
      </c>
      <c r="AP419" s="87">
        <v>449.0</v>
      </c>
      <c r="AQ419" s="87">
        <v>461.0</v>
      </c>
      <c r="AR419" s="87">
        <v>94.0</v>
      </c>
      <c r="AS419" s="87">
        <v>66.0</v>
      </c>
      <c r="AT419" s="87">
        <v>1.0</v>
      </c>
      <c r="AU419" s="87">
        <v>2449.0</v>
      </c>
      <c r="AV419" s="87"/>
      <c r="AW419" s="87">
        <v>28.0</v>
      </c>
      <c r="AX419" s="87">
        <v>2.0</v>
      </c>
      <c r="AY419" s="87"/>
      <c r="AZ419" s="87"/>
      <c r="BA419" s="87">
        <v>1.0</v>
      </c>
      <c r="BB419" s="87">
        <v>2.0</v>
      </c>
      <c r="BC419" s="87"/>
      <c r="BD419" s="87"/>
      <c r="BE419" s="87"/>
      <c r="BF419" s="87">
        <v>2433.0</v>
      </c>
      <c r="BG419" s="87">
        <v>116.0</v>
      </c>
      <c r="BH419" s="87"/>
      <c r="BI419" s="87">
        <v>24972.0</v>
      </c>
      <c r="BJ419" s="87"/>
      <c r="BK419" s="87">
        <v>2549.0</v>
      </c>
      <c r="BL419" s="87"/>
      <c r="BM419" s="87"/>
      <c r="BN419" s="87"/>
      <c r="BO419" s="87"/>
      <c r="BP419" s="87">
        <v>2441.0</v>
      </c>
      <c r="BQ419" s="87">
        <v>4.0</v>
      </c>
      <c r="BR419" s="87"/>
      <c r="BS419" s="87"/>
      <c r="BT419" s="87">
        <v>1.0</v>
      </c>
      <c r="BU419" s="87"/>
      <c r="BV419" s="87">
        <v>102.0</v>
      </c>
      <c r="BW419" s="87"/>
      <c r="BX419" s="87"/>
      <c r="BY419" s="87"/>
      <c r="BZ419" s="87"/>
      <c r="CA419" s="87"/>
      <c r="CB419" s="87"/>
      <c r="CC419" s="87"/>
      <c r="CD419" s="87">
        <v>1.0</v>
      </c>
      <c r="CE419" s="87"/>
      <c r="CF419" s="87"/>
      <c r="CG419" s="87"/>
      <c r="CH419" s="87">
        <v>2549.0</v>
      </c>
      <c r="CI419" s="87"/>
      <c r="CJ419" s="87">
        <v>408.0</v>
      </c>
      <c r="CK419" s="87">
        <v>507.0</v>
      </c>
      <c r="CL419" s="87">
        <v>735.0</v>
      </c>
      <c r="CM419" s="87"/>
      <c r="CN419" s="87">
        <v>847.0</v>
      </c>
      <c r="CO419" s="87">
        <v>23.0</v>
      </c>
      <c r="CP419" s="87"/>
      <c r="CQ419" s="87">
        <v>3.0</v>
      </c>
      <c r="CR419" s="87">
        <v>15.0</v>
      </c>
      <c r="CS419" s="87">
        <v>11.0</v>
      </c>
      <c r="CT419" s="87"/>
      <c r="CU419" s="87"/>
      <c r="CV419" s="87"/>
      <c r="CW419" s="87"/>
      <c r="CX419" s="87">
        <v>2548.0</v>
      </c>
      <c r="CY419" s="87"/>
      <c r="CZ419" s="87"/>
      <c r="DA419" s="87"/>
      <c r="DB419" s="87"/>
      <c r="DC419" s="87"/>
      <c r="DD419" s="87"/>
      <c r="DE419" s="87"/>
      <c r="DF419" s="87"/>
      <c r="DG419" s="87"/>
      <c r="DH419" s="87"/>
      <c r="DI419" s="87"/>
      <c r="DJ419" s="87"/>
      <c r="DK419" s="87"/>
      <c r="DL419" s="87"/>
      <c r="DM419" s="87"/>
      <c r="DN419" s="87">
        <v>1.0</v>
      </c>
      <c r="DO419" s="87">
        <v>174.0</v>
      </c>
      <c r="DP419" s="87"/>
      <c r="DQ419" s="87"/>
      <c r="DR419" s="87"/>
      <c r="DS419" s="87"/>
      <c r="DT419" s="87"/>
      <c r="DU419" s="87"/>
      <c r="DV419" s="87"/>
      <c r="DW419" s="87"/>
      <c r="DX419" s="87"/>
      <c r="DY419" s="87"/>
      <c r="DZ419" s="87"/>
      <c r="EA419" s="87"/>
      <c r="EB419" s="87"/>
      <c r="EC419" s="87"/>
      <c r="ED419" s="87">
        <v>2375.0</v>
      </c>
      <c r="EE419" s="87"/>
      <c r="EF419" s="87">
        <v>3.0</v>
      </c>
      <c r="EG419" s="87">
        <v>86.0</v>
      </c>
      <c r="EH419" s="87"/>
      <c r="EI419" s="87">
        <v>29.0</v>
      </c>
      <c r="EJ419" s="87">
        <v>2431.0</v>
      </c>
      <c r="EK419" s="88"/>
      <c r="EL419" s="88"/>
      <c r="EM419" s="88"/>
      <c r="EN419" s="88"/>
      <c r="EO419" s="88"/>
      <c r="EP419" s="88"/>
      <c r="EQ419" s="90"/>
    </row>
    <row r="420" ht="12.0" customHeight="1">
      <c r="A420" s="89">
        <v>1.06494106E8</v>
      </c>
      <c r="B420" s="89" t="s">
        <v>2601</v>
      </c>
      <c r="C420" s="89" t="s">
        <v>2560</v>
      </c>
      <c r="D420" s="89" t="s">
        <v>2602</v>
      </c>
      <c r="E420" s="89" t="s">
        <v>2603</v>
      </c>
      <c r="F420" s="89" t="s">
        <v>2563</v>
      </c>
      <c r="G420" s="89" t="s">
        <v>2596</v>
      </c>
      <c r="H420" s="89" t="s">
        <v>447</v>
      </c>
      <c r="I420" s="89" t="s">
        <v>456</v>
      </c>
      <c r="J420" s="89" t="s">
        <v>437</v>
      </c>
      <c r="K420" s="89" t="s">
        <v>637</v>
      </c>
      <c r="L420" s="89" t="s">
        <v>637</v>
      </c>
      <c r="M420" s="89" t="s">
        <v>2565</v>
      </c>
      <c r="N420" s="89" t="s">
        <v>441</v>
      </c>
      <c r="O420" s="87">
        <v>8929.0</v>
      </c>
      <c r="P420" s="87"/>
      <c r="Q420" s="87"/>
      <c r="R420" s="87"/>
      <c r="S420" s="87"/>
      <c r="T420" s="87"/>
      <c r="U420" s="87">
        <v>3657.0</v>
      </c>
      <c r="V420" s="87">
        <v>5272.0</v>
      </c>
      <c r="W420" s="87"/>
      <c r="X420" s="87">
        <v>1667.0</v>
      </c>
      <c r="Y420" s="87">
        <v>83.0</v>
      </c>
      <c r="Z420" s="87">
        <v>862.0</v>
      </c>
      <c r="AA420" s="87">
        <v>1168.0</v>
      </c>
      <c r="AB420" s="87">
        <v>569.0</v>
      </c>
      <c r="AC420" s="87">
        <v>769.0</v>
      </c>
      <c r="AD420" s="87">
        <v>1360.0</v>
      </c>
      <c r="AE420" s="87">
        <v>1482.0</v>
      </c>
      <c r="AF420" s="87">
        <v>969.0</v>
      </c>
      <c r="AG420" s="87"/>
      <c r="AH420" s="87">
        <v>2728.0</v>
      </c>
      <c r="AI420" s="87">
        <v>5814.0</v>
      </c>
      <c r="AJ420" s="87">
        <v>387.0</v>
      </c>
      <c r="AK420" s="87">
        <v>174.0</v>
      </c>
      <c r="AL420" s="87">
        <v>187.0</v>
      </c>
      <c r="AM420" s="87">
        <v>86.0</v>
      </c>
      <c r="AN420" s="87">
        <v>154.0</v>
      </c>
      <c r="AO420" s="87">
        <v>6088.0</v>
      </c>
      <c r="AP420" s="87">
        <v>205.0</v>
      </c>
      <c r="AQ420" s="87">
        <v>1884.0</v>
      </c>
      <c r="AR420" s="87">
        <v>151.0</v>
      </c>
      <c r="AS420" s="87">
        <v>6906.0</v>
      </c>
      <c r="AT420" s="87">
        <v>91.0</v>
      </c>
      <c r="AU420" s="87">
        <v>221.0</v>
      </c>
      <c r="AV420" s="87">
        <v>98.0</v>
      </c>
      <c r="AW420" s="87">
        <v>10.0</v>
      </c>
      <c r="AX420" s="87">
        <v>4.0</v>
      </c>
      <c r="AY420" s="87">
        <v>7.0</v>
      </c>
      <c r="AZ420" s="87">
        <v>1.0</v>
      </c>
      <c r="BA420" s="87">
        <v>18.0</v>
      </c>
      <c r="BB420" s="87"/>
      <c r="BC420" s="87">
        <v>1573.0</v>
      </c>
      <c r="BD420" s="87"/>
      <c r="BE420" s="87">
        <v>4606.0</v>
      </c>
      <c r="BF420" s="87">
        <v>74.0</v>
      </c>
      <c r="BG420" s="87">
        <v>4249.0</v>
      </c>
      <c r="BH420" s="87"/>
      <c r="BI420" s="87">
        <v>35073.0</v>
      </c>
      <c r="BJ420" s="87">
        <v>2980.0</v>
      </c>
      <c r="BK420" s="87">
        <v>2510.0</v>
      </c>
      <c r="BL420" s="87">
        <v>1866.0</v>
      </c>
      <c r="BM420" s="87">
        <v>1573.0</v>
      </c>
      <c r="BN420" s="87"/>
      <c r="BO420" s="87"/>
      <c r="BP420" s="87">
        <v>5908.0</v>
      </c>
      <c r="BQ420" s="87">
        <v>293.0</v>
      </c>
      <c r="BR420" s="87">
        <v>21.0</v>
      </c>
      <c r="BS420" s="87">
        <v>640.0</v>
      </c>
      <c r="BT420" s="87">
        <v>26.0</v>
      </c>
      <c r="BU420" s="87">
        <v>10.0</v>
      </c>
      <c r="BV420" s="87">
        <v>109.0</v>
      </c>
      <c r="BW420" s="87">
        <v>139.0</v>
      </c>
      <c r="BX420" s="87">
        <v>1620.0</v>
      </c>
      <c r="BY420" s="87"/>
      <c r="BZ420" s="87">
        <v>2.0</v>
      </c>
      <c r="CA420" s="87">
        <v>133.0</v>
      </c>
      <c r="CB420" s="87">
        <v>20.0</v>
      </c>
      <c r="CC420" s="87"/>
      <c r="CD420" s="87">
        <v>8.0</v>
      </c>
      <c r="CE420" s="87"/>
      <c r="CF420" s="87"/>
      <c r="CG420" s="87">
        <v>485.0</v>
      </c>
      <c r="CH420" s="87">
        <v>8444.0</v>
      </c>
      <c r="CI420" s="87"/>
      <c r="CJ420" s="87">
        <v>2916.0</v>
      </c>
      <c r="CK420" s="87">
        <v>3132.0</v>
      </c>
      <c r="CL420" s="87">
        <v>2449.0</v>
      </c>
      <c r="CM420" s="87">
        <v>51.0</v>
      </c>
      <c r="CN420" s="87"/>
      <c r="CO420" s="87">
        <v>207.0</v>
      </c>
      <c r="CP420" s="87"/>
      <c r="CQ420" s="87">
        <v>164.0</v>
      </c>
      <c r="CR420" s="87">
        <v>10.0</v>
      </c>
      <c r="CS420" s="87"/>
      <c r="CT420" s="87">
        <v>931.0</v>
      </c>
      <c r="CU420" s="87">
        <v>181.0</v>
      </c>
      <c r="CV420" s="87">
        <v>52.0</v>
      </c>
      <c r="CW420" s="87">
        <v>364.0</v>
      </c>
      <c r="CX420" s="87">
        <v>94.0</v>
      </c>
      <c r="CY420" s="87">
        <v>143.0</v>
      </c>
      <c r="CZ420" s="87">
        <v>5.0</v>
      </c>
      <c r="DA420" s="87">
        <v>7.0</v>
      </c>
      <c r="DB420" s="87">
        <v>997.0</v>
      </c>
      <c r="DC420" s="87">
        <v>275.0</v>
      </c>
      <c r="DD420" s="87">
        <v>927.0</v>
      </c>
      <c r="DE420" s="87">
        <v>117.0</v>
      </c>
      <c r="DF420" s="87">
        <v>596.0</v>
      </c>
      <c r="DG420" s="87">
        <v>306.0</v>
      </c>
      <c r="DH420" s="87">
        <v>1677.0</v>
      </c>
      <c r="DI420" s="87">
        <v>1662.0</v>
      </c>
      <c r="DJ420" s="87">
        <v>4.0</v>
      </c>
      <c r="DK420" s="87">
        <v>76.0</v>
      </c>
      <c r="DL420" s="87">
        <v>488.0</v>
      </c>
      <c r="DM420" s="87">
        <v>27.0</v>
      </c>
      <c r="DN420" s="87"/>
      <c r="DO420" s="87">
        <v>886.0</v>
      </c>
      <c r="DP420" s="87">
        <v>1554.0</v>
      </c>
      <c r="DQ420" s="87">
        <v>681.0</v>
      </c>
      <c r="DR420" s="87">
        <v>980.0</v>
      </c>
      <c r="DS420" s="87">
        <v>5.0</v>
      </c>
      <c r="DT420" s="87">
        <v>14.0</v>
      </c>
      <c r="DU420" s="87">
        <v>1.0</v>
      </c>
      <c r="DV420" s="87">
        <v>181.0</v>
      </c>
      <c r="DW420" s="87">
        <v>23.0</v>
      </c>
      <c r="DX420" s="87">
        <v>169.0</v>
      </c>
      <c r="DY420" s="87">
        <v>866.0</v>
      </c>
      <c r="DZ420" s="87">
        <v>68.0</v>
      </c>
      <c r="EA420" s="87">
        <v>48.0</v>
      </c>
      <c r="EB420" s="87">
        <v>114.0</v>
      </c>
      <c r="EC420" s="87">
        <v>121.0</v>
      </c>
      <c r="ED420" s="87">
        <v>3079.0</v>
      </c>
      <c r="EE420" s="87">
        <v>139.0</v>
      </c>
      <c r="EF420" s="87">
        <v>17.0</v>
      </c>
      <c r="EG420" s="87">
        <v>297.0</v>
      </c>
      <c r="EH420" s="87">
        <v>2.0</v>
      </c>
      <c r="EI420" s="87">
        <v>56.0</v>
      </c>
      <c r="EJ420" s="87">
        <v>8557.0</v>
      </c>
      <c r="EK420" s="88"/>
      <c r="EL420" s="88"/>
      <c r="EM420" s="88"/>
      <c r="EN420" s="88"/>
      <c r="EO420" s="88"/>
      <c r="EP420" s="88"/>
      <c r="EQ420" s="90"/>
    </row>
    <row r="421" ht="12.0" customHeight="1">
      <c r="A421" s="89">
        <v>1.06500852E8</v>
      </c>
      <c r="B421" s="89" t="s">
        <v>2604</v>
      </c>
      <c r="C421" s="89" t="s">
        <v>2605</v>
      </c>
      <c r="D421" s="89" t="s">
        <v>2606</v>
      </c>
      <c r="E421" s="89" t="s">
        <v>2607</v>
      </c>
      <c r="F421" s="89" t="s">
        <v>2608</v>
      </c>
      <c r="G421" s="89" t="s">
        <v>2609</v>
      </c>
      <c r="H421" s="89" t="s">
        <v>503</v>
      </c>
      <c r="I421" s="89" t="s">
        <v>456</v>
      </c>
      <c r="J421" s="89" t="s">
        <v>448</v>
      </c>
      <c r="K421" s="89" t="s">
        <v>545</v>
      </c>
      <c r="L421" s="89" t="s">
        <v>884</v>
      </c>
      <c r="M421" s="89" t="s">
        <v>2610</v>
      </c>
      <c r="N421" s="89" t="s">
        <v>441</v>
      </c>
      <c r="O421" s="87">
        <v>23687.0</v>
      </c>
      <c r="P421" s="87"/>
      <c r="Q421" s="87">
        <v>3108.0</v>
      </c>
      <c r="R421" s="87">
        <v>11.0</v>
      </c>
      <c r="S421" s="87"/>
      <c r="T421" s="87"/>
      <c r="U421" s="87">
        <v>12372.0</v>
      </c>
      <c r="V421" s="87">
        <v>14434.0</v>
      </c>
      <c r="W421" s="87"/>
      <c r="X421" s="87">
        <v>4208.0</v>
      </c>
      <c r="Y421" s="87">
        <v>588.0</v>
      </c>
      <c r="Z421" s="87">
        <v>3440.0</v>
      </c>
      <c r="AA421" s="87">
        <v>3409.0</v>
      </c>
      <c r="AB421" s="87">
        <v>2466.0</v>
      </c>
      <c r="AC421" s="87">
        <v>3029.0</v>
      </c>
      <c r="AD421" s="87">
        <v>3846.0</v>
      </c>
      <c r="AE421" s="87">
        <v>3224.0</v>
      </c>
      <c r="AF421" s="87">
        <v>2596.0</v>
      </c>
      <c r="AG421" s="87"/>
      <c r="AH421" s="87">
        <v>10262.0</v>
      </c>
      <c r="AI421" s="87">
        <v>15212.0</v>
      </c>
      <c r="AJ421" s="87">
        <v>1332.0</v>
      </c>
      <c r="AK421" s="87">
        <v>61.0</v>
      </c>
      <c r="AL421" s="87">
        <v>769.0</v>
      </c>
      <c r="AM421" s="87">
        <v>154.0</v>
      </c>
      <c r="AN421" s="87">
        <v>1136.0</v>
      </c>
      <c r="AO421" s="87">
        <v>15517.0</v>
      </c>
      <c r="AP421" s="87">
        <v>1164.0</v>
      </c>
      <c r="AQ421" s="87">
        <v>7911.0</v>
      </c>
      <c r="AR421" s="87">
        <v>94.0</v>
      </c>
      <c r="AS421" s="87">
        <v>18195.0</v>
      </c>
      <c r="AT421" s="87">
        <v>374.0</v>
      </c>
      <c r="AU421" s="87">
        <v>3045.0</v>
      </c>
      <c r="AV421" s="87">
        <v>479.0</v>
      </c>
      <c r="AW421" s="87">
        <v>659.0</v>
      </c>
      <c r="AX421" s="87">
        <v>469.0</v>
      </c>
      <c r="AY421" s="87">
        <v>11.0</v>
      </c>
      <c r="AZ421" s="87">
        <v>2.0</v>
      </c>
      <c r="BA421" s="87">
        <v>46.0</v>
      </c>
      <c r="BB421" s="87">
        <v>4.0</v>
      </c>
      <c r="BC421" s="87">
        <v>3521.0</v>
      </c>
      <c r="BD421" s="87">
        <v>1.0</v>
      </c>
      <c r="BE421" s="87">
        <v>14107.0</v>
      </c>
      <c r="BF421" s="87">
        <v>1094.0</v>
      </c>
      <c r="BG421" s="87">
        <v>11605.0</v>
      </c>
      <c r="BH421" s="87"/>
      <c r="BI421" s="87">
        <v>139860.0</v>
      </c>
      <c r="BJ421" s="87">
        <v>12661.0</v>
      </c>
      <c r="BK421" s="87">
        <v>9217.0</v>
      </c>
      <c r="BL421" s="87">
        <v>848.0</v>
      </c>
      <c r="BM421" s="87">
        <v>3521.0</v>
      </c>
      <c r="BN421" s="87">
        <v>558.0</v>
      </c>
      <c r="BO421" s="87">
        <v>1.0</v>
      </c>
      <c r="BP421" s="87">
        <v>20495.0</v>
      </c>
      <c r="BQ421" s="87">
        <v>444.0</v>
      </c>
      <c r="BR421" s="87">
        <v>263.0</v>
      </c>
      <c r="BS421" s="87">
        <v>2194.0</v>
      </c>
      <c r="BT421" s="87">
        <v>83.0</v>
      </c>
      <c r="BU421" s="87">
        <v>74.0</v>
      </c>
      <c r="BV421" s="87">
        <v>643.0</v>
      </c>
      <c r="BW421" s="87">
        <v>845.0</v>
      </c>
      <c r="BX421" s="87">
        <v>1140.0</v>
      </c>
      <c r="BY421" s="87"/>
      <c r="BZ421" s="87">
        <v>25.0</v>
      </c>
      <c r="CA421" s="87">
        <v>435.0</v>
      </c>
      <c r="CB421" s="87">
        <v>120.0</v>
      </c>
      <c r="CC421" s="87"/>
      <c r="CD421" s="87">
        <v>45.0</v>
      </c>
      <c r="CE421" s="87"/>
      <c r="CF421" s="87"/>
      <c r="CG421" s="87">
        <v>1135.0</v>
      </c>
      <c r="CH421" s="87">
        <v>25656.0</v>
      </c>
      <c r="CI421" s="87">
        <v>15.0</v>
      </c>
      <c r="CJ421" s="87">
        <v>7052.0</v>
      </c>
      <c r="CK421" s="87">
        <v>14191.0</v>
      </c>
      <c r="CL421" s="87">
        <v>4356.0</v>
      </c>
      <c r="CM421" s="87">
        <v>38.0</v>
      </c>
      <c r="CN421" s="87">
        <v>67.0</v>
      </c>
      <c r="CO421" s="87">
        <v>505.0</v>
      </c>
      <c r="CP421" s="87">
        <v>57.0</v>
      </c>
      <c r="CQ421" s="87">
        <v>218.0</v>
      </c>
      <c r="CR421" s="87">
        <v>322.0</v>
      </c>
      <c r="CS421" s="87"/>
      <c r="CT421" s="87">
        <v>2323.0</v>
      </c>
      <c r="CU421" s="87">
        <v>500.0</v>
      </c>
      <c r="CV421" s="87">
        <v>151.0</v>
      </c>
      <c r="CW421" s="87">
        <v>1051.0</v>
      </c>
      <c r="CX421" s="87">
        <v>3339.0</v>
      </c>
      <c r="CY421" s="87">
        <v>672.0</v>
      </c>
      <c r="CZ421" s="87">
        <v>14.0</v>
      </c>
      <c r="DA421" s="87">
        <v>19.0</v>
      </c>
      <c r="DB421" s="87">
        <v>3873.0</v>
      </c>
      <c r="DC421" s="87">
        <v>1286.0</v>
      </c>
      <c r="DD421" s="87">
        <v>1822.0</v>
      </c>
      <c r="DE421" s="87">
        <v>226.0</v>
      </c>
      <c r="DF421" s="87">
        <v>541.0</v>
      </c>
      <c r="DG421" s="87">
        <v>1039.0</v>
      </c>
      <c r="DH421" s="87">
        <v>3808.0</v>
      </c>
      <c r="DI421" s="87">
        <v>3677.0</v>
      </c>
      <c r="DJ421" s="87">
        <v>22.0</v>
      </c>
      <c r="DK421" s="87">
        <v>200.0</v>
      </c>
      <c r="DL421" s="87">
        <v>2168.0</v>
      </c>
      <c r="DM421" s="87">
        <v>74.0</v>
      </c>
      <c r="DN421" s="87">
        <v>1.0</v>
      </c>
      <c r="DO421" s="87">
        <v>8665.0</v>
      </c>
      <c r="DP421" s="87">
        <v>3596.0</v>
      </c>
      <c r="DQ421" s="87">
        <v>2305.0</v>
      </c>
      <c r="DR421" s="87">
        <v>1768.0</v>
      </c>
      <c r="DS421" s="87">
        <v>5.0</v>
      </c>
      <c r="DT421" s="87">
        <v>16.0</v>
      </c>
      <c r="DU421" s="87"/>
      <c r="DV421" s="87">
        <v>187.0</v>
      </c>
      <c r="DW421" s="87">
        <v>52.0</v>
      </c>
      <c r="DX421" s="87">
        <v>378.0</v>
      </c>
      <c r="DY421" s="87">
        <v>1238.0</v>
      </c>
      <c r="DZ421" s="87">
        <v>413.0</v>
      </c>
      <c r="EA421" s="87">
        <v>131.0</v>
      </c>
      <c r="EB421" s="87">
        <v>362.0</v>
      </c>
      <c r="EC421" s="87">
        <v>392.0</v>
      </c>
      <c r="ED421" s="87">
        <v>7073.0</v>
      </c>
      <c r="EE421" s="87">
        <v>225.0</v>
      </c>
      <c r="EF421" s="87">
        <v>187.0</v>
      </c>
      <c r="EG421" s="87">
        <v>1734.0</v>
      </c>
      <c r="EH421" s="87"/>
      <c r="EI421" s="87">
        <v>99.0</v>
      </c>
      <c r="EJ421" s="87">
        <v>24786.0</v>
      </c>
      <c r="EK421" s="88"/>
      <c r="EL421" s="88"/>
      <c r="EM421" s="88"/>
      <c r="EN421" s="88"/>
      <c r="EO421" s="88"/>
      <c r="EP421" s="88"/>
      <c r="EQ421" s="90"/>
    </row>
    <row r="422" ht="12.0" customHeight="1">
      <c r="A422" s="89">
        <v>1.06500867E8</v>
      </c>
      <c r="B422" s="89" t="s">
        <v>2611</v>
      </c>
      <c r="C422" s="89" t="s">
        <v>2605</v>
      </c>
      <c r="D422" s="89" t="s">
        <v>2612</v>
      </c>
      <c r="E422" s="89" t="s">
        <v>2613</v>
      </c>
      <c r="F422" s="89" t="s">
        <v>2614</v>
      </c>
      <c r="G422" s="89" t="s">
        <v>2615</v>
      </c>
      <c r="H422" s="89" t="s">
        <v>503</v>
      </c>
      <c r="I422" s="89" t="s">
        <v>456</v>
      </c>
      <c r="J422" s="89" t="s">
        <v>469</v>
      </c>
      <c r="K422" s="89" t="s">
        <v>544</v>
      </c>
      <c r="L422" s="89" t="s">
        <v>669</v>
      </c>
      <c r="M422" s="89" t="s">
        <v>2616</v>
      </c>
      <c r="N422" s="89" t="s">
        <v>441</v>
      </c>
      <c r="O422" s="87">
        <v>9449.0</v>
      </c>
      <c r="P422" s="87"/>
      <c r="Q422" s="87"/>
      <c r="R422" s="87"/>
      <c r="S422" s="87"/>
      <c r="T422" s="87"/>
      <c r="U422" s="87">
        <v>4229.0</v>
      </c>
      <c r="V422" s="87">
        <v>5219.0</v>
      </c>
      <c r="W422" s="87">
        <v>1.0</v>
      </c>
      <c r="X422" s="87">
        <v>1266.0</v>
      </c>
      <c r="Y422" s="87">
        <v>193.0</v>
      </c>
      <c r="Z422" s="87">
        <v>931.0</v>
      </c>
      <c r="AA422" s="87">
        <v>992.0</v>
      </c>
      <c r="AB422" s="87">
        <v>771.0</v>
      </c>
      <c r="AC422" s="87">
        <v>1089.0</v>
      </c>
      <c r="AD422" s="87">
        <v>1496.0</v>
      </c>
      <c r="AE422" s="87">
        <v>1386.0</v>
      </c>
      <c r="AF422" s="87">
        <v>1325.0</v>
      </c>
      <c r="AG422" s="87"/>
      <c r="AH422" s="87">
        <v>4277.0</v>
      </c>
      <c r="AI422" s="87">
        <v>4745.0</v>
      </c>
      <c r="AJ422" s="87">
        <v>427.0</v>
      </c>
      <c r="AK422" s="87">
        <v>29.0</v>
      </c>
      <c r="AL422" s="87">
        <v>280.0</v>
      </c>
      <c r="AM422" s="87">
        <v>39.0</v>
      </c>
      <c r="AN422" s="87">
        <v>220.0</v>
      </c>
      <c r="AO422" s="87">
        <v>6158.0</v>
      </c>
      <c r="AP422" s="87">
        <v>253.0</v>
      </c>
      <c r="AQ422" s="87">
        <v>2450.0</v>
      </c>
      <c r="AR422" s="87">
        <v>20.0</v>
      </c>
      <c r="AS422" s="87">
        <v>8026.0</v>
      </c>
      <c r="AT422" s="87">
        <v>45.0</v>
      </c>
      <c r="AU422" s="87">
        <v>47.0</v>
      </c>
      <c r="AV422" s="87">
        <v>122.0</v>
      </c>
      <c r="AW422" s="87">
        <v>34.0</v>
      </c>
      <c r="AX422" s="87">
        <v>39.0</v>
      </c>
      <c r="AY422" s="87">
        <v>1.0</v>
      </c>
      <c r="AZ422" s="87">
        <v>1.0</v>
      </c>
      <c r="BA422" s="87"/>
      <c r="BB422" s="87"/>
      <c r="BC422" s="87">
        <v>1133.0</v>
      </c>
      <c r="BD422" s="87">
        <v>1.0</v>
      </c>
      <c r="BE422" s="87">
        <v>7139.0</v>
      </c>
      <c r="BF422" s="87">
        <v>1.0</v>
      </c>
      <c r="BG422" s="87">
        <v>2309.0</v>
      </c>
      <c r="BH422" s="87"/>
      <c r="BI422" s="87">
        <v>36752.0</v>
      </c>
      <c r="BJ422" s="87">
        <v>7325.0</v>
      </c>
      <c r="BK422" s="87">
        <v>979.0</v>
      </c>
      <c r="BL422" s="87">
        <v>11.0</v>
      </c>
      <c r="BM422" s="87">
        <v>1133.0</v>
      </c>
      <c r="BN422" s="87"/>
      <c r="BO422" s="87">
        <v>1.0</v>
      </c>
      <c r="BP422" s="87">
        <v>6892.0</v>
      </c>
      <c r="BQ422" s="87">
        <v>257.0</v>
      </c>
      <c r="BR422" s="87">
        <v>22.0</v>
      </c>
      <c r="BS422" s="87">
        <v>453.0</v>
      </c>
      <c r="BT422" s="87">
        <v>7.0</v>
      </c>
      <c r="BU422" s="87">
        <v>2.0</v>
      </c>
      <c r="BV422" s="87">
        <v>288.0</v>
      </c>
      <c r="BW422" s="87">
        <v>270.0</v>
      </c>
      <c r="BX422" s="87">
        <v>1032.0</v>
      </c>
      <c r="BY422" s="87"/>
      <c r="BZ422" s="87">
        <v>11.0</v>
      </c>
      <c r="CA422" s="87">
        <v>183.0</v>
      </c>
      <c r="CB422" s="87">
        <v>19.0</v>
      </c>
      <c r="CC422" s="87"/>
      <c r="CD422" s="87">
        <v>12.0</v>
      </c>
      <c r="CE422" s="87">
        <v>1.0</v>
      </c>
      <c r="CF422" s="87"/>
      <c r="CG422" s="87">
        <v>550.0</v>
      </c>
      <c r="CH422" s="87">
        <v>8892.0</v>
      </c>
      <c r="CI422" s="87">
        <v>7.0</v>
      </c>
      <c r="CJ422" s="87">
        <v>3072.0</v>
      </c>
      <c r="CK422" s="87">
        <v>4012.0</v>
      </c>
      <c r="CL422" s="87">
        <v>1732.0</v>
      </c>
      <c r="CM422" s="87">
        <v>31.0</v>
      </c>
      <c r="CN422" s="87"/>
      <c r="CO422" s="87">
        <v>40.0</v>
      </c>
      <c r="CP422" s="87">
        <v>25.0</v>
      </c>
      <c r="CQ422" s="87">
        <v>109.0</v>
      </c>
      <c r="CR422" s="87">
        <v>428.0</v>
      </c>
      <c r="CS422" s="87"/>
      <c r="CT422" s="87">
        <v>1448.0</v>
      </c>
      <c r="CU422" s="87">
        <v>159.0</v>
      </c>
      <c r="CV422" s="87">
        <v>63.0</v>
      </c>
      <c r="CW422" s="87">
        <v>447.0</v>
      </c>
      <c r="CX422" s="87">
        <v>112.0</v>
      </c>
      <c r="CY422" s="87">
        <v>135.0</v>
      </c>
      <c r="CZ422" s="87">
        <v>3.0</v>
      </c>
      <c r="DA422" s="87">
        <v>7.0</v>
      </c>
      <c r="DB422" s="87">
        <v>1680.0</v>
      </c>
      <c r="DC422" s="87">
        <v>536.0</v>
      </c>
      <c r="DD422" s="87">
        <v>1112.0</v>
      </c>
      <c r="DE422" s="87">
        <v>152.0</v>
      </c>
      <c r="DF422" s="87">
        <v>114.0</v>
      </c>
      <c r="DG422" s="87">
        <v>333.0</v>
      </c>
      <c r="DH422" s="87">
        <v>1226.0</v>
      </c>
      <c r="DI422" s="87">
        <v>1148.0</v>
      </c>
      <c r="DJ422" s="87">
        <v>3.0</v>
      </c>
      <c r="DK422" s="87">
        <v>143.0</v>
      </c>
      <c r="DL422" s="87">
        <v>600.0</v>
      </c>
      <c r="DM422" s="87">
        <v>26.0</v>
      </c>
      <c r="DN422" s="87">
        <v>2.0</v>
      </c>
      <c r="DO422" s="87">
        <v>4326.0</v>
      </c>
      <c r="DP422" s="87">
        <v>1124.0</v>
      </c>
      <c r="DQ422" s="87">
        <v>908.0</v>
      </c>
      <c r="DR422" s="87">
        <v>966.0</v>
      </c>
      <c r="DS422" s="87"/>
      <c r="DT422" s="87">
        <v>3.0</v>
      </c>
      <c r="DU422" s="87"/>
      <c r="DV422" s="87">
        <v>49.0</v>
      </c>
      <c r="DW422" s="87">
        <v>12.0</v>
      </c>
      <c r="DX422" s="87">
        <v>178.0</v>
      </c>
      <c r="DY422" s="87">
        <v>478.0</v>
      </c>
      <c r="DZ422" s="87">
        <v>35.0</v>
      </c>
      <c r="EA422" s="87">
        <v>8.0</v>
      </c>
      <c r="EB422" s="87">
        <v>116.0</v>
      </c>
      <c r="EC422" s="87">
        <v>19.0</v>
      </c>
      <c r="ED422" s="87">
        <v>1028.0</v>
      </c>
      <c r="EE422" s="87">
        <v>199.0</v>
      </c>
      <c r="EF422" s="87">
        <v>22.0</v>
      </c>
      <c r="EG422" s="87">
        <v>179.0</v>
      </c>
      <c r="EH422" s="87"/>
      <c r="EI422" s="87">
        <v>33.0</v>
      </c>
      <c r="EJ422" s="87">
        <v>9215.0</v>
      </c>
      <c r="EK422" s="88"/>
      <c r="EL422" s="88"/>
      <c r="EM422" s="88"/>
      <c r="EN422" s="88"/>
      <c r="EO422" s="88"/>
      <c r="EP422" s="88"/>
      <c r="EQ422" s="90"/>
    </row>
    <row r="423" ht="12.0" customHeight="1">
      <c r="A423" s="89">
        <v>1.06500939E8</v>
      </c>
      <c r="B423" s="89" t="s">
        <v>2617</v>
      </c>
      <c r="C423" s="89" t="s">
        <v>2605</v>
      </c>
      <c r="D423" s="89" t="s">
        <v>2618</v>
      </c>
      <c r="E423" s="89" t="s">
        <v>2619</v>
      </c>
      <c r="F423" s="89" t="s">
        <v>2608</v>
      </c>
      <c r="G423" s="89" t="s">
        <v>2620</v>
      </c>
      <c r="H423" s="89" t="s">
        <v>447</v>
      </c>
      <c r="I423" s="89" t="s">
        <v>456</v>
      </c>
      <c r="J423" s="89" t="s">
        <v>448</v>
      </c>
      <c r="K423" s="89" t="s">
        <v>545</v>
      </c>
      <c r="L423" s="89" t="s">
        <v>669</v>
      </c>
      <c r="M423" s="89" t="s">
        <v>2621</v>
      </c>
      <c r="N423" s="89" t="s">
        <v>441</v>
      </c>
      <c r="O423" s="87">
        <v>19910.0</v>
      </c>
      <c r="P423" s="87"/>
      <c r="Q423" s="87"/>
      <c r="R423" s="87"/>
      <c r="S423" s="87"/>
      <c r="T423" s="87"/>
      <c r="U423" s="87">
        <v>9037.0</v>
      </c>
      <c r="V423" s="87">
        <v>10873.0</v>
      </c>
      <c r="W423" s="87"/>
      <c r="X423" s="87">
        <v>1740.0</v>
      </c>
      <c r="Y423" s="87">
        <v>261.0</v>
      </c>
      <c r="Z423" s="87">
        <v>1392.0</v>
      </c>
      <c r="AA423" s="87">
        <v>2026.0</v>
      </c>
      <c r="AB423" s="87">
        <v>1605.0</v>
      </c>
      <c r="AC423" s="87">
        <v>2345.0</v>
      </c>
      <c r="AD423" s="87">
        <v>3538.0</v>
      </c>
      <c r="AE423" s="87">
        <v>3641.0</v>
      </c>
      <c r="AF423" s="87">
        <v>3362.0</v>
      </c>
      <c r="AG423" s="87"/>
      <c r="AH423" s="87">
        <v>6203.0</v>
      </c>
      <c r="AI423" s="87">
        <v>13390.0</v>
      </c>
      <c r="AJ423" s="87">
        <v>317.0</v>
      </c>
      <c r="AK423" s="87">
        <v>119.0</v>
      </c>
      <c r="AL423" s="87">
        <v>579.0</v>
      </c>
      <c r="AM423" s="87">
        <v>297.0</v>
      </c>
      <c r="AN423" s="87">
        <v>846.0</v>
      </c>
      <c r="AO423" s="87">
        <v>12142.0</v>
      </c>
      <c r="AP423" s="87">
        <v>208.0</v>
      </c>
      <c r="AQ423" s="87">
        <v>5595.0</v>
      </c>
      <c r="AR423" s="87">
        <v>124.0</v>
      </c>
      <c r="AS423" s="87">
        <v>16593.0</v>
      </c>
      <c r="AT423" s="87">
        <v>235.0</v>
      </c>
      <c r="AU423" s="87">
        <v>1071.0</v>
      </c>
      <c r="AV423" s="87">
        <v>424.0</v>
      </c>
      <c r="AW423" s="87">
        <v>20.0</v>
      </c>
      <c r="AX423" s="87">
        <v>6.0</v>
      </c>
      <c r="AY423" s="87">
        <v>18.0</v>
      </c>
      <c r="AZ423" s="87">
        <v>2.0</v>
      </c>
      <c r="BA423" s="87">
        <v>6.0</v>
      </c>
      <c r="BB423" s="87">
        <v>29.0</v>
      </c>
      <c r="BC423" s="87">
        <v>1506.0</v>
      </c>
      <c r="BD423" s="87"/>
      <c r="BE423" s="87">
        <v>14057.0</v>
      </c>
      <c r="BF423" s="87">
        <v>454.0</v>
      </c>
      <c r="BG423" s="87">
        <v>5399.0</v>
      </c>
      <c r="BH423" s="87"/>
      <c r="BI423" s="87">
        <v>98453.0</v>
      </c>
      <c r="BJ423" s="87">
        <v>7480.0</v>
      </c>
      <c r="BK423" s="87">
        <v>7394.0</v>
      </c>
      <c r="BL423" s="87">
        <v>2164.0</v>
      </c>
      <c r="BM423" s="87">
        <v>1506.0</v>
      </c>
      <c r="BN423" s="87">
        <v>1366.0</v>
      </c>
      <c r="BO423" s="87"/>
      <c r="BP423" s="87">
        <v>11639.0</v>
      </c>
      <c r="BQ423" s="87">
        <v>341.0</v>
      </c>
      <c r="BR423" s="87">
        <v>187.0</v>
      </c>
      <c r="BS423" s="87">
        <v>2068.0</v>
      </c>
      <c r="BT423" s="87">
        <v>55.0</v>
      </c>
      <c r="BU423" s="87">
        <v>13.0</v>
      </c>
      <c r="BV423" s="87">
        <v>420.0</v>
      </c>
      <c r="BW423" s="87">
        <v>475.0</v>
      </c>
      <c r="BX423" s="87">
        <v>4267.0</v>
      </c>
      <c r="BY423" s="87"/>
      <c r="BZ423" s="87">
        <v>2.0</v>
      </c>
      <c r="CA423" s="87">
        <v>403.0</v>
      </c>
      <c r="CB423" s="87">
        <v>31.0</v>
      </c>
      <c r="CC423" s="87"/>
      <c r="CD423" s="87">
        <v>9.0</v>
      </c>
      <c r="CE423" s="87"/>
      <c r="CF423" s="87"/>
      <c r="CG423" s="87">
        <v>965.0</v>
      </c>
      <c r="CH423" s="87">
        <v>18945.0</v>
      </c>
      <c r="CI423" s="87"/>
      <c r="CJ423" s="87">
        <v>9184.0</v>
      </c>
      <c r="CK423" s="87">
        <v>3986.0</v>
      </c>
      <c r="CL423" s="87">
        <v>5654.0</v>
      </c>
      <c r="CM423" s="87">
        <v>71.0</v>
      </c>
      <c r="CN423" s="87"/>
      <c r="CO423" s="87">
        <v>541.0</v>
      </c>
      <c r="CP423" s="87"/>
      <c r="CQ423" s="87">
        <v>437.0</v>
      </c>
      <c r="CR423" s="87">
        <v>37.0</v>
      </c>
      <c r="CS423" s="87"/>
      <c r="CT423" s="87">
        <v>2966.0</v>
      </c>
      <c r="CU423" s="87">
        <v>502.0</v>
      </c>
      <c r="CV423" s="87">
        <v>177.0</v>
      </c>
      <c r="CW423" s="87">
        <v>1203.0</v>
      </c>
      <c r="CX423" s="87">
        <v>185.0</v>
      </c>
      <c r="CY423" s="87">
        <v>460.0</v>
      </c>
      <c r="CZ423" s="87">
        <v>13.0</v>
      </c>
      <c r="DA423" s="87">
        <v>16.0</v>
      </c>
      <c r="DB423" s="87">
        <v>2755.0</v>
      </c>
      <c r="DC423" s="87">
        <v>1284.0</v>
      </c>
      <c r="DD423" s="87">
        <v>2513.0</v>
      </c>
      <c r="DE423" s="87">
        <v>325.0</v>
      </c>
      <c r="DF423" s="87">
        <v>757.0</v>
      </c>
      <c r="DG423" s="87">
        <v>924.0</v>
      </c>
      <c r="DH423" s="87">
        <v>1656.0</v>
      </c>
      <c r="DI423" s="87">
        <v>1533.0</v>
      </c>
      <c r="DJ423" s="87">
        <v>9.0</v>
      </c>
      <c r="DK423" s="87">
        <v>320.0</v>
      </c>
      <c r="DL423" s="87">
        <v>2281.0</v>
      </c>
      <c r="DM423" s="87">
        <v>31.0</v>
      </c>
      <c r="DN423" s="87"/>
      <c r="DO423" s="87">
        <v>2382.0</v>
      </c>
      <c r="DP423" s="87">
        <v>1490.0</v>
      </c>
      <c r="DQ423" s="87">
        <v>1878.0</v>
      </c>
      <c r="DR423" s="87">
        <v>2803.0</v>
      </c>
      <c r="DS423" s="87">
        <v>8.0</v>
      </c>
      <c r="DT423" s="87">
        <v>14.0</v>
      </c>
      <c r="DU423" s="87">
        <v>1.0</v>
      </c>
      <c r="DV423" s="87">
        <v>143.0</v>
      </c>
      <c r="DW423" s="87">
        <v>67.0</v>
      </c>
      <c r="DX423" s="87">
        <v>449.0</v>
      </c>
      <c r="DY423" s="87">
        <v>1747.0</v>
      </c>
      <c r="DZ423" s="87">
        <v>248.0</v>
      </c>
      <c r="EA423" s="87">
        <v>86.0</v>
      </c>
      <c r="EB423" s="87">
        <v>397.0</v>
      </c>
      <c r="EC423" s="87">
        <v>446.0</v>
      </c>
      <c r="ED423" s="87">
        <v>7296.0</v>
      </c>
      <c r="EE423" s="87">
        <v>455.0</v>
      </c>
      <c r="EF423" s="87">
        <v>10.0</v>
      </c>
      <c r="EG423" s="87">
        <v>557.0</v>
      </c>
      <c r="EH423" s="87">
        <v>6.0</v>
      </c>
      <c r="EI423" s="87">
        <v>105.0</v>
      </c>
      <c r="EJ423" s="87">
        <v>19232.0</v>
      </c>
      <c r="EK423" s="88"/>
      <c r="EL423" s="88"/>
      <c r="EM423" s="88"/>
      <c r="EN423" s="88"/>
      <c r="EO423" s="88"/>
      <c r="EP423" s="88"/>
      <c r="EQ423" s="90"/>
    </row>
    <row r="424" ht="12.0" customHeight="1">
      <c r="A424" s="89">
        <v>1.06500954E8</v>
      </c>
      <c r="B424" s="89" t="s">
        <v>2622</v>
      </c>
      <c r="C424" s="89" t="s">
        <v>2605</v>
      </c>
      <c r="D424" s="89" t="s">
        <v>2623</v>
      </c>
      <c r="E424" s="89" t="s">
        <v>2624</v>
      </c>
      <c r="F424" s="89" t="s">
        <v>2608</v>
      </c>
      <c r="G424" s="89" t="s">
        <v>2625</v>
      </c>
      <c r="H424" s="89" t="s">
        <v>475</v>
      </c>
      <c r="I424" s="89" t="s">
        <v>456</v>
      </c>
      <c r="J424" s="89" t="s">
        <v>463</v>
      </c>
      <c r="K424" s="89" t="s">
        <v>545</v>
      </c>
      <c r="L424" s="89" t="s">
        <v>884</v>
      </c>
      <c r="M424" s="89" t="s">
        <v>2626</v>
      </c>
      <c r="N424" s="89" t="s">
        <v>441</v>
      </c>
      <c r="O424" s="87">
        <v>741.0</v>
      </c>
      <c r="P424" s="87"/>
      <c r="Q424" s="87"/>
      <c r="R424" s="87"/>
      <c r="S424" s="87"/>
      <c r="T424" s="87"/>
      <c r="U424" s="87">
        <v>441.0</v>
      </c>
      <c r="V424" s="87">
        <v>300.0</v>
      </c>
      <c r="W424" s="87"/>
      <c r="X424" s="87"/>
      <c r="Y424" s="87"/>
      <c r="Z424" s="87">
        <v>21.0</v>
      </c>
      <c r="AA424" s="87">
        <v>50.0</v>
      </c>
      <c r="AB424" s="87">
        <v>89.0</v>
      </c>
      <c r="AC424" s="87">
        <v>133.0</v>
      </c>
      <c r="AD424" s="87">
        <v>210.0</v>
      </c>
      <c r="AE424" s="87">
        <v>154.0</v>
      </c>
      <c r="AF424" s="87">
        <v>84.0</v>
      </c>
      <c r="AG424" s="87"/>
      <c r="AH424" s="87">
        <v>210.0</v>
      </c>
      <c r="AI424" s="87">
        <v>529.0</v>
      </c>
      <c r="AJ424" s="87">
        <v>2.0</v>
      </c>
      <c r="AK424" s="87">
        <v>15.0</v>
      </c>
      <c r="AL424" s="87">
        <v>23.0</v>
      </c>
      <c r="AM424" s="87"/>
      <c r="AN424" s="87">
        <v>66.0</v>
      </c>
      <c r="AO424" s="87">
        <v>633.0</v>
      </c>
      <c r="AP424" s="87">
        <v>4.0</v>
      </c>
      <c r="AQ424" s="87"/>
      <c r="AR424" s="87"/>
      <c r="AS424" s="87">
        <v>1.0</v>
      </c>
      <c r="AT424" s="87"/>
      <c r="AU424" s="87">
        <v>740.0</v>
      </c>
      <c r="AV424" s="87"/>
      <c r="AW424" s="87"/>
      <c r="AX424" s="87"/>
      <c r="AY424" s="87"/>
      <c r="AZ424" s="87"/>
      <c r="BA424" s="87"/>
      <c r="BB424" s="87"/>
      <c r="BC424" s="87"/>
      <c r="BD424" s="87"/>
      <c r="BE424" s="87"/>
      <c r="BF424" s="87">
        <v>2.0</v>
      </c>
      <c r="BG424" s="87">
        <v>739.0</v>
      </c>
      <c r="BH424" s="87"/>
      <c r="BI424" s="87">
        <v>28352.0</v>
      </c>
      <c r="BJ424" s="87">
        <v>1.0</v>
      </c>
      <c r="BK424" s="87"/>
      <c r="BL424" s="87">
        <v>740.0</v>
      </c>
      <c r="BM424" s="87"/>
      <c r="BN424" s="87"/>
      <c r="BO424" s="87"/>
      <c r="BP424" s="87">
        <v>65.0</v>
      </c>
      <c r="BQ424" s="87">
        <v>220.0</v>
      </c>
      <c r="BR424" s="87"/>
      <c r="BS424" s="87">
        <v>263.0</v>
      </c>
      <c r="BT424" s="87">
        <v>2.0</v>
      </c>
      <c r="BU424" s="87">
        <v>4.0</v>
      </c>
      <c r="BV424" s="87">
        <v>16.0</v>
      </c>
      <c r="BW424" s="87">
        <v>82.0</v>
      </c>
      <c r="BX424" s="87">
        <v>88.0</v>
      </c>
      <c r="BY424" s="87"/>
      <c r="BZ424" s="87"/>
      <c r="CA424" s="87"/>
      <c r="CB424" s="87"/>
      <c r="CC424" s="87">
        <v>1.0</v>
      </c>
      <c r="CD424" s="87"/>
      <c r="CE424" s="87"/>
      <c r="CF424" s="87"/>
      <c r="CG424" s="87">
        <v>91.0</v>
      </c>
      <c r="CH424" s="87">
        <v>650.0</v>
      </c>
      <c r="CI424" s="87"/>
      <c r="CJ424" s="87">
        <v>399.0</v>
      </c>
      <c r="CK424" s="87">
        <v>248.0</v>
      </c>
      <c r="CL424" s="87">
        <v>90.0</v>
      </c>
      <c r="CM424" s="87"/>
      <c r="CN424" s="87"/>
      <c r="CO424" s="87">
        <v>4.0</v>
      </c>
      <c r="CP424" s="87"/>
      <c r="CQ424" s="87"/>
      <c r="CR424" s="87"/>
      <c r="CS424" s="87"/>
      <c r="CT424" s="87">
        <v>28.0</v>
      </c>
      <c r="CU424" s="87">
        <v>1.0</v>
      </c>
      <c r="CV424" s="87">
        <v>1.0</v>
      </c>
      <c r="CW424" s="87">
        <v>13.0</v>
      </c>
      <c r="CX424" s="87">
        <v>4.0</v>
      </c>
      <c r="CY424" s="87">
        <v>14.0</v>
      </c>
      <c r="CZ424" s="87"/>
      <c r="DA424" s="87"/>
      <c r="DB424" s="87">
        <v>18.0</v>
      </c>
      <c r="DC424" s="87">
        <v>498.0</v>
      </c>
      <c r="DD424" s="87">
        <v>34.0</v>
      </c>
      <c r="DE424" s="87">
        <v>21.0</v>
      </c>
      <c r="DF424" s="87">
        <v>40.0</v>
      </c>
      <c r="DG424" s="87">
        <v>15.0</v>
      </c>
      <c r="DH424" s="87"/>
      <c r="DI424" s="87"/>
      <c r="DJ424" s="87"/>
      <c r="DK424" s="87">
        <v>4.0</v>
      </c>
      <c r="DL424" s="87">
        <v>35.0</v>
      </c>
      <c r="DM424" s="87">
        <v>15.0</v>
      </c>
      <c r="DN424" s="87"/>
      <c r="DO424" s="87">
        <v>451.0</v>
      </c>
      <c r="DP424" s="87"/>
      <c r="DQ424" s="87">
        <v>29.0</v>
      </c>
      <c r="DR424" s="87"/>
      <c r="DS424" s="87"/>
      <c r="DT424" s="87"/>
      <c r="DU424" s="87"/>
      <c r="DV424" s="87"/>
      <c r="DW424" s="87"/>
      <c r="DX424" s="87">
        <v>12.0</v>
      </c>
      <c r="DY424" s="87"/>
      <c r="DZ424" s="87"/>
      <c r="EA424" s="87"/>
      <c r="EB424" s="87">
        <v>177.0</v>
      </c>
      <c r="EC424" s="87"/>
      <c r="ED424" s="87">
        <v>17.0</v>
      </c>
      <c r="EE424" s="87">
        <v>55.0</v>
      </c>
      <c r="EF424" s="87">
        <v>1.0</v>
      </c>
      <c r="EG424" s="87">
        <v>5.0</v>
      </c>
      <c r="EH424" s="87"/>
      <c r="EI424" s="87">
        <v>8.0</v>
      </c>
      <c r="EJ424" s="87">
        <v>727.0</v>
      </c>
      <c r="EK424" s="88"/>
      <c r="EL424" s="88"/>
      <c r="EM424" s="88"/>
      <c r="EN424" s="88"/>
      <c r="EO424" s="88"/>
      <c r="EP424" s="88"/>
      <c r="EQ424" s="90"/>
    </row>
    <row r="425" ht="12.0" customHeight="1">
      <c r="A425" s="89">
        <v>1.06500967E8</v>
      </c>
      <c r="B425" s="89" t="s">
        <v>2627</v>
      </c>
      <c r="C425" s="89" t="s">
        <v>2605</v>
      </c>
      <c r="D425" s="89" t="s">
        <v>2628</v>
      </c>
      <c r="E425" s="89" t="s">
        <v>2629</v>
      </c>
      <c r="F425" s="89" t="s">
        <v>2630</v>
      </c>
      <c r="G425" s="89" t="s">
        <v>2631</v>
      </c>
      <c r="H425" s="89" t="s">
        <v>494</v>
      </c>
      <c r="I425" s="89" t="s">
        <v>543</v>
      </c>
      <c r="J425" s="89" t="s">
        <v>499</v>
      </c>
      <c r="K425" s="89" t="s">
        <v>544</v>
      </c>
      <c r="L425" s="89" t="s">
        <v>669</v>
      </c>
      <c r="M425" s="89" t="s">
        <v>2632</v>
      </c>
      <c r="N425" s="89" t="s">
        <v>547</v>
      </c>
      <c r="O425" s="87">
        <v>608.0</v>
      </c>
      <c r="P425" s="87">
        <v>146.0</v>
      </c>
      <c r="Q425" s="87"/>
      <c r="R425" s="87"/>
      <c r="S425" s="87"/>
      <c r="T425" s="87"/>
      <c r="U425" s="87">
        <v>354.0</v>
      </c>
      <c r="V425" s="87">
        <v>400.0</v>
      </c>
      <c r="W425" s="87"/>
      <c r="X425" s="87"/>
      <c r="Y425" s="87"/>
      <c r="Z425" s="87">
        <v>38.0</v>
      </c>
      <c r="AA425" s="87">
        <v>44.0</v>
      </c>
      <c r="AB425" s="87">
        <v>61.0</v>
      </c>
      <c r="AC425" s="87">
        <v>101.0</v>
      </c>
      <c r="AD425" s="87">
        <v>118.0</v>
      </c>
      <c r="AE425" s="87">
        <v>143.0</v>
      </c>
      <c r="AF425" s="87">
        <v>239.0</v>
      </c>
      <c r="AG425" s="87">
        <v>10.0</v>
      </c>
      <c r="AH425" s="87">
        <v>162.0</v>
      </c>
      <c r="AI425" s="87">
        <v>590.0</v>
      </c>
      <c r="AJ425" s="87">
        <v>2.0</v>
      </c>
      <c r="AK425" s="87"/>
      <c r="AL425" s="87"/>
      <c r="AM425" s="87"/>
      <c r="AN425" s="87"/>
      <c r="AO425" s="87">
        <v>554.0</v>
      </c>
      <c r="AP425" s="87">
        <v>20.0</v>
      </c>
      <c r="AQ425" s="87">
        <v>180.0</v>
      </c>
      <c r="AR425" s="87"/>
      <c r="AS425" s="87">
        <v>604.0</v>
      </c>
      <c r="AT425" s="87">
        <v>13.0</v>
      </c>
      <c r="AU425" s="87">
        <v>129.0</v>
      </c>
      <c r="AV425" s="87">
        <v>5.0</v>
      </c>
      <c r="AW425" s="87">
        <v>1.0</v>
      </c>
      <c r="AX425" s="87"/>
      <c r="AY425" s="87">
        <v>2.0</v>
      </c>
      <c r="AZ425" s="87"/>
      <c r="BA425" s="87"/>
      <c r="BB425" s="87"/>
      <c r="BC425" s="87"/>
      <c r="BD425" s="87"/>
      <c r="BE425" s="87">
        <v>531.0</v>
      </c>
      <c r="BF425" s="87">
        <v>124.0</v>
      </c>
      <c r="BG425" s="87">
        <v>99.0</v>
      </c>
      <c r="BH425" s="87"/>
      <c r="BI425" s="87">
        <v>37624.0</v>
      </c>
      <c r="BJ425" s="87">
        <v>54.0</v>
      </c>
      <c r="BK425" s="87">
        <v>550.0</v>
      </c>
      <c r="BL425" s="87">
        <v>150.0</v>
      </c>
      <c r="BM425" s="87"/>
      <c r="BN425" s="87"/>
      <c r="BO425" s="87"/>
      <c r="BP425" s="87">
        <v>443.0</v>
      </c>
      <c r="BQ425" s="87">
        <v>88.0</v>
      </c>
      <c r="BR425" s="87">
        <v>4.0</v>
      </c>
      <c r="BS425" s="87">
        <v>53.0</v>
      </c>
      <c r="BT425" s="87">
        <v>8.0</v>
      </c>
      <c r="BU425" s="87"/>
      <c r="BV425" s="87">
        <v>39.0</v>
      </c>
      <c r="BW425" s="87">
        <v>46.0</v>
      </c>
      <c r="BX425" s="87">
        <v>60.0</v>
      </c>
      <c r="BY425" s="87"/>
      <c r="BZ425" s="87"/>
      <c r="CA425" s="87">
        <v>7.0</v>
      </c>
      <c r="CB425" s="87">
        <v>3.0</v>
      </c>
      <c r="CC425" s="87">
        <v>1.0</v>
      </c>
      <c r="CD425" s="87">
        <v>1.0</v>
      </c>
      <c r="CE425" s="87">
        <v>1.0</v>
      </c>
      <c r="CF425" s="87"/>
      <c r="CG425" s="87">
        <v>120.0</v>
      </c>
      <c r="CH425" s="87">
        <v>634.0</v>
      </c>
      <c r="CI425" s="87"/>
      <c r="CJ425" s="87">
        <v>452.0</v>
      </c>
      <c r="CK425" s="87">
        <v>232.0</v>
      </c>
      <c r="CL425" s="87">
        <v>59.0</v>
      </c>
      <c r="CM425" s="87">
        <v>1.0</v>
      </c>
      <c r="CN425" s="87"/>
      <c r="CO425" s="87"/>
      <c r="CP425" s="87"/>
      <c r="CQ425" s="87">
        <v>7.0</v>
      </c>
      <c r="CR425" s="87">
        <v>3.0</v>
      </c>
      <c r="CS425" s="87"/>
      <c r="CT425" s="87">
        <v>185.0</v>
      </c>
      <c r="CU425" s="87">
        <v>9.0</v>
      </c>
      <c r="CV425" s="87">
        <v>14.0</v>
      </c>
      <c r="CW425" s="87">
        <v>49.0</v>
      </c>
      <c r="CX425" s="87">
        <v>18.0</v>
      </c>
      <c r="CY425" s="87">
        <v>39.0</v>
      </c>
      <c r="CZ425" s="87"/>
      <c r="DA425" s="87">
        <v>2.0</v>
      </c>
      <c r="DB425" s="87">
        <v>111.0</v>
      </c>
      <c r="DC425" s="87">
        <v>84.0</v>
      </c>
      <c r="DD425" s="87">
        <v>99.0</v>
      </c>
      <c r="DE425" s="87">
        <v>22.0</v>
      </c>
      <c r="DF425" s="87">
        <v>12.0</v>
      </c>
      <c r="DG425" s="87">
        <v>39.0</v>
      </c>
      <c r="DH425" s="87"/>
      <c r="DI425" s="87"/>
      <c r="DJ425" s="87"/>
      <c r="DK425" s="87">
        <v>10.0</v>
      </c>
      <c r="DL425" s="87">
        <v>44.0</v>
      </c>
      <c r="DM425" s="87">
        <v>15.0</v>
      </c>
      <c r="DN425" s="87">
        <v>2.0</v>
      </c>
      <c r="DO425" s="87">
        <v>194.0</v>
      </c>
      <c r="DP425" s="87"/>
      <c r="DQ425" s="87">
        <v>29.0</v>
      </c>
      <c r="DR425" s="87">
        <v>45.0</v>
      </c>
      <c r="DS425" s="87"/>
      <c r="DT425" s="87"/>
      <c r="DU425" s="87"/>
      <c r="DV425" s="87"/>
      <c r="DW425" s="87"/>
      <c r="DX425" s="87">
        <v>12.0</v>
      </c>
      <c r="DY425" s="87">
        <v>7.0</v>
      </c>
      <c r="DZ425" s="87">
        <v>4.0</v>
      </c>
      <c r="EA425" s="87"/>
      <c r="EB425" s="87">
        <v>13.0</v>
      </c>
      <c r="EC425" s="87">
        <v>2.0</v>
      </c>
      <c r="ED425" s="87">
        <v>431.0</v>
      </c>
      <c r="EE425" s="87">
        <v>17.0</v>
      </c>
      <c r="EF425" s="87"/>
      <c r="EG425" s="87">
        <v>16.0</v>
      </c>
      <c r="EH425" s="87"/>
      <c r="EI425" s="87">
        <v>8.0</v>
      </c>
      <c r="EJ425" s="87">
        <v>730.0</v>
      </c>
      <c r="EK425" s="88"/>
      <c r="EL425" s="88"/>
      <c r="EM425" s="88"/>
      <c r="EN425" s="88"/>
      <c r="EO425" s="88"/>
      <c r="EP425" s="88"/>
      <c r="EQ425" s="90"/>
    </row>
    <row r="426" ht="12.0" customHeight="1">
      <c r="A426" s="89">
        <v>1.06504038E8</v>
      </c>
      <c r="B426" s="89" t="s">
        <v>2633</v>
      </c>
      <c r="C426" s="89" t="s">
        <v>2605</v>
      </c>
      <c r="D426" s="89" t="s">
        <v>2634</v>
      </c>
      <c r="E426" s="89" t="s">
        <v>2635</v>
      </c>
      <c r="F426" s="89" t="s">
        <v>2608</v>
      </c>
      <c r="G426" s="89" t="s">
        <v>2620</v>
      </c>
      <c r="H426" s="89" t="s">
        <v>503</v>
      </c>
      <c r="I426" s="89" t="s">
        <v>543</v>
      </c>
      <c r="J426" s="89" t="s">
        <v>499</v>
      </c>
      <c r="K426" s="89" t="s">
        <v>545</v>
      </c>
      <c r="L426" s="89" t="s">
        <v>884</v>
      </c>
      <c r="M426" s="89" t="s">
        <v>2621</v>
      </c>
      <c r="N426" s="89" t="s">
        <v>441</v>
      </c>
      <c r="O426" s="87">
        <v>230.0</v>
      </c>
      <c r="P426" s="87"/>
      <c r="Q426" s="87"/>
      <c r="R426" s="87"/>
      <c r="S426" s="87"/>
      <c r="T426" s="87"/>
      <c r="U426" s="87">
        <v>66.0</v>
      </c>
      <c r="V426" s="87">
        <v>164.0</v>
      </c>
      <c r="W426" s="87"/>
      <c r="X426" s="87"/>
      <c r="Y426" s="87"/>
      <c r="Z426" s="87">
        <v>16.0</v>
      </c>
      <c r="AA426" s="87">
        <v>27.0</v>
      </c>
      <c r="AB426" s="87">
        <v>20.0</v>
      </c>
      <c r="AC426" s="87">
        <v>20.0</v>
      </c>
      <c r="AD426" s="87">
        <v>68.0</v>
      </c>
      <c r="AE426" s="87">
        <v>64.0</v>
      </c>
      <c r="AF426" s="87">
        <v>15.0</v>
      </c>
      <c r="AG426" s="87"/>
      <c r="AH426" s="87">
        <v>70.0</v>
      </c>
      <c r="AI426" s="87">
        <v>160.0</v>
      </c>
      <c r="AJ426" s="87"/>
      <c r="AK426" s="87"/>
      <c r="AL426" s="87"/>
      <c r="AM426" s="87"/>
      <c r="AN426" s="87"/>
      <c r="AO426" s="87">
        <v>209.0</v>
      </c>
      <c r="AP426" s="87">
        <v>21.0</v>
      </c>
      <c r="AQ426" s="87"/>
      <c r="AR426" s="87"/>
      <c r="AS426" s="87">
        <v>230.0</v>
      </c>
      <c r="AT426" s="87"/>
      <c r="AU426" s="87"/>
      <c r="AV426" s="87"/>
      <c r="AW426" s="87"/>
      <c r="AX426" s="87"/>
      <c r="AY426" s="87"/>
      <c r="AZ426" s="87"/>
      <c r="BA426" s="87"/>
      <c r="BB426" s="87"/>
      <c r="BC426" s="87"/>
      <c r="BD426" s="87"/>
      <c r="BE426" s="87"/>
      <c r="BF426" s="87"/>
      <c r="BG426" s="87">
        <v>230.0</v>
      </c>
      <c r="BH426" s="87"/>
      <c r="BI426" s="87">
        <v>275.0</v>
      </c>
      <c r="BJ426" s="87"/>
      <c r="BK426" s="87"/>
      <c r="BL426" s="87">
        <v>230.0</v>
      </c>
      <c r="BM426" s="87"/>
      <c r="BN426" s="87"/>
      <c r="BO426" s="87"/>
      <c r="BP426" s="87">
        <v>172.0</v>
      </c>
      <c r="BQ426" s="87">
        <v>2.0</v>
      </c>
      <c r="BR426" s="87">
        <v>5.0</v>
      </c>
      <c r="BS426" s="87">
        <v>2.0</v>
      </c>
      <c r="BT426" s="87"/>
      <c r="BU426" s="87"/>
      <c r="BV426" s="87"/>
      <c r="BW426" s="87"/>
      <c r="BX426" s="87">
        <v>49.0</v>
      </c>
      <c r="BY426" s="87"/>
      <c r="BZ426" s="87"/>
      <c r="CA426" s="87"/>
      <c r="CB426" s="87"/>
      <c r="CC426" s="87"/>
      <c r="CD426" s="87"/>
      <c r="CE426" s="87"/>
      <c r="CF426" s="87"/>
      <c r="CG426" s="87">
        <v>11.0</v>
      </c>
      <c r="CH426" s="87">
        <v>219.0</v>
      </c>
      <c r="CI426" s="87"/>
      <c r="CJ426" s="87">
        <v>124.0</v>
      </c>
      <c r="CK426" s="87">
        <v>55.0</v>
      </c>
      <c r="CL426" s="87">
        <v>26.0</v>
      </c>
      <c r="CM426" s="87">
        <v>12.0</v>
      </c>
      <c r="CN426" s="87"/>
      <c r="CO426" s="87">
        <v>1.0</v>
      </c>
      <c r="CP426" s="87"/>
      <c r="CQ426" s="87">
        <v>12.0</v>
      </c>
      <c r="CR426" s="87"/>
      <c r="CS426" s="87"/>
      <c r="CT426" s="87"/>
      <c r="CU426" s="87">
        <v>7.0</v>
      </c>
      <c r="CV426" s="87"/>
      <c r="CW426" s="87">
        <v>51.0</v>
      </c>
      <c r="CX426" s="87"/>
      <c r="CY426" s="87"/>
      <c r="CZ426" s="87">
        <v>1.0</v>
      </c>
      <c r="DA426" s="87"/>
      <c r="DB426" s="87">
        <v>1.0</v>
      </c>
      <c r="DC426" s="87"/>
      <c r="DD426" s="87">
        <v>2.0</v>
      </c>
      <c r="DE426" s="87">
        <v>3.0</v>
      </c>
      <c r="DF426" s="87">
        <v>144.0</v>
      </c>
      <c r="DG426" s="87">
        <v>3.0</v>
      </c>
      <c r="DH426" s="87"/>
      <c r="DI426" s="87"/>
      <c r="DJ426" s="87"/>
      <c r="DK426" s="87"/>
      <c r="DL426" s="87">
        <v>12.0</v>
      </c>
      <c r="DM426" s="87">
        <v>6.0</v>
      </c>
      <c r="DN426" s="87"/>
      <c r="DO426" s="87">
        <v>1.0</v>
      </c>
      <c r="DP426" s="87"/>
      <c r="DQ426" s="87"/>
      <c r="DR426" s="87">
        <v>51.0</v>
      </c>
      <c r="DS426" s="87"/>
      <c r="DT426" s="87"/>
      <c r="DU426" s="87">
        <v>1.0</v>
      </c>
      <c r="DV426" s="87">
        <v>8.0</v>
      </c>
      <c r="DW426" s="87"/>
      <c r="DX426" s="87">
        <v>7.0</v>
      </c>
      <c r="DY426" s="87">
        <v>154.0</v>
      </c>
      <c r="DZ426" s="87">
        <v>3.0</v>
      </c>
      <c r="EA426" s="87"/>
      <c r="EB426" s="87"/>
      <c r="EC426" s="87"/>
      <c r="ED426" s="87">
        <v>5.0</v>
      </c>
      <c r="EE426" s="87"/>
      <c r="EF426" s="87"/>
      <c r="EG426" s="87"/>
      <c r="EH426" s="87"/>
      <c r="EI426" s="87"/>
      <c r="EJ426" s="87">
        <v>230.0</v>
      </c>
      <c r="EK426" s="88"/>
      <c r="EL426" s="88"/>
      <c r="EM426" s="88"/>
      <c r="EN426" s="88"/>
      <c r="EO426" s="88"/>
      <c r="EP426" s="88"/>
      <c r="EQ426" s="90"/>
    </row>
    <row r="427" ht="12.0" customHeight="1">
      <c r="A427" s="89">
        <v>1.06504079E8</v>
      </c>
      <c r="B427" s="89" t="s">
        <v>2636</v>
      </c>
      <c r="C427" s="89" t="s">
        <v>2605</v>
      </c>
      <c r="D427" s="89" t="s">
        <v>2637</v>
      </c>
      <c r="E427" s="89" t="s">
        <v>2638</v>
      </c>
      <c r="F427" s="89" t="s">
        <v>2608</v>
      </c>
      <c r="G427" s="89" t="s">
        <v>2620</v>
      </c>
      <c r="H427" s="89" t="s">
        <v>475</v>
      </c>
      <c r="I427" s="89" t="s">
        <v>543</v>
      </c>
      <c r="J427" s="89" t="s">
        <v>463</v>
      </c>
      <c r="K427" s="89" t="s">
        <v>545</v>
      </c>
      <c r="L427" s="89" t="s">
        <v>669</v>
      </c>
      <c r="M427" s="89" t="s">
        <v>2621</v>
      </c>
      <c r="N427" s="89" t="s">
        <v>441</v>
      </c>
      <c r="O427" s="87"/>
      <c r="P427" s="87"/>
      <c r="Q427" s="87"/>
      <c r="R427" s="87"/>
      <c r="S427" s="87">
        <v>926.0</v>
      </c>
      <c r="T427" s="87"/>
      <c r="U427" s="87">
        <v>477.0</v>
      </c>
      <c r="V427" s="87">
        <v>449.0</v>
      </c>
      <c r="W427" s="87"/>
      <c r="X427" s="87"/>
      <c r="Y427" s="87"/>
      <c r="Z427" s="87">
        <v>43.0</v>
      </c>
      <c r="AA427" s="87">
        <v>43.0</v>
      </c>
      <c r="AB427" s="87">
        <v>76.0</v>
      </c>
      <c r="AC427" s="87">
        <v>125.0</v>
      </c>
      <c r="AD427" s="87">
        <v>200.0</v>
      </c>
      <c r="AE427" s="87">
        <v>251.0</v>
      </c>
      <c r="AF427" s="87">
        <v>182.0</v>
      </c>
      <c r="AG427" s="87">
        <v>6.0</v>
      </c>
      <c r="AH427" s="87">
        <v>84.0</v>
      </c>
      <c r="AI427" s="87">
        <v>767.0</v>
      </c>
      <c r="AJ427" s="87">
        <v>75.0</v>
      </c>
      <c r="AK427" s="87"/>
      <c r="AL427" s="87">
        <v>29.0</v>
      </c>
      <c r="AM427" s="87"/>
      <c r="AN427" s="87">
        <v>37.0</v>
      </c>
      <c r="AO427" s="87">
        <v>730.0</v>
      </c>
      <c r="AP427" s="87">
        <v>39.0</v>
      </c>
      <c r="AQ427" s="87">
        <v>28.0</v>
      </c>
      <c r="AR427" s="87">
        <v>63.0</v>
      </c>
      <c r="AS427" s="87">
        <v>14.0</v>
      </c>
      <c r="AT427" s="87">
        <v>7.0</v>
      </c>
      <c r="AU427" s="87">
        <v>897.0</v>
      </c>
      <c r="AV427" s="87">
        <v>6.0</v>
      </c>
      <c r="AW427" s="87"/>
      <c r="AX427" s="87"/>
      <c r="AY427" s="87"/>
      <c r="AZ427" s="87"/>
      <c r="BA427" s="87">
        <v>1.0</v>
      </c>
      <c r="BB427" s="87">
        <v>1.0</v>
      </c>
      <c r="BC427" s="87"/>
      <c r="BD427" s="87"/>
      <c r="BE427" s="87"/>
      <c r="BF427" s="87"/>
      <c r="BG427" s="87">
        <v>926.0</v>
      </c>
      <c r="BH427" s="87"/>
      <c r="BI427" s="87">
        <v>12511.0</v>
      </c>
      <c r="BJ427" s="87"/>
      <c r="BK427" s="87"/>
      <c r="BL427" s="87">
        <v>926.0</v>
      </c>
      <c r="BM427" s="87"/>
      <c r="BN427" s="87"/>
      <c r="BO427" s="87"/>
      <c r="BP427" s="87">
        <v>160.0</v>
      </c>
      <c r="BQ427" s="87">
        <v>86.0</v>
      </c>
      <c r="BR427" s="87"/>
      <c r="BS427" s="87">
        <v>45.0</v>
      </c>
      <c r="BT427" s="87"/>
      <c r="BU427" s="87"/>
      <c r="BV427" s="87">
        <v>17.0</v>
      </c>
      <c r="BW427" s="87">
        <v>1.0</v>
      </c>
      <c r="BX427" s="87">
        <v>613.0</v>
      </c>
      <c r="BY427" s="87"/>
      <c r="BZ427" s="87"/>
      <c r="CA427" s="87">
        <v>4.0</v>
      </c>
      <c r="CB427" s="87"/>
      <c r="CC427" s="87"/>
      <c r="CD427" s="87"/>
      <c r="CE427" s="87"/>
      <c r="CF427" s="87"/>
      <c r="CG427" s="87"/>
      <c r="CH427" s="87">
        <v>926.0</v>
      </c>
      <c r="CI427" s="87"/>
      <c r="CJ427" s="87">
        <v>558.0</v>
      </c>
      <c r="CK427" s="87">
        <v>160.0</v>
      </c>
      <c r="CL427" s="87">
        <v>190.0</v>
      </c>
      <c r="CM427" s="87">
        <v>15.0</v>
      </c>
      <c r="CN427" s="87"/>
      <c r="CO427" s="87"/>
      <c r="CP427" s="87">
        <v>1.0</v>
      </c>
      <c r="CQ427" s="87">
        <v>2.0</v>
      </c>
      <c r="CR427" s="87"/>
      <c r="CS427" s="87"/>
      <c r="CT427" s="87"/>
      <c r="CU427" s="87">
        <v>5.0</v>
      </c>
      <c r="CV427" s="87">
        <v>1.0</v>
      </c>
      <c r="CW427" s="87">
        <v>2.0</v>
      </c>
      <c r="CX427" s="87"/>
      <c r="CY427" s="87">
        <v>71.0</v>
      </c>
      <c r="CZ427" s="87"/>
      <c r="DA427" s="87"/>
      <c r="DB427" s="87">
        <v>268.0</v>
      </c>
      <c r="DC427" s="87">
        <v>7.0</v>
      </c>
      <c r="DD427" s="87"/>
      <c r="DE427" s="87">
        <v>1.0</v>
      </c>
      <c r="DF427" s="87">
        <v>28.0</v>
      </c>
      <c r="DG427" s="87"/>
      <c r="DH427" s="87"/>
      <c r="DI427" s="87"/>
      <c r="DJ427" s="87"/>
      <c r="DK427" s="87">
        <v>92.0</v>
      </c>
      <c r="DL427" s="87">
        <v>240.0</v>
      </c>
      <c r="DM427" s="87">
        <v>211.0</v>
      </c>
      <c r="DN427" s="87"/>
      <c r="DO427" s="87">
        <v>1.0</v>
      </c>
      <c r="DP427" s="87"/>
      <c r="DQ427" s="87">
        <v>10.0</v>
      </c>
      <c r="DR427" s="87"/>
      <c r="DS427" s="87"/>
      <c r="DT427" s="87"/>
      <c r="DU427" s="87"/>
      <c r="DV427" s="87"/>
      <c r="DW427" s="87"/>
      <c r="DX427" s="87"/>
      <c r="DY427" s="87"/>
      <c r="DZ427" s="87"/>
      <c r="EA427" s="87"/>
      <c r="EB427" s="87"/>
      <c r="EC427" s="87"/>
      <c r="ED427" s="87">
        <v>915.0</v>
      </c>
      <c r="EE427" s="87"/>
      <c r="EF427" s="87">
        <v>1.0</v>
      </c>
      <c r="EG427" s="87"/>
      <c r="EH427" s="87"/>
      <c r="EI427" s="87">
        <v>8.0</v>
      </c>
      <c r="EJ427" s="87">
        <v>917.0</v>
      </c>
      <c r="EK427" s="88"/>
      <c r="EL427" s="88"/>
      <c r="EM427" s="88"/>
      <c r="EN427" s="88"/>
      <c r="EO427" s="88"/>
      <c r="EP427" s="88"/>
      <c r="EQ427" s="90"/>
    </row>
    <row r="428" ht="12.0" customHeight="1">
      <c r="A428" s="89">
        <v>1.06504081E8</v>
      </c>
      <c r="B428" s="89" t="s">
        <v>2639</v>
      </c>
      <c r="C428" s="89" t="s">
        <v>2605</v>
      </c>
      <c r="D428" s="89" t="s">
        <v>2640</v>
      </c>
      <c r="E428" s="89" t="s">
        <v>2641</v>
      </c>
      <c r="F428" s="89" t="s">
        <v>2642</v>
      </c>
      <c r="G428" s="89" t="s">
        <v>2643</v>
      </c>
      <c r="H428" s="89" t="s">
        <v>503</v>
      </c>
      <c r="I428" s="89" t="s">
        <v>543</v>
      </c>
      <c r="J428" s="89" t="s">
        <v>499</v>
      </c>
      <c r="K428" s="89" t="s">
        <v>669</v>
      </c>
      <c r="L428" s="89" t="s">
        <v>884</v>
      </c>
      <c r="M428" s="89" t="s">
        <v>2626</v>
      </c>
      <c r="N428" s="89" t="s">
        <v>441</v>
      </c>
      <c r="O428" s="87"/>
      <c r="P428" s="87"/>
      <c r="Q428" s="87">
        <v>706.0</v>
      </c>
      <c r="R428" s="87"/>
      <c r="S428" s="87"/>
      <c r="T428" s="87"/>
      <c r="U428" s="87">
        <v>363.0</v>
      </c>
      <c r="V428" s="87">
        <v>343.0</v>
      </c>
      <c r="W428" s="87"/>
      <c r="X428" s="87"/>
      <c r="Y428" s="87">
        <v>55.0</v>
      </c>
      <c r="Z428" s="87">
        <v>234.0</v>
      </c>
      <c r="AA428" s="87">
        <v>174.0</v>
      </c>
      <c r="AB428" s="87">
        <v>146.0</v>
      </c>
      <c r="AC428" s="87">
        <v>75.0</v>
      </c>
      <c r="AD428" s="87">
        <v>19.0</v>
      </c>
      <c r="AE428" s="87"/>
      <c r="AF428" s="87"/>
      <c r="AG428" s="87">
        <v>3.0</v>
      </c>
      <c r="AH428" s="87">
        <v>314.0</v>
      </c>
      <c r="AI428" s="87">
        <v>384.0</v>
      </c>
      <c r="AJ428" s="87">
        <v>8.0</v>
      </c>
      <c r="AK428" s="87">
        <v>16.0</v>
      </c>
      <c r="AL428" s="87">
        <v>32.0</v>
      </c>
      <c r="AM428" s="87"/>
      <c r="AN428" s="87">
        <v>43.0</v>
      </c>
      <c r="AO428" s="87">
        <v>342.0</v>
      </c>
      <c r="AP428" s="87">
        <v>24.0</v>
      </c>
      <c r="AQ428" s="87">
        <v>227.0</v>
      </c>
      <c r="AR428" s="87">
        <v>22.0</v>
      </c>
      <c r="AS428" s="87">
        <v>664.0</v>
      </c>
      <c r="AT428" s="87"/>
      <c r="AU428" s="87">
        <v>42.0</v>
      </c>
      <c r="AV428" s="87"/>
      <c r="AW428" s="87"/>
      <c r="AX428" s="87"/>
      <c r="AY428" s="87"/>
      <c r="AZ428" s="87"/>
      <c r="BA428" s="87"/>
      <c r="BB428" s="87"/>
      <c r="BC428" s="87"/>
      <c r="BD428" s="87"/>
      <c r="BE428" s="87"/>
      <c r="BF428" s="87">
        <v>3.0</v>
      </c>
      <c r="BG428" s="87">
        <v>703.0</v>
      </c>
      <c r="BH428" s="87"/>
      <c r="BI428" s="87">
        <v>4222.0</v>
      </c>
      <c r="BJ428" s="87"/>
      <c r="BK428" s="87">
        <v>706.0</v>
      </c>
      <c r="BL428" s="87"/>
      <c r="BM428" s="87"/>
      <c r="BN428" s="87"/>
      <c r="BO428" s="87"/>
      <c r="BP428" s="87">
        <v>694.0</v>
      </c>
      <c r="BQ428" s="87">
        <v>8.0</v>
      </c>
      <c r="BR428" s="87"/>
      <c r="BS428" s="87"/>
      <c r="BT428" s="87"/>
      <c r="BU428" s="87">
        <v>1.0</v>
      </c>
      <c r="BV428" s="87">
        <v>1.0</v>
      </c>
      <c r="BW428" s="87"/>
      <c r="BX428" s="87"/>
      <c r="BY428" s="87"/>
      <c r="BZ428" s="87"/>
      <c r="CA428" s="87"/>
      <c r="CB428" s="87">
        <v>1.0</v>
      </c>
      <c r="CC428" s="87"/>
      <c r="CD428" s="87"/>
      <c r="CE428" s="87">
        <v>1.0</v>
      </c>
      <c r="CF428" s="87"/>
      <c r="CG428" s="87"/>
      <c r="CH428" s="87">
        <v>706.0</v>
      </c>
      <c r="CI428" s="87"/>
      <c r="CJ428" s="87"/>
      <c r="CK428" s="87">
        <v>650.0</v>
      </c>
      <c r="CL428" s="87">
        <v>5.0</v>
      </c>
      <c r="CM428" s="87"/>
      <c r="CN428" s="87"/>
      <c r="CO428" s="87"/>
      <c r="CP428" s="87"/>
      <c r="CQ428" s="87"/>
      <c r="CR428" s="87">
        <v>51.0</v>
      </c>
      <c r="CS428" s="87"/>
      <c r="CT428" s="87"/>
      <c r="CU428" s="87"/>
      <c r="CV428" s="87"/>
      <c r="CW428" s="87"/>
      <c r="CX428" s="87">
        <v>706.0</v>
      </c>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v>706.0</v>
      </c>
      <c r="EE428" s="87"/>
      <c r="EF428" s="87"/>
      <c r="EG428" s="87">
        <v>262.0</v>
      </c>
      <c r="EH428" s="87"/>
      <c r="EI428" s="87"/>
      <c r="EJ428" s="87">
        <v>444.0</v>
      </c>
      <c r="EK428" s="88"/>
      <c r="EL428" s="88"/>
      <c r="EM428" s="88"/>
      <c r="EN428" s="88"/>
      <c r="EO428" s="88"/>
      <c r="EP428" s="88"/>
      <c r="EQ428" s="90"/>
    </row>
    <row r="429" ht="12.0" customHeight="1">
      <c r="A429" s="89">
        <v>1.06514001E8</v>
      </c>
      <c r="B429" s="89" t="s">
        <v>2644</v>
      </c>
      <c r="C429" s="89" t="s">
        <v>2645</v>
      </c>
      <c r="D429" s="89" t="s">
        <v>2646</v>
      </c>
      <c r="E429" s="89" t="s">
        <v>2647</v>
      </c>
      <c r="F429" s="89" t="s">
        <v>2648</v>
      </c>
      <c r="G429" s="89" t="s">
        <v>2649</v>
      </c>
      <c r="H429" s="89" t="s">
        <v>435</v>
      </c>
      <c r="I429" s="89" t="s">
        <v>543</v>
      </c>
      <c r="J429" s="89" t="s">
        <v>499</v>
      </c>
      <c r="K429" s="89" t="s">
        <v>554</v>
      </c>
      <c r="L429" s="89" t="s">
        <v>555</v>
      </c>
      <c r="M429" s="89" t="s">
        <v>2650</v>
      </c>
      <c r="N429" s="89" t="s">
        <v>547</v>
      </c>
      <c r="O429" s="87"/>
      <c r="P429" s="87"/>
      <c r="Q429" s="87">
        <v>225.0</v>
      </c>
      <c r="R429" s="87"/>
      <c r="S429" s="87"/>
      <c r="T429" s="87"/>
      <c r="U429" s="87">
        <v>98.0</v>
      </c>
      <c r="V429" s="87">
        <v>127.0</v>
      </c>
      <c r="W429" s="87"/>
      <c r="X429" s="87"/>
      <c r="Y429" s="87">
        <v>16.0</v>
      </c>
      <c r="Z429" s="87">
        <v>67.0</v>
      </c>
      <c r="AA429" s="87">
        <v>43.0</v>
      </c>
      <c r="AB429" s="87">
        <v>37.0</v>
      </c>
      <c r="AC429" s="87">
        <v>44.0</v>
      </c>
      <c r="AD429" s="87">
        <v>15.0</v>
      </c>
      <c r="AE429" s="87"/>
      <c r="AF429" s="87"/>
      <c r="AG429" s="87">
        <v>3.0</v>
      </c>
      <c r="AH429" s="87">
        <v>59.0</v>
      </c>
      <c r="AI429" s="87">
        <v>166.0</v>
      </c>
      <c r="AJ429" s="87"/>
      <c r="AK429" s="87"/>
      <c r="AL429" s="87">
        <v>15.0</v>
      </c>
      <c r="AM429" s="87"/>
      <c r="AN429" s="87"/>
      <c r="AO429" s="87">
        <v>146.0</v>
      </c>
      <c r="AP429" s="87">
        <v>29.0</v>
      </c>
      <c r="AQ429" s="87">
        <v>35.0</v>
      </c>
      <c r="AR429" s="87"/>
      <c r="AS429" s="87"/>
      <c r="AT429" s="87"/>
      <c r="AU429" s="87">
        <v>222.0</v>
      </c>
      <c r="AV429" s="87">
        <v>1.0</v>
      </c>
      <c r="AW429" s="87">
        <v>1.0</v>
      </c>
      <c r="AX429" s="87"/>
      <c r="AY429" s="87"/>
      <c r="AZ429" s="87"/>
      <c r="BA429" s="87">
        <v>1.0</v>
      </c>
      <c r="BB429" s="87"/>
      <c r="BC429" s="87"/>
      <c r="BD429" s="87"/>
      <c r="BE429" s="87"/>
      <c r="BF429" s="87">
        <v>222.0</v>
      </c>
      <c r="BG429" s="87">
        <v>3.0</v>
      </c>
      <c r="BH429" s="87"/>
      <c r="BI429" s="87">
        <v>2293.0</v>
      </c>
      <c r="BJ429" s="87"/>
      <c r="BK429" s="87">
        <v>225.0</v>
      </c>
      <c r="BL429" s="87"/>
      <c r="BM429" s="87"/>
      <c r="BN429" s="87"/>
      <c r="BO429" s="87"/>
      <c r="BP429" s="87">
        <v>193.0</v>
      </c>
      <c r="BQ429" s="87">
        <v>3.0</v>
      </c>
      <c r="BR429" s="87">
        <v>2.0</v>
      </c>
      <c r="BS429" s="87">
        <v>8.0</v>
      </c>
      <c r="BT429" s="87">
        <v>5.0</v>
      </c>
      <c r="BU429" s="87">
        <v>4.0</v>
      </c>
      <c r="BV429" s="87">
        <v>8.0</v>
      </c>
      <c r="BW429" s="87"/>
      <c r="BX429" s="87"/>
      <c r="BY429" s="87"/>
      <c r="BZ429" s="87"/>
      <c r="CA429" s="87"/>
      <c r="CB429" s="87">
        <v>1.0</v>
      </c>
      <c r="CC429" s="87"/>
      <c r="CD429" s="87">
        <v>1.0</v>
      </c>
      <c r="CE429" s="87"/>
      <c r="CF429" s="87"/>
      <c r="CG429" s="87"/>
      <c r="CH429" s="87">
        <v>225.0</v>
      </c>
      <c r="CI429" s="87"/>
      <c r="CJ429" s="87"/>
      <c r="CK429" s="87">
        <v>204.0</v>
      </c>
      <c r="CL429" s="87">
        <v>10.0</v>
      </c>
      <c r="CM429" s="87"/>
      <c r="CN429" s="87"/>
      <c r="CO429" s="87">
        <v>1.0</v>
      </c>
      <c r="CP429" s="87"/>
      <c r="CQ429" s="87">
        <v>9.0</v>
      </c>
      <c r="CR429" s="87">
        <v>1.0</v>
      </c>
      <c r="CS429" s="87"/>
      <c r="CT429" s="87"/>
      <c r="CU429" s="87"/>
      <c r="CV429" s="87"/>
      <c r="CW429" s="87"/>
      <c r="CX429" s="87">
        <v>224.0</v>
      </c>
      <c r="CY429" s="87"/>
      <c r="CZ429" s="87"/>
      <c r="DA429" s="87"/>
      <c r="DB429" s="87"/>
      <c r="DC429" s="87"/>
      <c r="DD429" s="87"/>
      <c r="DE429" s="87"/>
      <c r="DF429" s="87"/>
      <c r="DG429" s="87"/>
      <c r="DH429" s="87"/>
      <c r="DI429" s="87"/>
      <c r="DJ429" s="87"/>
      <c r="DK429" s="87">
        <v>1.0</v>
      </c>
      <c r="DL429" s="87"/>
      <c r="DM429" s="87"/>
      <c r="DN429" s="87"/>
      <c r="DO429" s="87"/>
      <c r="DP429" s="87"/>
      <c r="DQ429" s="87"/>
      <c r="DR429" s="87"/>
      <c r="DS429" s="87"/>
      <c r="DT429" s="87"/>
      <c r="DU429" s="87"/>
      <c r="DV429" s="87"/>
      <c r="DW429" s="87"/>
      <c r="DX429" s="87"/>
      <c r="DY429" s="87"/>
      <c r="DZ429" s="87"/>
      <c r="EA429" s="87"/>
      <c r="EB429" s="87"/>
      <c r="EC429" s="87"/>
      <c r="ED429" s="87">
        <v>225.0</v>
      </c>
      <c r="EE429" s="87"/>
      <c r="EF429" s="87"/>
      <c r="EG429" s="87">
        <v>29.0</v>
      </c>
      <c r="EH429" s="87"/>
      <c r="EI429" s="87">
        <v>1.0</v>
      </c>
      <c r="EJ429" s="87">
        <v>195.0</v>
      </c>
      <c r="EK429" s="88"/>
      <c r="EL429" s="88"/>
      <c r="EM429" s="88"/>
      <c r="EN429" s="88"/>
      <c r="EO429" s="88"/>
      <c r="EP429" s="88"/>
      <c r="EQ429" s="90"/>
    </row>
    <row r="430" ht="12.0" customHeight="1">
      <c r="A430" s="89">
        <v>1.06514005E8</v>
      </c>
      <c r="B430" s="89" t="s">
        <v>2651</v>
      </c>
      <c r="C430" s="89" t="s">
        <v>2645</v>
      </c>
      <c r="D430" s="89" t="s">
        <v>2652</v>
      </c>
      <c r="E430" s="89" t="s">
        <v>2653</v>
      </c>
      <c r="F430" s="89" t="s">
        <v>2648</v>
      </c>
      <c r="G430" s="89" t="s">
        <v>2654</v>
      </c>
      <c r="H430" s="89" t="s">
        <v>475</v>
      </c>
      <c r="I430" s="89" t="s">
        <v>543</v>
      </c>
      <c r="J430" s="89" t="s">
        <v>499</v>
      </c>
      <c r="K430" s="89" t="s">
        <v>554</v>
      </c>
      <c r="L430" s="89" t="s">
        <v>555</v>
      </c>
      <c r="M430" s="89" t="s">
        <v>2650</v>
      </c>
      <c r="N430" s="89" t="s">
        <v>547</v>
      </c>
      <c r="O430" s="87"/>
      <c r="P430" s="87"/>
      <c r="Q430" s="87">
        <v>270.0</v>
      </c>
      <c r="R430" s="87"/>
      <c r="S430" s="87"/>
      <c r="T430" s="87"/>
      <c r="U430" s="87">
        <v>155.0</v>
      </c>
      <c r="V430" s="87">
        <v>115.0</v>
      </c>
      <c r="W430" s="87"/>
      <c r="X430" s="87"/>
      <c r="Y430" s="87">
        <v>13.0</v>
      </c>
      <c r="Z430" s="87">
        <v>76.0</v>
      </c>
      <c r="AA430" s="87">
        <v>82.0</v>
      </c>
      <c r="AB430" s="87">
        <v>46.0</v>
      </c>
      <c r="AC430" s="87">
        <v>36.0</v>
      </c>
      <c r="AD430" s="87">
        <v>17.0</v>
      </c>
      <c r="AE430" s="87"/>
      <c r="AF430" s="87"/>
      <c r="AG430" s="87"/>
      <c r="AH430" s="87">
        <v>56.0</v>
      </c>
      <c r="AI430" s="87">
        <v>195.0</v>
      </c>
      <c r="AJ430" s="87">
        <v>19.0</v>
      </c>
      <c r="AK430" s="87"/>
      <c r="AL430" s="87"/>
      <c r="AM430" s="87"/>
      <c r="AN430" s="87"/>
      <c r="AO430" s="87">
        <v>180.0</v>
      </c>
      <c r="AP430" s="87">
        <v>25.0</v>
      </c>
      <c r="AQ430" s="87">
        <v>51.0</v>
      </c>
      <c r="AR430" s="87">
        <v>14.0</v>
      </c>
      <c r="AS430" s="87"/>
      <c r="AT430" s="87"/>
      <c r="AU430" s="87">
        <v>245.0</v>
      </c>
      <c r="AV430" s="87"/>
      <c r="AW430" s="87">
        <v>23.0</v>
      </c>
      <c r="AX430" s="87"/>
      <c r="AY430" s="87"/>
      <c r="AZ430" s="87"/>
      <c r="BA430" s="87">
        <v>2.0</v>
      </c>
      <c r="BB430" s="87"/>
      <c r="BC430" s="87"/>
      <c r="BD430" s="87"/>
      <c r="BE430" s="87"/>
      <c r="BF430" s="87">
        <v>245.0</v>
      </c>
      <c r="BG430" s="87">
        <v>25.0</v>
      </c>
      <c r="BH430" s="87"/>
      <c r="BI430" s="87">
        <v>5552.0</v>
      </c>
      <c r="BJ430" s="87"/>
      <c r="BK430" s="87">
        <v>270.0</v>
      </c>
      <c r="BL430" s="87"/>
      <c r="BM430" s="87"/>
      <c r="BN430" s="87"/>
      <c r="BO430" s="87"/>
      <c r="BP430" s="87">
        <v>213.0</v>
      </c>
      <c r="BQ430" s="87">
        <v>2.0</v>
      </c>
      <c r="BR430" s="87">
        <v>10.0</v>
      </c>
      <c r="BS430" s="87"/>
      <c r="BT430" s="87">
        <v>24.0</v>
      </c>
      <c r="BU430" s="87">
        <v>2.0</v>
      </c>
      <c r="BV430" s="87"/>
      <c r="BW430" s="87"/>
      <c r="BX430" s="87">
        <v>8.0</v>
      </c>
      <c r="BY430" s="87"/>
      <c r="BZ430" s="87"/>
      <c r="CA430" s="87"/>
      <c r="CB430" s="87">
        <v>11.0</v>
      </c>
      <c r="CC430" s="87"/>
      <c r="CD430" s="87"/>
      <c r="CE430" s="87"/>
      <c r="CF430" s="87"/>
      <c r="CG430" s="87"/>
      <c r="CH430" s="87">
        <v>270.0</v>
      </c>
      <c r="CI430" s="87"/>
      <c r="CJ430" s="87"/>
      <c r="CK430" s="87"/>
      <c r="CL430" s="87"/>
      <c r="CM430" s="87"/>
      <c r="CN430" s="87"/>
      <c r="CO430" s="87">
        <v>270.0</v>
      </c>
      <c r="CP430" s="87"/>
      <c r="CQ430" s="87"/>
      <c r="CR430" s="87"/>
      <c r="CS430" s="87"/>
      <c r="CT430" s="87"/>
      <c r="CU430" s="87"/>
      <c r="CV430" s="87"/>
      <c r="CW430" s="87"/>
      <c r="CX430" s="87">
        <v>270.0</v>
      </c>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v>270.0</v>
      </c>
      <c r="EE430" s="87"/>
      <c r="EF430" s="87"/>
      <c r="EG430" s="87">
        <v>2.0</v>
      </c>
      <c r="EH430" s="87"/>
      <c r="EI430" s="87">
        <v>3.0</v>
      </c>
      <c r="EJ430" s="87">
        <v>265.0</v>
      </c>
      <c r="EK430" s="88"/>
      <c r="EL430" s="88"/>
      <c r="EM430" s="88"/>
      <c r="EN430" s="88"/>
      <c r="EO430" s="88"/>
      <c r="EP430" s="88"/>
      <c r="EQ430" s="90"/>
    </row>
    <row r="431" ht="12.0" customHeight="1">
      <c r="A431" s="89">
        <v>1.0651403E8</v>
      </c>
      <c r="B431" s="89" t="s">
        <v>2655</v>
      </c>
      <c r="C431" s="89" t="s">
        <v>2645</v>
      </c>
      <c r="D431" s="89" t="s">
        <v>2656</v>
      </c>
      <c r="E431" s="89" t="s">
        <v>2657</v>
      </c>
      <c r="F431" s="89" t="s">
        <v>2648</v>
      </c>
      <c r="G431" s="89" t="s">
        <v>2649</v>
      </c>
      <c r="H431" s="89" t="s">
        <v>475</v>
      </c>
      <c r="I431" s="89" t="s">
        <v>543</v>
      </c>
      <c r="J431" s="89" t="s">
        <v>499</v>
      </c>
      <c r="K431" s="89" t="s">
        <v>554</v>
      </c>
      <c r="L431" s="89" t="s">
        <v>555</v>
      </c>
      <c r="M431" s="89" t="s">
        <v>2650</v>
      </c>
      <c r="N431" s="89" t="s">
        <v>547</v>
      </c>
      <c r="O431" s="87">
        <v>219.0</v>
      </c>
      <c r="P431" s="87"/>
      <c r="Q431" s="87"/>
      <c r="R431" s="87"/>
      <c r="S431" s="87"/>
      <c r="T431" s="87"/>
      <c r="U431" s="87">
        <v>77.0</v>
      </c>
      <c r="V431" s="87">
        <v>142.0</v>
      </c>
      <c r="W431" s="87"/>
      <c r="X431" s="87"/>
      <c r="Y431" s="87"/>
      <c r="Z431" s="87"/>
      <c r="AA431" s="87"/>
      <c r="AB431" s="87">
        <v>34.0</v>
      </c>
      <c r="AC431" s="87">
        <v>38.0</v>
      </c>
      <c r="AD431" s="87">
        <v>52.0</v>
      </c>
      <c r="AE431" s="87">
        <v>58.0</v>
      </c>
      <c r="AF431" s="87">
        <v>26.0</v>
      </c>
      <c r="AG431" s="87">
        <v>11.0</v>
      </c>
      <c r="AH431" s="87">
        <v>32.0</v>
      </c>
      <c r="AI431" s="87">
        <v>186.0</v>
      </c>
      <c r="AJ431" s="87">
        <v>1.0</v>
      </c>
      <c r="AK431" s="87"/>
      <c r="AL431" s="87">
        <v>11.0</v>
      </c>
      <c r="AM431" s="87"/>
      <c r="AN431" s="87"/>
      <c r="AO431" s="87">
        <v>166.0</v>
      </c>
      <c r="AP431" s="87">
        <v>6.0</v>
      </c>
      <c r="AQ431" s="87">
        <v>36.0</v>
      </c>
      <c r="AR431" s="87"/>
      <c r="AS431" s="87">
        <v>214.0</v>
      </c>
      <c r="AT431" s="87">
        <v>5.0</v>
      </c>
      <c r="AU431" s="87"/>
      <c r="AV431" s="87"/>
      <c r="AW431" s="87"/>
      <c r="AX431" s="87"/>
      <c r="AY431" s="87"/>
      <c r="AZ431" s="87"/>
      <c r="BA431" s="87"/>
      <c r="BB431" s="87"/>
      <c r="BC431" s="87"/>
      <c r="BD431" s="87"/>
      <c r="BE431" s="87"/>
      <c r="BF431" s="87"/>
      <c r="BG431" s="87">
        <v>219.0</v>
      </c>
      <c r="BH431" s="87"/>
      <c r="BI431" s="87">
        <v>571.0</v>
      </c>
      <c r="BJ431" s="87">
        <v>7.0</v>
      </c>
      <c r="BK431" s="87">
        <v>13.0</v>
      </c>
      <c r="BL431" s="87">
        <v>199.0</v>
      </c>
      <c r="BM431" s="87"/>
      <c r="BN431" s="87"/>
      <c r="BO431" s="87"/>
      <c r="BP431" s="87">
        <v>161.0</v>
      </c>
      <c r="BQ431" s="87">
        <v>5.0</v>
      </c>
      <c r="BR431" s="87"/>
      <c r="BS431" s="87">
        <v>21.0</v>
      </c>
      <c r="BT431" s="87"/>
      <c r="BU431" s="87"/>
      <c r="BV431" s="87"/>
      <c r="BW431" s="87"/>
      <c r="BX431" s="87">
        <v>31.0</v>
      </c>
      <c r="BY431" s="87"/>
      <c r="BZ431" s="87"/>
      <c r="CA431" s="87">
        <v>1.0</v>
      </c>
      <c r="CB431" s="87"/>
      <c r="CC431" s="87"/>
      <c r="CD431" s="87"/>
      <c r="CE431" s="87"/>
      <c r="CF431" s="87"/>
      <c r="CG431" s="87"/>
      <c r="CH431" s="87">
        <v>219.0</v>
      </c>
      <c r="CI431" s="87"/>
      <c r="CJ431" s="87">
        <v>123.0</v>
      </c>
      <c r="CK431" s="87">
        <v>25.0</v>
      </c>
      <c r="CL431" s="87">
        <v>61.0</v>
      </c>
      <c r="CM431" s="87">
        <v>1.0</v>
      </c>
      <c r="CN431" s="87"/>
      <c r="CO431" s="87">
        <v>8.0</v>
      </c>
      <c r="CP431" s="87"/>
      <c r="CQ431" s="87">
        <v>1.0</v>
      </c>
      <c r="CR431" s="87"/>
      <c r="CS431" s="87"/>
      <c r="CT431" s="87">
        <v>1.0</v>
      </c>
      <c r="CU431" s="87">
        <v>34.0</v>
      </c>
      <c r="CV431" s="87"/>
      <c r="CW431" s="87">
        <v>1.0</v>
      </c>
      <c r="CX431" s="87">
        <v>2.0</v>
      </c>
      <c r="CY431" s="87"/>
      <c r="CZ431" s="87"/>
      <c r="DA431" s="87"/>
      <c r="DB431" s="87">
        <v>1.0</v>
      </c>
      <c r="DC431" s="87"/>
      <c r="DD431" s="87">
        <v>49.0</v>
      </c>
      <c r="DE431" s="87">
        <v>1.0</v>
      </c>
      <c r="DF431" s="87">
        <v>83.0</v>
      </c>
      <c r="DG431" s="87">
        <v>2.0</v>
      </c>
      <c r="DH431" s="87"/>
      <c r="DI431" s="87"/>
      <c r="DJ431" s="87"/>
      <c r="DK431" s="87">
        <v>1.0</v>
      </c>
      <c r="DL431" s="87">
        <v>32.0</v>
      </c>
      <c r="DM431" s="87">
        <v>12.0</v>
      </c>
      <c r="DN431" s="87"/>
      <c r="DO431" s="87"/>
      <c r="DP431" s="87"/>
      <c r="DQ431" s="87">
        <v>2.0</v>
      </c>
      <c r="DR431" s="87">
        <v>60.0</v>
      </c>
      <c r="DS431" s="87"/>
      <c r="DT431" s="87"/>
      <c r="DU431" s="87"/>
      <c r="DV431" s="87">
        <v>17.0</v>
      </c>
      <c r="DW431" s="87"/>
      <c r="DX431" s="87">
        <v>21.0</v>
      </c>
      <c r="DY431" s="87">
        <v>103.0</v>
      </c>
      <c r="DZ431" s="87">
        <v>4.0</v>
      </c>
      <c r="EA431" s="87"/>
      <c r="EB431" s="87">
        <v>7.0</v>
      </c>
      <c r="EC431" s="87"/>
      <c r="ED431" s="87">
        <v>5.0</v>
      </c>
      <c r="EE431" s="87"/>
      <c r="EF431" s="87"/>
      <c r="EG431" s="87"/>
      <c r="EH431" s="87"/>
      <c r="EI431" s="87"/>
      <c r="EJ431" s="87">
        <v>219.0</v>
      </c>
      <c r="EK431" s="88"/>
      <c r="EL431" s="88"/>
      <c r="EM431" s="88"/>
      <c r="EN431" s="88"/>
      <c r="EO431" s="88"/>
      <c r="EP431" s="88"/>
      <c r="EQ431" s="90"/>
    </row>
    <row r="432" ht="12.0" customHeight="1">
      <c r="A432" s="89">
        <v>1.06514033E8</v>
      </c>
      <c r="B432" s="89" t="s">
        <v>2658</v>
      </c>
      <c r="C432" s="89" t="s">
        <v>2645</v>
      </c>
      <c r="D432" s="89" t="s">
        <v>2659</v>
      </c>
      <c r="E432" s="89" t="s">
        <v>2660</v>
      </c>
      <c r="F432" s="89" t="s">
        <v>2648</v>
      </c>
      <c r="G432" s="89" t="s">
        <v>2654</v>
      </c>
      <c r="H432" s="89" t="s">
        <v>475</v>
      </c>
      <c r="I432" s="89" t="s">
        <v>543</v>
      </c>
      <c r="J432" s="89" t="s">
        <v>499</v>
      </c>
      <c r="K432" s="89" t="s">
        <v>554</v>
      </c>
      <c r="L432" s="89" t="s">
        <v>555</v>
      </c>
      <c r="M432" s="89" t="s">
        <v>2650</v>
      </c>
      <c r="N432" s="89" t="s">
        <v>547</v>
      </c>
      <c r="O432" s="87"/>
      <c r="P432" s="87"/>
      <c r="Q432" s="87">
        <v>274.0</v>
      </c>
      <c r="R432" s="87"/>
      <c r="S432" s="87"/>
      <c r="T432" s="87"/>
      <c r="U432" s="87">
        <v>161.0</v>
      </c>
      <c r="V432" s="87">
        <v>113.0</v>
      </c>
      <c r="W432" s="87"/>
      <c r="X432" s="87"/>
      <c r="Y432" s="87"/>
      <c r="Z432" s="87">
        <v>77.0</v>
      </c>
      <c r="AA432" s="87">
        <v>84.0</v>
      </c>
      <c r="AB432" s="87">
        <v>49.0</v>
      </c>
      <c r="AC432" s="87">
        <v>41.0</v>
      </c>
      <c r="AD432" s="87">
        <v>17.0</v>
      </c>
      <c r="AE432" s="87"/>
      <c r="AF432" s="87"/>
      <c r="AG432" s="87">
        <v>6.0</v>
      </c>
      <c r="AH432" s="87">
        <v>63.0</v>
      </c>
      <c r="AI432" s="87">
        <v>201.0</v>
      </c>
      <c r="AJ432" s="87">
        <v>10.0</v>
      </c>
      <c r="AK432" s="87"/>
      <c r="AL432" s="87"/>
      <c r="AM432" s="87"/>
      <c r="AN432" s="87">
        <v>15.0</v>
      </c>
      <c r="AO432" s="87">
        <v>180.0</v>
      </c>
      <c r="AP432" s="87">
        <v>13.0</v>
      </c>
      <c r="AQ432" s="87">
        <v>50.0</v>
      </c>
      <c r="AR432" s="87">
        <v>16.0</v>
      </c>
      <c r="AS432" s="87">
        <v>20.0</v>
      </c>
      <c r="AT432" s="87"/>
      <c r="AU432" s="87">
        <v>232.0</v>
      </c>
      <c r="AV432" s="87"/>
      <c r="AW432" s="87">
        <v>20.0</v>
      </c>
      <c r="AX432" s="87"/>
      <c r="AY432" s="87"/>
      <c r="AZ432" s="87"/>
      <c r="BA432" s="87">
        <v>2.0</v>
      </c>
      <c r="BB432" s="87"/>
      <c r="BC432" s="87"/>
      <c r="BD432" s="87"/>
      <c r="BE432" s="87"/>
      <c r="BF432" s="87">
        <v>226.0</v>
      </c>
      <c r="BG432" s="87">
        <v>48.0</v>
      </c>
      <c r="BH432" s="87"/>
      <c r="BI432" s="87">
        <v>5338.0</v>
      </c>
      <c r="BJ432" s="87"/>
      <c r="BK432" s="87">
        <v>274.0</v>
      </c>
      <c r="BL432" s="87"/>
      <c r="BM432" s="87"/>
      <c r="BN432" s="87"/>
      <c r="BO432" s="87"/>
      <c r="BP432" s="87">
        <v>205.0</v>
      </c>
      <c r="BQ432" s="87">
        <v>1.0</v>
      </c>
      <c r="BR432" s="87">
        <v>11.0</v>
      </c>
      <c r="BS432" s="87">
        <v>2.0</v>
      </c>
      <c r="BT432" s="87">
        <v>41.0</v>
      </c>
      <c r="BU432" s="87">
        <v>3.0</v>
      </c>
      <c r="BV432" s="87"/>
      <c r="BW432" s="87"/>
      <c r="BX432" s="87">
        <v>2.0</v>
      </c>
      <c r="BY432" s="87"/>
      <c r="BZ432" s="87"/>
      <c r="CA432" s="87"/>
      <c r="CB432" s="87">
        <v>9.0</v>
      </c>
      <c r="CC432" s="87"/>
      <c r="CD432" s="87"/>
      <c r="CE432" s="87"/>
      <c r="CF432" s="87"/>
      <c r="CG432" s="87"/>
      <c r="CH432" s="87">
        <v>274.0</v>
      </c>
      <c r="CI432" s="87"/>
      <c r="CJ432" s="87">
        <v>1.0</v>
      </c>
      <c r="CK432" s="87"/>
      <c r="CL432" s="87"/>
      <c r="CM432" s="87"/>
      <c r="CN432" s="87"/>
      <c r="CO432" s="87">
        <v>273.0</v>
      </c>
      <c r="CP432" s="87"/>
      <c r="CQ432" s="87"/>
      <c r="CR432" s="87"/>
      <c r="CS432" s="87"/>
      <c r="CT432" s="87"/>
      <c r="CU432" s="87"/>
      <c r="CV432" s="87"/>
      <c r="CW432" s="87"/>
      <c r="CX432" s="87">
        <v>274.0</v>
      </c>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v>274.0</v>
      </c>
      <c r="EE432" s="87"/>
      <c r="EF432" s="87"/>
      <c r="EG432" s="87">
        <v>4.0</v>
      </c>
      <c r="EH432" s="87"/>
      <c r="EI432" s="87">
        <v>4.0</v>
      </c>
      <c r="EJ432" s="87">
        <v>266.0</v>
      </c>
      <c r="EK432" s="88"/>
      <c r="EL432" s="88"/>
      <c r="EM432" s="88"/>
      <c r="EN432" s="88"/>
      <c r="EO432" s="88"/>
      <c r="EP432" s="88"/>
      <c r="EQ432" s="90"/>
    </row>
    <row r="433" ht="12.0" customHeight="1">
      <c r="A433" s="89">
        <v>1.06521041E8</v>
      </c>
      <c r="B433" s="89" t="s">
        <v>2661</v>
      </c>
      <c r="C433" s="89" t="s">
        <v>2662</v>
      </c>
      <c r="D433" s="89" t="s">
        <v>2663</v>
      </c>
      <c r="E433" s="89" t="s">
        <v>2664</v>
      </c>
      <c r="F433" s="89" t="s">
        <v>2665</v>
      </c>
      <c r="G433" s="89" t="s">
        <v>2666</v>
      </c>
      <c r="H433" s="89" t="s">
        <v>447</v>
      </c>
      <c r="I433" s="89" t="s">
        <v>543</v>
      </c>
      <c r="J433" s="89" t="s">
        <v>463</v>
      </c>
      <c r="K433" s="89" t="s">
        <v>554</v>
      </c>
      <c r="L433" s="89" t="s">
        <v>555</v>
      </c>
      <c r="M433" s="89" t="s">
        <v>2667</v>
      </c>
      <c r="N433" s="89" t="s">
        <v>547</v>
      </c>
      <c r="O433" s="87">
        <v>3554.0</v>
      </c>
      <c r="P433" s="87"/>
      <c r="Q433" s="87"/>
      <c r="R433" s="87"/>
      <c r="S433" s="87"/>
      <c r="T433" s="87"/>
      <c r="U433" s="87">
        <v>1497.0</v>
      </c>
      <c r="V433" s="87">
        <v>2056.0</v>
      </c>
      <c r="W433" s="87">
        <v>1.0</v>
      </c>
      <c r="X433" s="87">
        <v>602.0</v>
      </c>
      <c r="Y433" s="87">
        <v>59.0</v>
      </c>
      <c r="Z433" s="87">
        <v>398.0</v>
      </c>
      <c r="AA433" s="87">
        <v>374.0</v>
      </c>
      <c r="AB433" s="87">
        <v>221.0</v>
      </c>
      <c r="AC433" s="87">
        <v>313.0</v>
      </c>
      <c r="AD433" s="87">
        <v>497.0</v>
      </c>
      <c r="AE433" s="87">
        <v>539.0</v>
      </c>
      <c r="AF433" s="87">
        <v>551.0</v>
      </c>
      <c r="AG433" s="87"/>
      <c r="AH433" s="87">
        <v>630.0</v>
      </c>
      <c r="AI433" s="87">
        <v>2906.0</v>
      </c>
      <c r="AJ433" s="87">
        <v>18.0</v>
      </c>
      <c r="AK433" s="87">
        <v>64.0</v>
      </c>
      <c r="AL433" s="87">
        <v>24.0</v>
      </c>
      <c r="AM433" s="87">
        <v>11.0</v>
      </c>
      <c r="AN433" s="87">
        <v>16.0</v>
      </c>
      <c r="AO433" s="87">
        <v>2754.0</v>
      </c>
      <c r="AP433" s="87">
        <v>52.0</v>
      </c>
      <c r="AQ433" s="87">
        <v>589.0</v>
      </c>
      <c r="AR433" s="87">
        <v>44.0</v>
      </c>
      <c r="AS433" s="87">
        <v>2852.0</v>
      </c>
      <c r="AT433" s="87">
        <v>58.0</v>
      </c>
      <c r="AU433" s="87">
        <v>25.0</v>
      </c>
      <c r="AV433" s="87">
        <v>43.0</v>
      </c>
      <c r="AW433" s="87">
        <v>2.0</v>
      </c>
      <c r="AX433" s="87">
        <v>2.0</v>
      </c>
      <c r="AY433" s="87"/>
      <c r="AZ433" s="87"/>
      <c r="BA433" s="87">
        <v>7.0</v>
      </c>
      <c r="BB433" s="87">
        <v>1.0</v>
      </c>
      <c r="BC433" s="87">
        <v>564.0</v>
      </c>
      <c r="BD433" s="87"/>
      <c r="BE433" s="87">
        <v>2263.0</v>
      </c>
      <c r="BF433" s="87">
        <v>3.0</v>
      </c>
      <c r="BG433" s="87">
        <v>1263.0</v>
      </c>
      <c r="BH433" s="87">
        <v>25.0</v>
      </c>
      <c r="BI433" s="87">
        <v>11799.0</v>
      </c>
      <c r="BJ433" s="87">
        <v>1077.0</v>
      </c>
      <c r="BK433" s="87">
        <v>1347.0</v>
      </c>
      <c r="BL433" s="87">
        <v>443.0</v>
      </c>
      <c r="BM433" s="87">
        <v>564.0</v>
      </c>
      <c r="BN433" s="87">
        <v>123.0</v>
      </c>
      <c r="BO433" s="87"/>
      <c r="BP433" s="87">
        <v>2197.0</v>
      </c>
      <c r="BQ433" s="87">
        <v>136.0</v>
      </c>
      <c r="BR433" s="87">
        <v>11.0</v>
      </c>
      <c r="BS433" s="87">
        <v>325.0</v>
      </c>
      <c r="BT433" s="87">
        <v>6.0</v>
      </c>
      <c r="BU433" s="87">
        <v>7.0</v>
      </c>
      <c r="BV433" s="87">
        <v>99.0</v>
      </c>
      <c r="BW433" s="87">
        <v>115.0</v>
      </c>
      <c r="BX433" s="87">
        <v>581.0</v>
      </c>
      <c r="BY433" s="87"/>
      <c r="BZ433" s="87">
        <v>1.0</v>
      </c>
      <c r="CA433" s="87">
        <v>58.0</v>
      </c>
      <c r="CB433" s="87">
        <v>13.0</v>
      </c>
      <c r="CC433" s="87"/>
      <c r="CD433" s="87">
        <v>5.0</v>
      </c>
      <c r="CE433" s="87"/>
      <c r="CF433" s="87"/>
      <c r="CG433" s="87">
        <v>463.0</v>
      </c>
      <c r="CH433" s="87">
        <v>3091.0</v>
      </c>
      <c r="CI433" s="87"/>
      <c r="CJ433" s="87">
        <v>1408.0</v>
      </c>
      <c r="CK433" s="87">
        <v>1314.0</v>
      </c>
      <c r="CL433" s="87">
        <v>605.0</v>
      </c>
      <c r="CM433" s="87">
        <v>8.0</v>
      </c>
      <c r="CN433" s="87"/>
      <c r="CO433" s="87">
        <v>161.0</v>
      </c>
      <c r="CP433" s="87"/>
      <c r="CQ433" s="87">
        <v>50.0</v>
      </c>
      <c r="CR433" s="87">
        <v>5.0</v>
      </c>
      <c r="CS433" s="87">
        <v>3.0</v>
      </c>
      <c r="CT433" s="87">
        <v>682.0</v>
      </c>
      <c r="CU433" s="87">
        <v>53.0</v>
      </c>
      <c r="CV433" s="87">
        <v>12.0</v>
      </c>
      <c r="CW433" s="87">
        <v>145.0</v>
      </c>
      <c r="CX433" s="87">
        <v>66.0</v>
      </c>
      <c r="CY433" s="87">
        <v>68.0</v>
      </c>
      <c r="CZ433" s="87">
        <v>2.0</v>
      </c>
      <c r="DA433" s="87"/>
      <c r="DB433" s="87">
        <v>342.0</v>
      </c>
      <c r="DC433" s="87">
        <v>204.0</v>
      </c>
      <c r="DD433" s="87">
        <v>255.0</v>
      </c>
      <c r="DE433" s="87">
        <v>55.0</v>
      </c>
      <c r="DF433" s="87">
        <v>33.0</v>
      </c>
      <c r="DG433" s="87">
        <v>152.0</v>
      </c>
      <c r="DH433" s="87">
        <v>592.0</v>
      </c>
      <c r="DI433" s="87">
        <v>574.0</v>
      </c>
      <c r="DJ433" s="87">
        <v>1.0</v>
      </c>
      <c r="DK433" s="87">
        <v>24.0</v>
      </c>
      <c r="DL433" s="87">
        <v>274.0</v>
      </c>
      <c r="DM433" s="87">
        <v>20.0</v>
      </c>
      <c r="DN433" s="87"/>
      <c r="DO433" s="87">
        <v>625.0</v>
      </c>
      <c r="DP433" s="87">
        <v>543.0</v>
      </c>
      <c r="DQ433" s="87">
        <v>87.0</v>
      </c>
      <c r="DR433" s="87">
        <v>164.0</v>
      </c>
      <c r="DS433" s="87"/>
      <c r="DT433" s="87"/>
      <c r="DU433" s="87"/>
      <c r="DV433" s="87">
        <v>77.0</v>
      </c>
      <c r="DW433" s="87">
        <v>2.0</v>
      </c>
      <c r="DX433" s="87">
        <v>53.0</v>
      </c>
      <c r="DY433" s="87">
        <v>173.0</v>
      </c>
      <c r="DZ433" s="87">
        <v>5.0</v>
      </c>
      <c r="EA433" s="87">
        <v>10.0</v>
      </c>
      <c r="EB433" s="87">
        <v>34.0</v>
      </c>
      <c r="EC433" s="87">
        <v>10.0</v>
      </c>
      <c r="ED433" s="87">
        <v>1727.0</v>
      </c>
      <c r="EE433" s="87">
        <v>44.0</v>
      </c>
      <c r="EF433" s="87">
        <v>35.0</v>
      </c>
      <c r="EG433" s="87">
        <v>99.0</v>
      </c>
      <c r="EH433" s="87">
        <v>2.0</v>
      </c>
      <c r="EI433" s="87">
        <v>22.0</v>
      </c>
      <c r="EJ433" s="87">
        <v>3396.0</v>
      </c>
      <c r="EK433" s="88"/>
      <c r="EL433" s="88"/>
      <c r="EM433" s="88"/>
      <c r="EN433" s="88"/>
      <c r="EO433" s="88"/>
      <c r="EP433" s="88"/>
      <c r="EQ433" s="90"/>
    </row>
    <row r="434" ht="12.0" customHeight="1">
      <c r="A434" s="89">
        <v>1.06524017E8</v>
      </c>
      <c r="B434" s="89" t="s">
        <v>2668</v>
      </c>
      <c r="C434" s="89" t="s">
        <v>2662</v>
      </c>
      <c r="D434" s="89" t="s">
        <v>2669</v>
      </c>
      <c r="E434" s="89" t="s">
        <v>2670</v>
      </c>
      <c r="F434" s="89" t="s">
        <v>2665</v>
      </c>
      <c r="G434" s="89" t="s">
        <v>2666</v>
      </c>
      <c r="H434" s="89" t="s">
        <v>503</v>
      </c>
      <c r="I434" s="89" t="s">
        <v>543</v>
      </c>
      <c r="J434" s="89" t="s">
        <v>499</v>
      </c>
      <c r="K434" s="89" t="s">
        <v>554</v>
      </c>
      <c r="L434" s="89" t="s">
        <v>555</v>
      </c>
      <c r="M434" s="89" t="s">
        <v>2667</v>
      </c>
      <c r="N434" s="89" t="s">
        <v>547</v>
      </c>
      <c r="O434" s="87"/>
      <c r="P434" s="87"/>
      <c r="Q434" s="87">
        <v>497.0</v>
      </c>
      <c r="R434" s="87"/>
      <c r="S434" s="87"/>
      <c r="T434" s="87"/>
      <c r="U434" s="87">
        <v>204.0</v>
      </c>
      <c r="V434" s="87">
        <v>293.0</v>
      </c>
      <c r="W434" s="87"/>
      <c r="X434" s="87"/>
      <c r="Y434" s="87">
        <v>216.0</v>
      </c>
      <c r="Z434" s="87">
        <v>95.0</v>
      </c>
      <c r="AA434" s="87">
        <v>89.0</v>
      </c>
      <c r="AB434" s="87">
        <v>54.0</v>
      </c>
      <c r="AC434" s="87">
        <v>32.0</v>
      </c>
      <c r="AD434" s="87"/>
      <c r="AE434" s="87"/>
      <c r="AF434" s="87"/>
      <c r="AG434" s="87">
        <v>11.0</v>
      </c>
      <c r="AH434" s="87">
        <v>75.0</v>
      </c>
      <c r="AI434" s="87">
        <v>421.0</v>
      </c>
      <c r="AJ434" s="87">
        <v>1.0</v>
      </c>
      <c r="AK434" s="87"/>
      <c r="AL434" s="87">
        <v>11.0</v>
      </c>
      <c r="AM434" s="87"/>
      <c r="AN434" s="87">
        <v>20.0</v>
      </c>
      <c r="AO434" s="87">
        <v>398.0</v>
      </c>
      <c r="AP434" s="87">
        <v>68.0</v>
      </c>
      <c r="AQ434" s="87"/>
      <c r="AR434" s="87"/>
      <c r="AS434" s="87"/>
      <c r="AT434" s="87"/>
      <c r="AU434" s="87">
        <v>497.0</v>
      </c>
      <c r="AV434" s="87"/>
      <c r="AW434" s="87"/>
      <c r="AX434" s="87"/>
      <c r="AY434" s="87"/>
      <c r="AZ434" s="87"/>
      <c r="BA434" s="87"/>
      <c r="BB434" s="87"/>
      <c r="BC434" s="87"/>
      <c r="BD434" s="87"/>
      <c r="BE434" s="87"/>
      <c r="BF434" s="87">
        <v>497.0</v>
      </c>
      <c r="BG434" s="87"/>
      <c r="BH434" s="87"/>
      <c r="BI434" s="87">
        <v>4489.0</v>
      </c>
      <c r="BJ434" s="87"/>
      <c r="BK434" s="87">
        <v>497.0</v>
      </c>
      <c r="BL434" s="87"/>
      <c r="BM434" s="87"/>
      <c r="BN434" s="87"/>
      <c r="BO434" s="87"/>
      <c r="BP434" s="87">
        <v>404.0</v>
      </c>
      <c r="BQ434" s="87">
        <v>1.0</v>
      </c>
      <c r="BR434" s="87"/>
      <c r="BS434" s="87">
        <v>1.0</v>
      </c>
      <c r="BT434" s="87">
        <v>89.0</v>
      </c>
      <c r="BU434" s="87"/>
      <c r="BV434" s="87">
        <v>1.0</v>
      </c>
      <c r="BW434" s="87"/>
      <c r="BX434" s="87"/>
      <c r="BY434" s="87"/>
      <c r="BZ434" s="87"/>
      <c r="CA434" s="87"/>
      <c r="CB434" s="87">
        <v>1.0</v>
      </c>
      <c r="CC434" s="87"/>
      <c r="CD434" s="87"/>
      <c r="CE434" s="87"/>
      <c r="CF434" s="87"/>
      <c r="CG434" s="87"/>
      <c r="CH434" s="87">
        <v>497.0</v>
      </c>
      <c r="CI434" s="87"/>
      <c r="CJ434" s="87"/>
      <c r="CK434" s="87"/>
      <c r="CL434" s="87"/>
      <c r="CM434" s="87"/>
      <c r="CN434" s="87"/>
      <c r="CO434" s="87">
        <v>497.0</v>
      </c>
      <c r="CP434" s="87"/>
      <c r="CQ434" s="87"/>
      <c r="CR434" s="87"/>
      <c r="CS434" s="87"/>
      <c r="CT434" s="87"/>
      <c r="CU434" s="87"/>
      <c r="CV434" s="87"/>
      <c r="CW434" s="87"/>
      <c r="CX434" s="87">
        <v>497.0</v>
      </c>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v>497.0</v>
      </c>
      <c r="EE434" s="87"/>
      <c r="EF434" s="87">
        <v>1.0</v>
      </c>
      <c r="EG434" s="87">
        <v>30.0</v>
      </c>
      <c r="EH434" s="87"/>
      <c r="EI434" s="87">
        <v>1.0</v>
      </c>
      <c r="EJ434" s="87">
        <v>465.0</v>
      </c>
      <c r="EK434" s="88"/>
      <c r="EL434" s="88"/>
      <c r="EM434" s="88"/>
      <c r="EN434" s="88"/>
      <c r="EO434" s="88"/>
      <c r="EP434" s="88"/>
      <c r="EQ434" s="90"/>
    </row>
    <row r="435" ht="12.0" customHeight="1">
      <c r="A435" s="89">
        <v>1.06531059E8</v>
      </c>
      <c r="B435" s="89" t="s">
        <v>2671</v>
      </c>
      <c r="C435" s="89" t="s">
        <v>2672</v>
      </c>
      <c r="D435" s="89" t="s">
        <v>2673</v>
      </c>
      <c r="E435" s="89" t="s">
        <v>2674</v>
      </c>
      <c r="F435" s="89" t="s">
        <v>2675</v>
      </c>
      <c r="G435" s="89" t="s">
        <v>2676</v>
      </c>
      <c r="H435" s="89" t="s">
        <v>494</v>
      </c>
      <c r="I435" s="89" t="s">
        <v>543</v>
      </c>
      <c r="J435" s="89" t="s">
        <v>499</v>
      </c>
      <c r="K435" s="89" t="s">
        <v>637</v>
      </c>
      <c r="L435" s="89" t="s">
        <v>637</v>
      </c>
      <c r="M435" s="89" t="s">
        <v>2677</v>
      </c>
      <c r="N435" s="89" t="s">
        <v>714</v>
      </c>
      <c r="O435" s="87">
        <v>148.0</v>
      </c>
      <c r="P435" s="87">
        <v>90.0</v>
      </c>
      <c r="Q435" s="87"/>
      <c r="R435" s="87"/>
      <c r="S435" s="87"/>
      <c r="T435" s="87"/>
      <c r="U435" s="87">
        <v>112.0</v>
      </c>
      <c r="V435" s="87">
        <v>126.0</v>
      </c>
      <c r="W435" s="87"/>
      <c r="X435" s="87"/>
      <c r="Y435" s="87"/>
      <c r="Z435" s="87"/>
      <c r="AA435" s="87"/>
      <c r="AB435" s="87"/>
      <c r="AC435" s="87">
        <v>12.0</v>
      </c>
      <c r="AD435" s="87">
        <v>52.0</v>
      </c>
      <c r="AE435" s="87">
        <v>77.0</v>
      </c>
      <c r="AF435" s="87">
        <v>78.0</v>
      </c>
      <c r="AG435" s="87">
        <v>19.0</v>
      </c>
      <c r="AH435" s="87"/>
      <c r="AI435" s="87">
        <v>233.0</v>
      </c>
      <c r="AJ435" s="87">
        <v>5.0</v>
      </c>
      <c r="AK435" s="87"/>
      <c r="AL435" s="87"/>
      <c r="AM435" s="87"/>
      <c r="AN435" s="87"/>
      <c r="AO435" s="87">
        <v>236.0</v>
      </c>
      <c r="AP435" s="87">
        <v>2.0</v>
      </c>
      <c r="AQ435" s="87"/>
      <c r="AR435" s="87"/>
      <c r="AS435" s="87">
        <v>153.0</v>
      </c>
      <c r="AT435" s="87"/>
      <c r="AU435" s="87">
        <v>21.0</v>
      </c>
      <c r="AV435" s="87"/>
      <c r="AW435" s="87"/>
      <c r="AX435" s="87">
        <v>64.0</v>
      </c>
      <c r="AY435" s="87"/>
      <c r="AZ435" s="87"/>
      <c r="BA435" s="87"/>
      <c r="BB435" s="87"/>
      <c r="BC435" s="87"/>
      <c r="BD435" s="87"/>
      <c r="BE435" s="87">
        <v>82.0</v>
      </c>
      <c r="BF435" s="87"/>
      <c r="BG435" s="87">
        <v>156.0</v>
      </c>
      <c r="BH435" s="87"/>
      <c r="BI435" s="87">
        <v>7361.0</v>
      </c>
      <c r="BJ435" s="87"/>
      <c r="BK435" s="87">
        <v>197.0</v>
      </c>
      <c r="BL435" s="87">
        <v>41.0</v>
      </c>
      <c r="BM435" s="87"/>
      <c r="BN435" s="87"/>
      <c r="BO435" s="87"/>
      <c r="BP435" s="87">
        <v>107.0</v>
      </c>
      <c r="BQ435" s="87">
        <v>21.0</v>
      </c>
      <c r="BR435" s="87"/>
      <c r="BS435" s="87">
        <v>78.0</v>
      </c>
      <c r="BT435" s="87">
        <v>4.0</v>
      </c>
      <c r="BU435" s="87"/>
      <c r="BV435" s="87">
        <v>6.0</v>
      </c>
      <c r="BW435" s="87">
        <v>21.0</v>
      </c>
      <c r="BX435" s="87"/>
      <c r="BY435" s="87"/>
      <c r="BZ435" s="87"/>
      <c r="CA435" s="87"/>
      <c r="CB435" s="87"/>
      <c r="CC435" s="87">
        <v>1.0</v>
      </c>
      <c r="CD435" s="87"/>
      <c r="CE435" s="87"/>
      <c r="CF435" s="87"/>
      <c r="CG435" s="87">
        <v>78.0</v>
      </c>
      <c r="CH435" s="87">
        <v>160.0</v>
      </c>
      <c r="CI435" s="87"/>
      <c r="CJ435" s="87">
        <v>169.0</v>
      </c>
      <c r="CK435" s="87">
        <v>53.0</v>
      </c>
      <c r="CL435" s="87">
        <v>10.0</v>
      </c>
      <c r="CM435" s="87"/>
      <c r="CN435" s="87"/>
      <c r="CO435" s="87"/>
      <c r="CP435" s="87"/>
      <c r="CQ435" s="87">
        <v>2.0</v>
      </c>
      <c r="CR435" s="87">
        <v>4.0</v>
      </c>
      <c r="CS435" s="87"/>
      <c r="CT435" s="87">
        <v>3.0</v>
      </c>
      <c r="CU435" s="87">
        <v>9.0</v>
      </c>
      <c r="CV435" s="87">
        <v>3.0</v>
      </c>
      <c r="CW435" s="87">
        <v>14.0</v>
      </c>
      <c r="CX435" s="87">
        <v>5.0</v>
      </c>
      <c r="CY435" s="87">
        <v>9.0</v>
      </c>
      <c r="CZ435" s="87">
        <v>4.0</v>
      </c>
      <c r="DA435" s="87"/>
      <c r="DB435" s="87">
        <v>30.0</v>
      </c>
      <c r="DC435" s="87">
        <v>57.0</v>
      </c>
      <c r="DD435" s="87">
        <v>24.0</v>
      </c>
      <c r="DE435" s="87">
        <v>8.0</v>
      </c>
      <c r="DF435" s="87">
        <v>10.0</v>
      </c>
      <c r="DG435" s="87">
        <v>26.0</v>
      </c>
      <c r="DH435" s="87"/>
      <c r="DI435" s="87"/>
      <c r="DJ435" s="87"/>
      <c r="DK435" s="87">
        <v>14.0</v>
      </c>
      <c r="DL435" s="87">
        <v>22.0</v>
      </c>
      <c r="DM435" s="87"/>
      <c r="DN435" s="87"/>
      <c r="DO435" s="87">
        <v>79.0</v>
      </c>
      <c r="DP435" s="87"/>
      <c r="DQ435" s="87"/>
      <c r="DR435" s="87">
        <v>6.0</v>
      </c>
      <c r="DS435" s="87"/>
      <c r="DT435" s="87"/>
      <c r="DU435" s="87"/>
      <c r="DV435" s="87"/>
      <c r="DW435" s="87"/>
      <c r="DX435" s="87">
        <v>1.0</v>
      </c>
      <c r="DY435" s="87"/>
      <c r="DZ435" s="87"/>
      <c r="EA435" s="87"/>
      <c r="EB435" s="87"/>
      <c r="EC435" s="87"/>
      <c r="ED435" s="87">
        <v>152.0</v>
      </c>
      <c r="EE435" s="87"/>
      <c r="EF435" s="87"/>
      <c r="EG435" s="87"/>
      <c r="EH435" s="87"/>
      <c r="EI435" s="87">
        <v>3.0</v>
      </c>
      <c r="EJ435" s="87">
        <v>235.0</v>
      </c>
      <c r="EK435" s="88"/>
      <c r="EL435" s="88"/>
      <c r="EM435" s="88"/>
      <c r="EN435" s="88"/>
      <c r="EO435" s="88"/>
      <c r="EP435" s="88"/>
      <c r="EQ435" s="90"/>
    </row>
    <row r="436" ht="12.0" customHeight="1">
      <c r="A436" s="89">
        <v>1.06540734E8</v>
      </c>
      <c r="B436" s="89" t="s">
        <v>2678</v>
      </c>
      <c r="C436" s="89" t="s">
        <v>2679</v>
      </c>
      <c r="D436" s="89" t="s">
        <v>2680</v>
      </c>
      <c r="E436" s="89" t="s">
        <v>2681</v>
      </c>
      <c r="F436" s="89" t="s">
        <v>2682</v>
      </c>
      <c r="G436" s="89" t="s">
        <v>2683</v>
      </c>
      <c r="H436" s="89" t="s">
        <v>494</v>
      </c>
      <c r="I436" s="89" t="s">
        <v>543</v>
      </c>
      <c r="J436" s="89" t="s">
        <v>448</v>
      </c>
      <c r="K436" s="89" t="s">
        <v>512</v>
      </c>
      <c r="L436" s="89" t="s">
        <v>763</v>
      </c>
      <c r="M436" s="89" t="s">
        <v>2684</v>
      </c>
      <c r="N436" s="89" t="s">
        <v>441</v>
      </c>
      <c r="O436" s="87">
        <v>25428.0</v>
      </c>
      <c r="P436" s="87">
        <v>620.0</v>
      </c>
      <c r="Q436" s="87">
        <v>1364.0</v>
      </c>
      <c r="R436" s="87"/>
      <c r="S436" s="87">
        <v>493.0</v>
      </c>
      <c r="T436" s="87"/>
      <c r="U436" s="87">
        <v>12056.0</v>
      </c>
      <c r="V436" s="87">
        <v>15847.0</v>
      </c>
      <c r="W436" s="87">
        <v>2.0</v>
      </c>
      <c r="X436" s="87">
        <v>4965.0</v>
      </c>
      <c r="Y436" s="87">
        <v>513.0</v>
      </c>
      <c r="Z436" s="87">
        <v>3651.0</v>
      </c>
      <c r="AA436" s="87">
        <v>3392.0</v>
      </c>
      <c r="AB436" s="87">
        <v>2074.0</v>
      </c>
      <c r="AC436" s="87">
        <v>2771.0</v>
      </c>
      <c r="AD436" s="87">
        <v>3853.0</v>
      </c>
      <c r="AE436" s="87">
        <v>3638.0</v>
      </c>
      <c r="AF436" s="87">
        <v>3048.0</v>
      </c>
      <c r="AG436" s="87"/>
      <c r="AH436" s="87">
        <v>15254.0</v>
      </c>
      <c r="AI436" s="87">
        <v>12245.0</v>
      </c>
      <c r="AJ436" s="87">
        <v>406.0</v>
      </c>
      <c r="AK436" s="87">
        <v>95.0</v>
      </c>
      <c r="AL436" s="87">
        <v>660.0</v>
      </c>
      <c r="AM436" s="87">
        <v>32.0</v>
      </c>
      <c r="AN436" s="87">
        <v>688.0</v>
      </c>
      <c r="AO436" s="87">
        <v>25175.0</v>
      </c>
      <c r="AP436" s="87">
        <v>158.0</v>
      </c>
      <c r="AQ436" s="87">
        <v>896.0</v>
      </c>
      <c r="AR436" s="87">
        <v>201.0</v>
      </c>
      <c r="AS436" s="87">
        <v>19168.0</v>
      </c>
      <c r="AT436" s="87">
        <v>841.0</v>
      </c>
      <c r="AU436" s="87">
        <v>367.0</v>
      </c>
      <c r="AV436" s="87">
        <v>342.0</v>
      </c>
      <c r="AW436" s="87">
        <v>308.0</v>
      </c>
      <c r="AX436" s="87">
        <v>2268.0</v>
      </c>
      <c r="AY436" s="87">
        <v>21.0</v>
      </c>
      <c r="AZ436" s="87">
        <v>1.0</v>
      </c>
      <c r="BA436" s="87">
        <v>32.0</v>
      </c>
      <c r="BB436" s="87">
        <v>11.0</v>
      </c>
      <c r="BC436" s="87">
        <v>4543.0</v>
      </c>
      <c r="BD436" s="87">
        <v>3.0</v>
      </c>
      <c r="BE436" s="87">
        <v>14671.0</v>
      </c>
      <c r="BF436" s="87"/>
      <c r="BG436" s="87">
        <v>13234.0</v>
      </c>
      <c r="BH436" s="87"/>
      <c r="BI436" s="87">
        <v>165558.0</v>
      </c>
      <c r="BJ436" s="87">
        <v>7021.0</v>
      </c>
      <c r="BK436" s="87">
        <v>10537.0</v>
      </c>
      <c r="BL436" s="87">
        <v>5332.0</v>
      </c>
      <c r="BM436" s="87">
        <v>4543.0</v>
      </c>
      <c r="BN436" s="87">
        <v>472.0</v>
      </c>
      <c r="BO436" s="87"/>
      <c r="BP436" s="87">
        <v>19003.0</v>
      </c>
      <c r="BQ436" s="87">
        <v>473.0</v>
      </c>
      <c r="BR436" s="87">
        <v>561.0</v>
      </c>
      <c r="BS436" s="87">
        <v>2118.0</v>
      </c>
      <c r="BT436" s="87">
        <v>233.0</v>
      </c>
      <c r="BU436" s="87">
        <v>74.0</v>
      </c>
      <c r="BV436" s="87">
        <v>561.0</v>
      </c>
      <c r="BW436" s="87">
        <v>768.0</v>
      </c>
      <c r="BX436" s="87">
        <v>3484.0</v>
      </c>
      <c r="BY436" s="87"/>
      <c r="BZ436" s="87">
        <v>67.0</v>
      </c>
      <c r="CA436" s="87">
        <v>353.0</v>
      </c>
      <c r="CB436" s="87">
        <v>183.0</v>
      </c>
      <c r="CC436" s="87"/>
      <c r="CD436" s="87"/>
      <c r="CE436" s="87"/>
      <c r="CF436" s="87">
        <v>27.0</v>
      </c>
      <c r="CG436" s="87">
        <v>1811.0</v>
      </c>
      <c r="CH436" s="87">
        <v>26094.0</v>
      </c>
      <c r="CI436" s="87"/>
      <c r="CJ436" s="87">
        <v>9335.0</v>
      </c>
      <c r="CK436" s="87">
        <v>11603.0</v>
      </c>
      <c r="CL436" s="87">
        <v>6089.0</v>
      </c>
      <c r="CM436" s="87">
        <v>98.0</v>
      </c>
      <c r="CN436" s="87">
        <v>46.0</v>
      </c>
      <c r="CO436" s="87">
        <v>483.0</v>
      </c>
      <c r="CP436" s="87"/>
      <c r="CQ436" s="87">
        <v>251.0</v>
      </c>
      <c r="CR436" s="87"/>
      <c r="CS436" s="87"/>
      <c r="CT436" s="87">
        <v>1698.0</v>
      </c>
      <c r="CU436" s="87">
        <v>487.0</v>
      </c>
      <c r="CV436" s="87">
        <v>90.0</v>
      </c>
      <c r="CW436" s="87">
        <v>1273.0</v>
      </c>
      <c r="CX436" s="87">
        <v>1788.0</v>
      </c>
      <c r="CY436" s="87">
        <v>611.0</v>
      </c>
      <c r="CZ436" s="87">
        <v>11.0</v>
      </c>
      <c r="DA436" s="87">
        <v>18.0</v>
      </c>
      <c r="DB436" s="87">
        <v>3509.0</v>
      </c>
      <c r="DC436" s="87">
        <v>1426.0</v>
      </c>
      <c r="DD436" s="87">
        <v>2104.0</v>
      </c>
      <c r="DE436" s="87">
        <v>371.0</v>
      </c>
      <c r="DF436" s="87">
        <v>825.0</v>
      </c>
      <c r="DG436" s="87">
        <v>1241.0</v>
      </c>
      <c r="DH436" s="87">
        <v>4837.0</v>
      </c>
      <c r="DI436" s="87">
        <v>4615.0</v>
      </c>
      <c r="DJ436" s="87">
        <v>15.0</v>
      </c>
      <c r="DK436" s="87">
        <v>296.0</v>
      </c>
      <c r="DL436" s="87">
        <v>2211.0</v>
      </c>
      <c r="DM436" s="87">
        <v>474.0</v>
      </c>
      <c r="DN436" s="87">
        <v>5.0</v>
      </c>
      <c r="DO436" s="87">
        <v>1345.0</v>
      </c>
      <c r="DP436" s="87">
        <v>4622.0</v>
      </c>
      <c r="DQ436" s="87">
        <v>2818.0</v>
      </c>
      <c r="DR436" s="87">
        <v>1792.0</v>
      </c>
      <c r="DS436" s="87">
        <v>1.0</v>
      </c>
      <c r="DT436" s="87">
        <v>16.0</v>
      </c>
      <c r="DU436" s="87">
        <v>2.0</v>
      </c>
      <c r="DV436" s="87">
        <v>139.0</v>
      </c>
      <c r="DW436" s="87">
        <v>46.0</v>
      </c>
      <c r="DX436" s="87">
        <v>434.0</v>
      </c>
      <c r="DY436" s="87">
        <v>1530.0</v>
      </c>
      <c r="DZ436" s="87">
        <v>393.0</v>
      </c>
      <c r="EA436" s="87">
        <v>284.0</v>
      </c>
      <c r="EB436" s="87">
        <v>347.0</v>
      </c>
      <c r="EC436" s="87">
        <v>171.0</v>
      </c>
      <c r="ED436" s="87">
        <v>13712.0</v>
      </c>
      <c r="EE436" s="87">
        <v>253.0</v>
      </c>
      <c r="EF436" s="87">
        <v>4.0</v>
      </c>
      <c r="EG436" s="87">
        <v>841.0</v>
      </c>
      <c r="EH436" s="87">
        <v>3.0</v>
      </c>
      <c r="EI436" s="87">
        <v>114.0</v>
      </c>
      <c r="EJ436" s="87">
        <v>26943.0</v>
      </c>
      <c r="EK436" s="88"/>
      <c r="EL436" s="88"/>
      <c r="EM436" s="88"/>
      <c r="EN436" s="88"/>
      <c r="EO436" s="88"/>
      <c r="EP436" s="88"/>
      <c r="EQ436" s="90"/>
    </row>
    <row r="437" ht="12.0" customHeight="1">
      <c r="A437" s="89">
        <v>1.06540798E8</v>
      </c>
      <c r="B437" s="89" t="s">
        <v>2685</v>
      </c>
      <c r="C437" s="89" t="s">
        <v>2679</v>
      </c>
      <c r="D437" s="89" t="s">
        <v>2686</v>
      </c>
      <c r="E437" s="89" t="s">
        <v>2687</v>
      </c>
      <c r="F437" s="89" t="s">
        <v>2688</v>
      </c>
      <c r="G437" s="89" t="s">
        <v>2689</v>
      </c>
      <c r="H437" s="89" t="s">
        <v>494</v>
      </c>
      <c r="I437" s="89" t="s">
        <v>543</v>
      </c>
      <c r="J437" s="89" t="s">
        <v>457</v>
      </c>
      <c r="K437" s="89" t="s">
        <v>591</v>
      </c>
      <c r="L437" s="89" t="s">
        <v>763</v>
      </c>
      <c r="M437" s="89" t="s">
        <v>2690</v>
      </c>
      <c r="N437" s="89" t="s">
        <v>547</v>
      </c>
      <c r="O437" s="87">
        <v>6824.0</v>
      </c>
      <c r="P437" s="87">
        <v>30.0</v>
      </c>
      <c r="Q437" s="87"/>
      <c r="R437" s="87"/>
      <c r="S437" s="87"/>
      <c r="T437" s="87"/>
      <c r="U437" s="87">
        <v>2796.0</v>
      </c>
      <c r="V437" s="87">
        <v>4057.0</v>
      </c>
      <c r="W437" s="87">
        <v>1.0</v>
      </c>
      <c r="X437" s="87">
        <v>1482.0</v>
      </c>
      <c r="Y437" s="87">
        <v>160.0</v>
      </c>
      <c r="Z437" s="87">
        <v>947.0</v>
      </c>
      <c r="AA437" s="87">
        <v>759.0</v>
      </c>
      <c r="AB437" s="87">
        <v>500.0</v>
      </c>
      <c r="AC437" s="87">
        <v>638.0</v>
      </c>
      <c r="AD437" s="87">
        <v>819.0</v>
      </c>
      <c r="AE437" s="87">
        <v>836.0</v>
      </c>
      <c r="AF437" s="87">
        <v>713.0</v>
      </c>
      <c r="AG437" s="87"/>
      <c r="AH437" s="87">
        <v>4252.0</v>
      </c>
      <c r="AI437" s="87">
        <v>2560.0</v>
      </c>
      <c r="AJ437" s="87">
        <v>42.0</v>
      </c>
      <c r="AK437" s="87">
        <v>149.0</v>
      </c>
      <c r="AL437" s="87">
        <v>144.0</v>
      </c>
      <c r="AM437" s="87">
        <v>20.0</v>
      </c>
      <c r="AN437" s="87">
        <v>85.0</v>
      </c>
      <c r="AO437" s="87">
        <v>2122.0</v>
      </c>
      <c r="AP437" s="87">
        <v>20.0</v>
      </c>
      <c r="AQ437" s="87">
        <v>4282.0</v>
      </c>
      <c r="AR437" s="87">
        <v>32.0</v>
      </c>
      <c r="AS437" s="87">
        <v>4904.0</v>
      </c>
      <c r="AT437" s="87">
        <v>222.0</v>
      </c>
      <c r="AU437" s="87">
        <v>54.0</v>
      </c>
      <c r="AV437" s="87">
        <v>329.0</v>
      </c>
      <c r="AW437" s="87">
        <v>1.0</v>
      </c>
      <c r="AX437" s="87">
        <v>5.0</v>
      </c>
      <c r="AY437" s="87">
        <v>1.0</v>
      </c>
      <c r="AZ437" s="87"/>
      <c r="BA437" s="87">
        <v>12.0</v>
      </c>
      <c r="BB437" s="87">
        <v>1.0</v>
      </c>
      <c r="BC437" s="87">
        <v>1325.0</v>
      </c>
      <c r="BD437" s="87"/>
      <c r="BE437" s="87">
        <v>3975.0</v>
      </c>
      <c r="BF437" s="87">
        <v>1.0</v>
      </c>
      <c r="BG437" s="87">
        <v>2878.0</v>
      </c>
      <c r="BH437" s="87"/>
      <c r="BI437" s="87">
        <v>33685.0</v>
      </c>
      <c r="BJ437" s="87">
        <v>1333.0</v>
      </c>
      <c r="BK437" s="87">
        <v>2673.0</v>
      </c>
      <c r="BL437" s="87">
        <v>1523.0</v>
      </c>
      <c r="BM437" s="87">
        <v>1325.0</v>
      </c>
      <c r="BN437" s="87"/>
      <c r="BO437" s="87"/>
      <c r="BP437" s="87">
        <v>4956.0</v>
      </c>
      <c r="BQ437" s="87">
        <v>161.0</v>
      </c>
      <c r="BR437" s="87">
        <v>6.0</v>
      </c>
      <c r="BS437" s="87">
        <v>650.0</v>
      </c>
      <c r="BT437" s="87">
        <v>32.0</v>
      </c>
      <c r="BU437" s="87">
        <v>7.0</v>
      </c>
      <c r="BV437" s="87">
        <v>144.0</v>
      </c>
      <c r="BW437" s="87">
        <v>204.0</v>
      </c>
      <c r="BX437" s="87">
        <v>569.0</v>
      </c>
      <c r="BY437" s="87"/>
      <c r="BZ437" s="87">
        <v>29.0</v>
      </c>
      <c r="CA437" s="87">
        <v>76.0</v>
      </c>
      <c r="CB437" s="87">
        <v>9.0</v>
      </c>
      <c r="CC437" s="87"/>
      <c r="CD437" s="87">
        <v>11.0</v>
      </c>
      <c r="CE437" s="87"/>
      <c r="CF437" s="87"/>
      <c r="CG437" s="87">
        <v>596.0</v>
      </c>
      <c r="CH437" s="87">
        <v>6258.0</v>
      </c>
      <c r="CI437" s="87"/>
      <c r="CJ437" s="87">
        <v>2126.0</v>
      </c>
      <c r="CK437" s="87">
        <v>3734.0</v>
      </c>
      <c r="CL437" s="87">
        <v>900.0</v>
      </c>
      <c r="CM437" s="87">
        <v>6.0</v>
      </c>
      <c r="CN437" s="87"/>
      <c r="CO437" s="87">
        <v>44.0</v>
      </c>
      <c r="CP437" s="87"/>
      <c r="CQ437" s="87">
        <v>43.0</v>
      </c>
      <c r="CR437" s="87">
        <v>1.0</v>
      </c>
      <c r="CS437" s="87"/>
      <c r="CT437" s="87">
        <v>822.0</v>
      </c>
      <c r="CU437" s="87">
        <v>96.0</v>
      </c>
      <c r="CV437" s="87">
        <v>26.0</v>
      </c>
      <c r="CW437" s="87">
        <v>237.0</v>
      </c>
      <c r="CX437" s="87">
        <v>96.0</v>
      </c>
      <c r="CY437" s="87">
        <v>147.0</v>
      </c>
      <c r="CZ437" s="87">
        <v>2.0</v>
      </c>
      <c r="DA437" s="87">
        <v>7.0</v>
      </c>
      <c r="DB437" s="87">
        <v>638.0</v>
      </c>
      <c r="DC437" s="87">
        <v>483.0</v>
      </c>
      <c r="DD437" s="87">
        <v>692.0</v>
      </c>
      <c r="DE437" s="87">
        <v>83.0</v>
      </c>
      <c r="DF437" s="87">
        <v>85.0</v>
      </c>
      <c r="DG437" s="87">
        <v>382.0</v>
      </c>
      <c r="DH437" s="87">
        <v>1371.0</v>
      </c>
      <c r="DI437" s="87">
        <v>1363.0</v>
      </c>
      <c r="DJ437" s="87"/>
      <c r="DK437" s="87">
        <v>66.0</v>
      </c>
      <c r="DL437" s="87">
        <v>255.0</v>
      </c>
      <c r="DM437" s="87">
        <v>3.0</v>
      </c>
      <c r="DN437" s="87"/>
      <c r="DO437" s="87">
        <v>2211.0</v>
      </c>
      <c r="DP437" s="87">
        <v>1343.0</v>
      </c>
      <c r="DQ437" s="87">
        <v>329.0</v>
      </c>
      <c r="DR437" s="87">
        <v>569.0</v>
      </c>
      <c r="DS437" s="87"/>
      <c r="DT437" s="87">
        <v>3.0</v>
      </c>
      <c r="DU437" s="87"/>
      <c r="DV437" s="87">
        <v>73.0</v>
      </c>
      <c r="DW437" s="87">
        <v>3.0</v>
      </c>
      <c r="DX437" s="87">
        <v>97.0</v>
      </c>
      <c r="DY437" s="87">
        <v>234.0</v>
      </c>
      <c r="DZ437" s="87">
        <v>45.0</v>
      </c>
      <c r="EA437" s="87">
        <v>3.0</v>
      </c>
      <c r="EB437" s="87">
        <v>90.0</v>
      </c>
      <c r="EC437" s="87">
        <v>271.0</v>
      </c>
      <c r="ED437" s="87">
        <v>1469.0</v>
      </c>
      <c r="EE437" s="87">
        <v>114.0</v>
      </c>
      <c r="EF437" s="87">
        <v>2.0</v>
      </c>
      <c r="EG437" s="87">
        <v>34.0</v>
      </c>
      <c r="EH437" s="87"/>
      <c r="EI437" s="87">
        <v>17.0</v>
      </c>
      <c r="EJ437" s="87">
        <v>6801.0</v>
      </c>
      <c r="EK437" s="88"/>
      <c r="EL437" s="88"/>
      <c r="EM437" s="88"/>
      <c r="EN437" s="88"/>
      <c r="EO437" s="88"/>
      <c r="EP437" s="88"/>
      <c r="EQ437" s="90"/>
    </row>
    <row r="438" ht="12.0" customHeight="1">
      <c r="A438" s="89">
        <v>1.06540816E8</v>
      </c>
      <c r="B438" s="89" t="s">
        <v>2691</v>
      </c>
      <c r="C438" s="89" t="s">
        <v>2679</v>
      </c>
      <c r="D438" s="89" t="s">
        <v>2692</v>
      </c>
      <c r="E438" s="89" t="s">
        <v>2693</v>
      </c>
      <c r="F438" s="89" t="s">
        <v>2679</v>
      </c>
      <c r="G438" s="89" t="s">
        <v>2694</v>
      </c>
      <c r="H438" s="89" t="s">
        <v>447</v>
      </c>
      <c r="I438" s="89" t="s">
        <v>543</v>
      </c>
      <c r="J438" s="89" t="s">
        <v>437</v>
      </c>
      <c r="K438" s="89" t="s">
        <v>512</v>
      </c>
      <c r="L438" s="89" t="s">
        <v>763</v>
      </c>
      <c r="M438" s="89" t="s">
        <v>2695</v>
      </c>
      <c r="N438" s="89" t="s">
        <v>547</v>
      </c>
      <c r="O438" s="87">
        <v>2272.0</v>
      </c>
      <c r="P438" s="87"/>
      <c r="Q438" s="87"/>
      <c r="R438" s="87"/>
      <c r="S438" s="87"/>
      <c r="T438" s="87">
        <v>2.0</v>
      </c>
      <c r="U438" s="87">
        <v>1005.0</v>
      </c>
      <c r="V438" s="87">
        <v>1269.0</v>
      </c>
      <c r="W438" s="87"/>
      <c r="X438" s="87">
        <v>237.0</v>
      </c>
      <c r="Y438" s="87">
        <v>37.0</v>
      </c>
      <c r="Z438" s="87">
        <v>281.0</v>
      </c>
      <c r="AA438" s="87">
        <v>276.0</v>
      </c>
      <c r="AB438" s="87">
        <v>231.0</v>
      </c>
      <c r="AC438" s="87">
        <v>306.0</v>
      </c>
      <c r="AD438" s="87">
        <v>286.0</v>
      </c>
      <c r="AE438" s="87">
        <v>314.0</v>
      </c>
      <c r="AF438" s="87">
        <v>306.0</v>
      </c>
      <c r="AG438" s="87"/>
      <c r="AH438" s="87">
        <v>1163.0</v>
      </c>
      <c r="AI438" s="87">
        <v>955.0</v>
      </c>
      <c r="AJ438" s="87">
        <v>156.0</v>
      </c>
      <c r="AK438" s="87"/>
      <c r="AL438" s="87">
        <v>13.0</v>
      </c>
      <c r="AM438" s="87"/>
      <c r="AN438" s="87">
        <v>65.0</v>
      </c>
      <c r="AO438" s="87">
        <v>1923.0</v>
      </c>
      <c r="AP438" s="87">
        <v>141.0</v>
      </c>
      <c r="AQ438" s="87">
        <v>117.0</v>
      </c>
      <c r="AR438" s="87">
        <v>15.0</v>
      </c>
      <c r="AS438" s="87">
        <v>1778.0</v>
      </c>
      <c r="AT438" s="87">
        <v>92.0</v>
      </c>
      <c r="AU438" s="87">
        <v>114.0</v>
      </c>
      <c r="AV438" s="87">
        <v>37.0</v>
      </c>
      <c r="AW438" s="87">
        <v>1.0</v>
      </c>
      <c r="AX438" s="87">
        <v>1.0</v>
      </c>
      <c r="AY438" s="87">
        <v>3.0</v>
      </c>
      <c r="AZ438" s="87"/>
      <c r="BA438" s="87">
        <v>1.0</v>
      </c>
      <c r="BB438" s="87">
        <v>11.0</v>
      </c>
      <c r="BC438" s="87">
        <v>236.0</v>
      </c>
      <c r="BD438" s="87"/>
      <c r="BE438" s="87">
        <v>1901.0</v>
      </c>
      <c r="BF438" s="87"/>
      <c r="BG438" s="87">
        <v>373.0</v>
      </c>
      <c r="BH438" s="87"/>
      <c r="BI438" s="87">
        <v>9649.0</v>
      </c>
      <c r="BJ438" s="87">
        <v>1505.0</v>
      </c>
      <c r="BK438" s="87">
        <v>347.0</v>
      </c>
      <c r="BL438" s="87">
        <v>137.0</v>
      </c>
      <c r="BM438" s="87">
        <v>236.0</v>
      </c>
      <c r="BN438" s="87">
        <v>49.0</v>
      </c>
      <c r="BO438" s="87"/>
      <c r="BP438" s="87">
        <v>1403.0</v>
      </c>
      <c r="BQ438" s="87">
        <v>69.0</v>
      </c>
      <c r="BR438" s="87"/>
      <c r="BS438" s="87">
        <v>271.0</v>
      </c>
      <c r="BT438" s="87">
        <v>5.0</v>
      </c>
      <c r="BU438" s="87">
        <v>1.0</v>
      </c>
      <c r="BV438" s="87">
        <v>116.0</v>
      </c>
      <c r="BW438" s="87">
        <v>43.0</v>
      </c>
      <c r="BX438" s="87">
        <v>326.0</v>
      </c>
      <c r="BY438" s="87"/>
      <c r="BZ438" s="87">
        <v>1.0</v>
      </c>
      <c r="CA438" s="87">
        <v>38.0</v>
      </c>
      <c r="CB438" s="87">
        <v>1.0</v>
      </c>
      <c r="CC438" s="87"/>
      <c r="CD438" s="87"/>
      <c r="CE438" s="87"/>
      <c r="CF438" s="87"/>
      <c r="CG438" s="87">
        <v>201.0</v>
      </c>
      <c r="CH438" s="87">
        <v>2073.0</v>
      </c>
      <c r="CI438" s="87"/>
      <c r="CJ438" s="87">
        <v>801.0</v>
      </c>
      <c r="CK438" s="87">
        <v>1080.0</v>
      </c>
      <c r="CL438" s="87">
        <v>317.0</v>
      </c>
      <c r="CM438" s="87">
        <v>26.0</v>
      </c>
      <c r="CN438" s="87"/>
      <c r="CO438" s="87"/>
      <c r="CP438" s="87"/>
      <c r="CQ438" s="87"/>
      <c r="CR438" s="87">
        <v>50.0</v>
      </c>
      <c r="CS438" s="87"/>
      <c r="CT438" s="87">
        <v>361.0</v>
      </c>
      <c r="CU438" s="87">
        <v>16.0</v>
      </c>
      <c r="CV438" s="87">
        <v>8.0</v>
      </c>
      <c r="CW438" s="87">
        <v>192.0</v>
      </c>
      <c r="CX438" s="87">
        <v>27.0</v>
      </c>
      <c r="CY438" s="87">
        <v>67.0</v>
      </c>
      <c r="CZ438" s="87">
        <v>1.0</v>
      </c>
      <c r="DA438" s="87">
        <v>4.0</v>
      </c>
      <c r="DB438" s="87">
        <v>207.0</v>
      </c>
      <c r="DC438" s="87">
        <v>150.0</v>
      </c>
      <c r="DD438" s="87">
        <v>249.0</v>
      </c>
      <c r="DE438" s="87">
        <v>42.0</v>
      </c>
      <c r="DF438" s="87">
        <v>69.0</v>
      </c>
      <c r="DG438" s="87">
        <v>110.0</v>
      </c>
      <c r="DH438" s="87">
        <v>265.0</v>
      </c>
      <c r="DI438" s="87">
        <v>237.0</v>
      </c>
      <c r="DJ438" s="87"/>
      <c r="DK438" s="87">
        <v>22.0</v>
      </c>
      <c r="DL438" s="87">
        <v>242.0</v>
      </c>
      <c r="DM438" s="87">
        <v>5.0</v>
      </c>
      <c r="DN438" s="87"/>
      <c r="DO438" s="87">
        <v>457.0</v>
      </c>
      <c r="DP438" s="87">
        <v>242.0</v>
      </c>
      <c r="DQ438" s="87">
        <v>98.0</v>
      </c>
      <c r="DR438" s="87">
        <v>160.0</v>
      </c>
      <c r="DS438" s="87"/>
      <c r="DT438" s="87">
        <v>12.0</v>
      </c>
      <c r="DU438" s="87"/>
      <c r="DV438" s="87">
        <v>6.0</v>
      </c>
      <c r="DW438" s="87">
        <v>1.0</v>
      </c>
      <c r="DX438" s="87">
        <v>82.0</v>
      </c>
      <c r="DY438" s="87">
        <v>212.0</v>
      </c>
      <c r="DZ438" s="87">
        <v>12.0</v>
      </c>
      <c r="EA438" s="87">
        <v>3.0</v>
      </c>
      <c r="EB438" s="87">
        <v>11.0</v>
      </c>
      <c r="EC438" s="87">
        <v>6.0</v>
      </c>
      <c r="ED438" s="87">
        <v>935.0</v>
      </c>
      <c r="EE438" s="87">
        <v>37.0</v>
      </c>
      <c r="EF438" s="87"/>
      <c r="EG438" s="87">
        <v>57.0</v>
      </c>
      <c r="EH438" s="87"/>
      <c r="EI438" s="87">
        <v>6.0</v>
      </c>
      <c r="EJ438" s="87">
        <v>2211.0</v>
      </c>
      <c r="EK438" s="88"/>
      <c r="EL438" s="88"/>
      <c r="EM438" s="88"/>
      <c r="EN438" s="88"/>
      <c r="EO438" s="88"/>
      <c r="EP438" s="88"/>
      <c r="EQ438" s="90"/>
    </row>
    <row r="439" ht="12.0" customHeight="1">
      <c r="A439" s="89">
        <v>1.06554011E8</v>
      </c>
      <c r="B439" s="89" t="s">
        <v>2696</v>
      </c>
      <c r="C439" s="89" t="s">
        <v>2697</v>
      </c>
      <c r="D439" s="89" t="s">
        <v>2698</v>
      </c>
      <c r="E439" s="89" t="s">
        <v>2699</v>
      </c>
      <c r="F439" s="89" t="s">
        <v>2700</v>
      </c>
      <c r="G439" s="89" t="s">
        <v>2701</v>
      </c>
      <c r="H439" s="89" t="s">
        <v>447</v>
      </c>
      <c r="I439" s="89" t="s">
        <v>543</v>
      </c>
      <c r="J439" s="89" t="s">
        <v>463</v>
      </c>
      <c r="K439" s="89" t="s">
        <v>544</v>
      </c>
      <c r="L439" s="89" t="s">
        <v>545</v>
      </c>
      <c r="M439" s="89" t="s">
        <v>2702</v>
      </c>
      <c r="N439" s="89" t="s">
        <v>547</v>
      </c>
      <c r="O439" s="87">
        <v>4388.0</v>
      </c>
      <c r="P439" s="87">
        <v>37.0</v>
      </c>
      <c r="Q439" s="87"/>
      <c r="R439" s="87"/>
      <c r="S439" s="87"/>
      <c r="T439" s="87"/>
      <c r="U439" s="87">
        <v>1946.0</v>
      </c>
      <c r="V439" s="87">
        <v>2477.0</v>
      </c>
      <c r="W439" s="87">
        <v>2.0</v>
      </c>
      <c r="X439" s="87">
        <v>516.0</v>
      </c>
      <c r="Y439" s="87">
        <v>34.0</v>
      </c>
      <c r="Z439" s="87">
        <v>320.0</v>
      </c>
      <c r="AA439" s="87">
        <v>353.0</v>
      </c>
      <c r="AB439" s="87">
        <v>205.0</v>
      </c>
      <c r="AC439" s="87">
        <v>365.0</v>
      </c>
      <c r="AD439" s="87">
        <v>843.0</v>
      </c>
      <c r="AE439" s="87">
        <v>932.0</v>
      </c>
      <c r="AF439" s="87">
        <v>856.0</v>
      </c>
      <c r="AG439" s="87">
        <v>1.0</v>
      </c>
      <c r="AH439" s="87">
        <v>202.0</v>
      </c>
      <c r="AI439" s="87">
        <v>4157.0</v>
      </c>
      <c r="AJ439" s="87">
        <v>66.0</v>
      </c>
      <c r="AK439" s="87">
        <v>11.0</v>
      </c>
      <c r="AL439" s="87">
        <v>19.0</v>
      </c>
      <c r="AM439" s="87"/>
      <c r="AN439" s="87">
        <v>19.0</v>
      </c>
      <c r="AO439" s="87">
        <v>3982.0</v>
      </c>
      <c r="AP439" s="87">
        <v>293.0</v>
      </c>
      <c r="AQ439" s="87">
        <v>101.0</v>
      </c>
      <c r="AR439" s="87"/>
      <c r="AS439" s="87">
        <v>3684.0</v>
      </c>
      <c r="AT439" s="87">
        <v>136.0</v>
      </c>
      <c r="AU439" s="87">
        <v>14.0</v>
      </c>
      <c r="AV439" s="87">
        <v>32.0</v>
      </c>
      <c r="AW439" s="87">
        <v>3.0</v>
      </c>
      <c r="AX439" s="87">
        <v>44.0</v>
      </c>
      <c r="AY439" s="87">
        <v>4.0</v>
      </c>
      <c r="AZ439" s="87"/>
      <c r="BA439" s="87">
        <v>17.0</v>
      </c>
      <c r="BB439" s="87"/>
      <c r="BC439" s="87">
        <v>491.0</v>
      </c>
      <c r="BD439" s="87"/>
      <c r="BE439" s="87">
        <v>3101.0</v>
      </c>
      <c r="BF439" s="87">
        <v>3.0</v>
      </c>
      <c r="BG439" s="87">
        <v>1311.0</v>
      </c>
      <c r="BH439" s="87">
        <v>10.0</v>
      </c>
      <c r="BI439" s="87">
        <v>35605.0</v>
      </c>
      <c r="BJ439" s="87">
        <v>2777.0</v>
      </c>
      <c r="BK439" s="87">
        <v>340.0</v>
      </c>
      <c r="BL439" s="87">
        <v>805.0</v>
      </c>
      <c r="BM439" s="87">
        <v>491.0</v>
      </c>
      <c r="BN439" s="87">
        <v>12.0</v>
      </c>
      <c r="BO439" s="87"/>
      <c r="BP439" s="87">
        <v>2875.0</v>
      </c>
      <c r="BQ439" s="87">
        <v>208.0</v>
      </c>
      <c r="BR439" s="87">
        <v>57.0</v>
      </c>
      <c r="BS439" s="87">
        <v>480.0</v>
      </c>
      <c r="BT439" s="87">
        <v>11.0</v>
      </c>
      <c r="BU439" s="87">
        <v>12.0</v>
      </c>
      <c r="BV439" s="87">
        <v>69.0</v>
      </c>
      <c r="BW439" s="87">
        <v>163.0</v>
      </c>
      <c r="BX439" s="87">
        <v>446.0</v>
      </c>
      <c r="BY439" s="87"/>
      <c r="BZ439" s="87">
        <v>1.0</v>
      </c>
      <c r="CA439" s="87">
        <v>79.0</v>
      </c>
      <c r="CB439" s="87">
        <v>8.0</v>
      </c>
      <c r="CC439" s="87"/>
      <c r="CD439" s="87">
        <v>9.0</v>
      </c>
      <c r="CE439" s="87">
        <v>6.0</v>
      </c>
      <c r="CF439" s="87">
        <v>1.0</v>
      </c>
      <c r="CG439" s="87">
        <v>612.0</v>
      </c>
      <c r="CH439" s="87">
        <v>3813.0</v>
      </c>
      <c r="CI439" s="87"/>
      <c r="CJ439" s="87">
        <v>2256.0</v>
      </c>
      <c r="CK439" s="87">
        <v>1021.0</v>
      </c>
      <c r="CL439" s="87">
        <v>898.0</v>
      </c>
      <c r="CM439" s="87">
        <v>28.0</v>
      </c>
      <c r="CN439" s="87"/>
      <c r="CO439" s="87">
        <v>188.0</v>
      </c>
      <c r="CP439" s="87"/>
      <c r="CQ439" s="87">
        <v>34.0</v>
      </c>
      <c r="CR439" s="87"/>
      <c r="CS439" s="87"/>
      <c r="CT439" s="87">
        <v>783.0</v>
      </c>
      <c r="CU439" s="87">
        <v>102.0</v>
      </c>
      <c r="CV439" s="87">
        <v>13.0</v>
      </c>
      <c r="CW439" s="87">
        <v>156.0</v>
      </c>
      <c r="CX439" s="87">
        <v>58.0</v>
      </c>
      <c r="CY439" s="87">
        <v>78.0</v>
      </c>
      <c r="CZ439" s="87">
        <v>2.0</v>
      </c>
      <c r="DA439" s="87">
        <v>3.0</v>
      </c>
      <c r="DB439" s="87">
        <v>560.0</v>
      </c>
      <c r="DC439" s="87">
        <v>300.0</v>
      </c>
      <c r="DD439" s="87">
        <v>431.0</v>
      </c>
      <c r="DE439" s="87">
        <v>67.0</v>
      </c>
      <c r="DF439" s="87">
        <v>217.0</v>
      </c>
      <c r="DG439" s="87">
        <v>155.0</v>
      </c>
      <c r="DH439" s="87">
        <v>529.0</v>
      </c>
      <c r="DI439" s="87">
        <v>507.0</v>
      </c>
      <c r="DJ439" s="87">
        <v>2.0</v>
      </c>
      <c r="DK439" s="87">
        <v>55.0</v>
      </c>
      <c r="DL439" s="87">
        <v>373.0</v>
      </c>
      <c r="DM439" s="87">
        <v>32.0</v>
      </c>
      <c r="DN439" s="87">
        <v>2.0</v>
      </c>
      <c r="DO439" s="87">
        <v>1023.0</v>
      </c>
      <c r="DP439" s="87">
        <v>510.0</v>
      </c>
      <c r="DQ439" s="87">
        <v>306.0</v>
      </c>
      <c r="DR439" s="87">
        <v>333.0</v>
      </c>
      <c r="DS439" s="87">
        <v>6.0</v>
      </c>
      <c r="DT439" s="87"/>
      <c r="DU439" s="87"/>
      <c r="DV439" s="87">
        <v>22.0</v>
      </c>
      <c r="DW439" s="87">
        <v>4.0</v>
      </c>
      <c r="DX439" s="87">
        <v>80.0</v>
      </c>
      <c r="DY439" s="87">
        <v>476.0</v>
      </c>
      <c r="DZ439" s="87">
        <v>38.0</v>
      </c>
      <c r="EA439" s="87">
        <v>38.0</v>
      </c>
      <c r="EB439" s="87">
        <v>102.0</v>
      </c>
      <c r="EC439" s="87">
        <v>48.0</v>
      </c>
      <c r="ED439" s="87">
        <v>1409.0</v>
      </c>
      <c r="EE439" s="87">
        <v>30.0</v>
      </c>
      <c r="EF439" s="87">
        <v>11.0</v>
      </c>
      <c r="EG439" s="87">
        <v>61.0</v>
      </c>
      <c r="EH439" s="87"/>
      <c r="EI439" s="87">
        <v>27.0</v>
      </c>
      <c r="EJ439" s="87">
        <v>4326.0</v>
      </c>
      <c r="EK439" s="88"/>
      <c r="EL439" s="88"/>
      <c r="EM439" s="88"/>
      <c r="EN439" s="88"/>
      <c r="EO439" s="88"/>
      <c r="EP439" s="88"/>
      <c r="EQ439" s="90"/>
    </row>
    <row r="440" ht="12.0" customHeight="1">
      <c r="A440" s="89">
        <v>1.06560203E8</v>
      </c>
      <c r="B440" s="89" t="s">
        <v>2703</v>
      </c>
      <c r="C440" s="89" t="s">
        <v>2704</v>
      </c>
      <c r="D440" s="89" t="s">
        <v>2705</v>
      </c>
      <c r="E440" s="89" t="s">
        <v>2706</v>
      </c>
      <c r="F440" s="89" t="s">
        <v>2704</v>
      </c>
      <c r="G440" s="89" t="s">
        <v>2707</v>
      </c>
      <c r="H440" s="89" t="s">
        <v>475</v>
      </c>
      <c r="I440" s="89" t="s">
        <v>543</v>
      </c>
      <c r="J440" s="89" t="s">
        <v>463</v>
      </c>
      <c r="K440" s="89" t="s">
        <v>2213</v>
      </c>
      <c r="L440" s="89" t="s">
        <v>1553</v>
      </c>
      <c r="M440" s="89" t="s">
        <v>2708</v>
      </c>
      <c r="N440" s="89" t="s">
        <v>441</v>
      </c>
      <c r="O440" s="87"/>
      <c r="P440" s="87"/>
      <c r="Q440" s="87">
        <v>2001.0</v>
      </c>
      <c r="R440" s="87"/>
      <c r="S440" s="87"/>
      <c r="T440" s="87"/>
      <c r="U440" s="87">
        <v>819.0</v>
      </c>
      <c r="V440" s="87">
        <v>1182.0</v>
      </c>
      <c r="W440" s="87"/>
      <c r="X440" s="87"/>
      <c r="Y440" s="87">
        <v>772.0</v>
      </c>
      <c r="Z440" s="87">
        <v>450.0</v>
      </c>
      <c r="AA440" s="87">
        <v>300.0</v>
      </c>
      <c r="AB440" s="87">
        <v>169.0</v>
      </c>
      <c r="AC440" s="87">
        <v>168.0</v>
      </c>
      <c r="AD440" s="87">
        <v>129.0</v>
      </c>
      <c r="AE440" s="87">
        <v>13.0</v>
      </c>
      <c r="AF440" s="87"/>
      <c r="AG440" s="87"/>
      <c r="AH440" s="87">
        <v>408.0</v>
      </c>
      <c r="AI440" s="87">
        <v>1571.0</v>
      </c>
      <c r="AJ440" s="87">
        <v>22.0</v>
      </c>
      <c r="AK440" s="87"/>
      <c r="AL440" s="87">
        <v>23.0</v>
      </c>
      <c r="AM440" s="87"/>
      <c r="AN440" s="87">
        <v>37.0</v>
      </c>
      <c r="AO440" s="87">
        <v>1091.0</v>
      </c>
      <c r="AP440" s="87">
        <v>75.0</v>
      </c>
      <c r="AQ440" s="87">
        <v>763.0</v>
      </c>
      <c r="AR440" s="87">
        <v>12.0</v>
      </c>
      <c r="AS440" s="87">
        <v>164.0</v>
      </c>
      <c r="AT440" s="87">
        <v>1.0</v>
      </c>
      <c r="AU440" s="87">
        <v>1811.0</v>
      </c>
      <c r="AV440" s="87"/>
      <c r="AW440" s="87">
        <v>24.0</v>
      </c>
      <c r="AX440" s="87"/>
      <c r="AY440" s="87"/>
      <c r="AZ440" s="87"/>
      <c r="BA440" s="87">
        <v>1.0</v>
      </c>
      <c r="BB440" s="87"/>
      <c r="BC440" s="87"/>
      <c r="BD440" s="87"/>
      <c r="BE440" s="87"/>
      <c r="BF440" s="87">
        <v>1777.0</v>
      </c>
      <c r="BG440" s="87">
        <v>224.0</v>
      </c>
      <c r="BH440" s="87"/>
      <c r="BI440" s="87">
        <v>12425.0</v>
      </c>
      <c r="BJ440" s="87">
        <v>1553.0</v>
      </c>
      <c r="BK440" s="87">
        <v>369.0</v>
      </c>
      <c r="BL440" s="87">
        <v>79.0</v>
      </c>
      <c r="BM440" s="87"/>
      <c r="BN440" s="87"/>
      <c r="BO440" s="87"/>
      <c r="BP440" s="87">
        <v>1729.0</v>
      </c>
      <c r="BQ440" s="87">
        <v>19.0</v>
      </c>
      <c r="BR440" s="87">
        <v>65.0</v>
      </c>
      <c r="BS440" s="87">
        <v>2.0</v>
      </c>
      <c r="BT440" s="87">
        <v>9.0</v>
      </c>
      <c r="BU440" s="87">
        <v>3.0</v>
      </c>
      <c r="BV440" s="87">
        <v>126.0</v>
      </c>
      <c r="BW440" s="87"/>
      <c r="BX440" s="87"/>
      <c r="BY440" s="87"/>
      <c r="BZ440" s="87"/>
      <c r="CA440" s="87"/>
      <c r="CB440" s="87">
        <v>4.0</v>
      </c>
      <c r="CC440" s="87"/>
      <c r="CD440" s="87">
        <v>44.0</v>
      </c>
      <c r="CE440" s="87"/>
      <c r="CF440" s="87"/>
      <c r="CG440" s="87"/>
      <c r="CH440" s="87">
        <v>2001.0</v>
      </c>
      <c r="CI440" s="87"/>
      <c r="CJ440" s="87">
        <v>244.0</v>
      </c>
      <c r="CK440" s="87">
        <v>471.0</v>
      </c>
      <c r="CL440" s="87">
        <v>702.0</v>
      </c>
      <c r="CM440" s="87"/>
      <c r="CN440" s="87">
        <v>517.0</v>
      </c>
      <c r="CO440" s="87">
        <v>64.0</v>
      </c>
      <c r="CP440" s="87">
        <v>1.0</v>
      </c>
      <c r="CQ440" s="87">
        <v>2.0</v>
      </c>
      <c r="CR440" s="87"/>
      <c r="CS440" s="87"/>
      <c r="CT440" s="87"/>
      <c r="CU440" s="87"/>
      <c r="CV440" s="87"/>
      <c r="CW440" s="87"/>
      <c r="CX440" s="87">
        <v>2001.0</v>
      </c>
      <c r="CY440" s="87"/>
      <c r="CZ440" s="87"/>
      <c r="DA440" s="87"/>
      <c r="DB440" s="87"/>
      <c r="DC440" s="87"/>
      <c r="DD440" s="87"/>
      <c r="DE440" s="87"/>
      <c r="DF440" s="87"/>
      <c r="DG440" s="87"/>
      <c r="DH440" s="87"/>
      <c r="DI440" s="87"/>
      <c r="DJ440" s="87"/>
      <c r="DK440" s="87"/>
      <c r="DL440" s="87"/>
      <c r="DM440" s="87"/>
      <c r="DN440" s="87"/>
      <c r="DO440" s="87">
        <v>146.0</v>
      </c>
      <c r="DP440" s="87"/>
      <c r="DQ440" s="87"/>
      <c r="DR440" s="87"/>
      <c r="DS440" s="87"/>
      <c r="DT440" s="87"/>
      <c r="DU440" s="87"/>
      <c r="DV440" s="87"/>
      <c r="DW440" s="87"/>
      <c r="DX440" s="87"/>
      <c r="DY440" s="87"/>
      <c r="DZ440" s="87"/>
      <c r="EA440" s="87"/>
      <c r="EB440" s="87"/>
      <c r="EC440" s="87"/>
      <c r="ED440" s="87">
        <v>1855.0</v>
      </c>
      <c r="EE440" s="87"/>
      <c r="EF440" s="87"/>
      <c r="EG440" s="87">
        <v>234.0</v>
      </c>
      <c r="EH440" s="87"/>
      <c r="EI440" s="87">
        <v>21.0</v>
      </c>
      <c r="EJ440" s="87">
        <v>1746.0</v>
      </c>
      <c r="EK440" s="88"/>
      <c r="EL440" s="88"/>
      <c r="EM440" s="88"/>
      <c r="EN440" s="88"/>
      <c r="EO440" s="88"/>
      <c r="EP440" s="88"/>
      <c r="EQ440" s="90"/>
    </row>
    <row r="441" ht="12.0" customHeight="1">
      <c r="A441" s="89">
        <v>1.06560473E8</v>
      </c>
      <c r="B441" s="89" t="s">
        <v>2709</v>
      </c>
      <c r="C441" s="89" t="s">
        <v>2704</v>
      </c>
      <c r="D441" s="89" t="s">
        <v>2710</v>
      </c>
      <c r="E441" s="89" t="s">
        <v>2711</v>
      </c>
      <c r="F441" s="89" t="s">
        <v>2704</v>
      </c>
      <c r="G441" s="89" t="s">
        <v>2712</v>
      </c>
      <c r="H441" s="89" t="s">
        <v>447</v>
      </c>
      <c r="I441" s="89" t="s">
        <v>543</v>
      </c>
      <c r="J441" s="89" t="s">
        <v>469</v>
      </c>
      <c r="K441" s="89" t="s">
        <v>2213</v>
      </c>
      <c r="L441" s="89" t="s">
        <v>1553</v>
      </c>
      <c r="M441" s="89" t="s">
        <v>2708</v>
      </c>
      <c r="N441" s="89" t="s">
        <v>441</v>
      </c>
      <c r="O441" s="87">
        <v>15230.0</v>
      </c>
      <c r="P441" s="87"/>
      <c r="Q441" s="87"/>
      <c r="R441" s="87"/>
      <c r="S441" s="87"/>
      <c r="T441" s="87"/>
      <c r="U441" s="87">
        <v>6109.0</v>
      </c>
      <c r="V441" s="87">
        <v>9121.0</v>
      </c>
      <c r="W441" s="87"/>
      <c r="X441" s="87">
        <v>3114.0</v>
      </c>
      <c r="Y441" s="87">
        <v>183.0</v>
      </c>
      <c r="Z441" s="87">
        <v>1436.0</v>
      </c>
      <c r="AA441" s="87">
        <v>2103.0</v>
      </c>
      <c r="AB441" s="87">
        <v>871.0</v>
      </c>
      <c r="AC441" s="87">
        <v>1176.0</v>
      </c>
      <c r="AD441" s="87">
        <v>1881.0</v>
      </c>
      <c r="AE441" s="87">
        <v>2294.0</v>
      </c>
      <c r="AF441" s="87">
        <v>2172.0</v>
      </c>
      <c r="AG441" s="87"/>
      <c r="AH441" s="87">
        <v>5945.0</v>
      </c>
      <c r="AI441" s="87">
        <v>9151.0</v>
      </c>
      <c r="AJ441" s="87">
        <v>134.0</v>
      </c>
      <c r="AK441" s="87">
        <v>17.0</v>
      </c>
      <c r="AL441" s="87">
        <v>397.0</v>
      </c>
      <c r="AM441" s="87">
        <v>31.0</v>
      </c>
      <c r="AN441" s="87">
        <v>265.0</v>
      </c>
      <c r="AO441" s="87">
        <v>8453.0</v>
      </c>
      <c r="AP441" s="87">
        <v>86.0</v>
      </c>
      <c r="AQ441" s="87">
        <v>5981.0</v>
      </c>
      <c r="AR441" s="87"/>
      <c r="AS441" s="87">
        <v>9164.0</v>
      </c>
      <c r="AT441" s="87">
        <v>1961.0</v>
      </c>
      <c r="AU441" s="87">
        <v>733.0</v>
      </c>
      <c r="AV441" s="87">
        <v>190.0</v>
      </c>
      <c r="AW441" s="87">
        <v>69.0</v>
      </c>
      <c r="AX441" s="87">
        <v>190.0</v>
      </c>
      <c r="AY441" s="87"/>
      <c r="AZ441" s="87"/>
      <c r="BA441" s="87"/>
      <c r="BB441" s="87">
        <v>1.0</v>
      </c>
      <c r="BC441" s="87">
        <v>2922.0</v>
      </c>
      <c r="BD441" s="87"/>
      <c r="BE441" s="87">
        <v>5271.0</v>
      </c>
      <c r="BF441" s="87">
        <v>547.0</v>
      </c>
      <c r="BG441" s="87">
        <v>9412.0</v>
      </c>
      <c r="BH441" s="87"/>
      <c r="BI441" s="87">
        <v>57144.0</v>
      </c>
      <c r="BJ441" s="87">
        <v>207.0</v>
      </c>
      <c r="BK441" s="87">
        <v>9378.0</v>
      </c>
      <c r="BL441" s="87">
        <v>2723.0</v>
      </c>
      <c r="BM441" s="87">
        <v>2922.0</v>
      </c>
      <c r="BN441" s="87"/>
      <c r="BO441" s="87"/>
      <c r="BP441" s="87">
        <v>10177.0</v>
      </c>
      <c r="BQ441" s="87">
        <v>187.0</v>
      </c>
      <c r="BR441" s="87"/>
      <c r="BS441" s="87"/>
      <c r="BT441" s="87">
        <v>5.0</v>
      </c>
      <c r="BU441" s="87"/>
      <c r="BV441" s="87">
        <v>1494.0</v>
      </c>
      <c r="BW441" s="87">
        <v>281.0</v>
      </c>
      <c r="BX441" s="87">
        <v>3084.0</v>
      </c>
      <c r="BY441" s="87"/>
      <c r="BZ441" s="87">
        <v>1.0</v>
      </c>
      <c r="CA441" s="87"/>
      <c r="CB441" s="87"/>
      <c r="CC441" s="87"/>
      <c r="CD441" s="87">
        <v>1.0</v>
      </c>
      <c r="CE441" s="87"/>
      <c r="CF441" s="87"/>
      <c r="CG441" s="87">
        <v>1554.0</v>
      </c>
      <c r="CH441" s="87">
        <v>13676.0</v>
      </c>
      <c r="CI441" s="87"/>
      <c r="CJ441" s="87">
        <v>5655.0</v>
      </c>
      <c r="CK441" s="87">
        <v>3654.0</v>
      </c>
      <c r="CL441" s="87">
        <v>5837.0</v>
      </c>
      <c r="CM441" s="87">
        <v>23.0</v>
      </c>
      <c r="CN441" s="87"/>
      <c r="CO441" s="87"/>
      <c r="CP441" s="87"/>
      <c r="CQ441" s="87">
        <v>59.0</v>
      </c>
      <c r="CR441" s="87">
        <v>2.0</v>
      </c>
      <c r="CS441" s="87"/>
      <c r="CT441" s="87">
        <v>1022.0</v>
      </c>
      <c r="CU441" s="87">
        <v>528.0</v>
      </c>
      <c r="CV441" s="87">
        <v>98.0</v>
      </c>
      <c r="CW441" s="87">
        <v>599.0</v>
      </c>
      <c r="CX441" s="87">
        <v>140.0</v>
      </c>
      <c r="CY441" s="87">
        <v>200.0</v>
      </c>
      <c r="CZ441" s="87">
        <v>12.0</v>
      </c>
      <c r="DA441" s="87">
        <v>5.0</v>
      </c>
      <c r="DB441" s="87">
        <v>1821.0</v>
      </c>
      <c r="DC441" s="87">
        <v>707.0</v>
      </c>
      <c r="DD441" s="87">
        <v>1595.0</v>
      </c>
      <c r="DE441" s="87">
        <v>215.0</v>
      </c>
      <c r="DF441" s="87">
        <v>736.0</v>
      </c>
      <c r="DG441" s="87">
        <v>660.0</v>
      </c>
      <c r="DH441" s="87">
        <v>3053.0</v>
      </c>
      <c r="DI441" s="87">
        <v>2953.0</v>
      </c>
      <c r="DJ441" s="87">
        <v>18.0</v>
      </c>
      <c r="DK441" s="87">
        <v>177.0</v>
      </c>
      <c r="DL441" s="87">
        <v>649.0</v>
      </c>
      <c r="DM441" s="87">
        <v>41.0</v>
      </c>
      <c r="DN441" s="87">
        <v>1.0</v>
      </c>
      <c r="DO441" s="87">
        <v>978.0</v>
      </c>
      <c r="DP441" s="87">
        <v>2907.0</v>
      </c>
      <c r="DQ441" s="87">
        <v>1507.0</v>
      </c>
      <c r="DR441" s="87">
        <v>1524.0</v>
      </c>
      <c r="DS441" s="87">
        <v>4.0</v>
      </c>
      <c r="DT441" s="87">
        <v>2.0</v>
      </c>
      <c r="DU441" s="87">
        <v>1.0</v>
      </c>
      <c r="DV441" s="87">
        <v>600.0</v>
      </c>
      <c r="DW441" s="87">
        <v>57.0</v>
      </c>
      <c r="DX441" s="87">
        <v>262.0</v>
      </c>
      <c r="DY441" s="87">
        <v>889.0</v>
      </c>
      <c r="DZ441" s="87">
        <v>208.0</v>
      </c>
      <c r="EA441" s="87">
        <v>27.0</v>
      </c>
      <c r="EB441" s="87">
        <v>317.0</v>
      </c>
      <c r="EC441" s="87">
        <v>164.0</v>
      </c>
      <c r="ED441" s="87">
        <v>5571.0</v>
      </c>
      <c r="EE441" s="87">
        <v>212.0</v>
      </c>
      <c r="EF441" s="87">
        <v>4.0</v>
      </c>
      <c r="EG441" s="87">
        <v>192.0</v>
      </c>
      <c r="EH441" s="87"/>
      <c r="EI441" s="87">
        <v>71.0</v>
      </c>
      <c r="EJ441" s="87">
        <v>14963.0</v>
      </c>
      <c r="EK441" s="88"/>
      <c r="EL441" s="88"/>
      <c r="EM441" s="88"/>
      <c r="EN441" s="88"/>
      <c r="EO441" s="88"/>
      <c r="EP441" s="88"/>
      <c r="EQ441" s="90"/>
    </row>
    <row r="442" ht="12.0" customHeight="1">
      <c r="A442" s="89">
        <v>1.06560481E8</v>
      </c>
      <c r="B442" s="89" t="s">
        <v>2713</v>
      </c>
      <c r="C442" s="89" t="s">
        <v>2704</v>
      </c>
      <c r="D442" s="89" t="s">
        <v>2714</v>
      </c>
      <c r="E442" s="89" t="s">
        <v>2715</v>
      </c>
      <c r="F442" s="89" t="s">
        <v>2704</v>
      </c>
      <c r="G442" s="89" t="s">
        <v>2712</v>
      </c>
      <c r="H442" s="89" t="s">
        <v>435</v>
      </c>
      <c r="I442" s="89" t="s">
        <v>543</v>
      </c>
      <c r="J442" s="89" t="s">
        <v>469</v>
      </c>
      <c r="K442" s="89" t="s">
        <v>2213</v>
      </c>
      <c r="L442" s="89" t="s">
        <v>1553</v>
      </c>
      <c r="M442" s="89" t="s">
        <v>2708</v>
      </c>
      <c r="N442" s="89" t="s">
        <v>441</v>
      </c>
      <c r="O442" s="87">
        <v>11515.0</v>
      </c>
      <c r="P442" s="87"/>
      <c r="Q442" s="87">
        <v>892.0</v>
      </c>
      <c r="R442" s="87"/>
      <c r="S442" s="87"/>
      <c r="T442" s="87"/>
      <c r="U442" s="87">
        <v>5682.0</v>
      </c>
      <c r="V442" s="87">
        <v>6717.0</v>
      </c>
      <c r="W442" s="87">
        <v>8.0</v>
      </c>
      <c r="X442" s="87">
        <v>2376.0</v>
      </c>
      <c r="Y442" s="87">
        <v>532.0</v>
      </c>
      <c r="Z442" s="87">
        <v>1681.0</v>
      </c>
      <c r="AA442" s="87">
        <v>1872.0</v>
      </c>
      <c r="AB442" s="87">
        <v>1282.0</v>
      </c>
      <c r="AC442" s="87">
        <v>1406.0</v>
      </c>
      <c r="AD442" s="87">
        <v>1466.0</v>
      </c>
      <c r="AE442" s="87">
        <v>897.0</v>
      </c>
      <c r="AF442" s="87">
        <v>894.0</v>
      </c>
      <c r="AG442" s="87">
        <v>1.0</v>
      </c>
      <c r="AH442" s="87">
        <v>7960.0</v>
      </c>
      <c r="AI442" s="87">
        <v>4445.0</v>
      </c>
      <c r="AJ442" s="87">
        <v>2.0</v>
      </c>
      <c r="AK442" s="87">
        <v>237.0</v>
      </c>
      <c r="AL442" s="87">
        <v>209.0</v>
      </c>
      <c r="AM442" s="87"/>
      <c r="AN442" s="87">
        <v>247.0</v>
      </c>
      <c r="AO442" s="87">
        <v>11166.0</v>
      </c>
      <c r="AP442" s="87">
        <v>12.0</v>
      </c>
      <c r="AQ442" s="87">
        <v>180.0</v>
      </c>
      <c r="AR442" s="87">
        <v>356.0</v>
      </c>
      <c r="AS442" s="87">
        <v>2.0</v>
      </c>
      <c r="AT442" s="87">
        <v>9870.0</v>
      </c>
      <c r="AU442" s="87">
        <v>223.0</v>
      </c>
      <c r="AV442" s="87"/>
      <c r="AW442" s="87">
        <v>48.0</v>
      </c>
      <c r="AX442" s="87">
        <v>1.0</v>
      </c>
      <c r="AY442" s="87">
        <v>509.0</v>
      </c>
      <c r="AZ442" s="87"/>
      <c r="BA442" s="87">
        <v>12.0</v>
      </c>
      <c r="BB442" s="87">
        <v>17.0</v>
      </c>
      <c r="BC442" s="87">
        <v>1725.0</v>
      </c>
      <c r="BD442" s="87"/>
      <c r="BE442" s="87">
        <v>7346.0</v>
      </c>
      <c r="BF442" s="87">
        <v>144.0</v>
      </c>
      <c r="BG442" s="87">
        <v>4917.0</v>
      </c>
      <c r="BH442" s="87"/>
      <c r="BI442" s="87">
        <v>57369.0</v>
      </c>
      <c r="BJ442" s="87">
        <v>6167.0</v>
      </c>
      <c r="BK442" s="87">
        <v>3654.0</v>
      </c>
      <c r="BL442" s="87">
        <v>3.0</v>
      </c>
      <c r="BM442" s="87">
        <v>1725.0</v>
      </c>
      <c r="BN442" s="87">
        <v>854.0</v>
      </c>
      <c r="BO442" s="87">
        <v>4.0</v>
      </c>
      <c r="BP442" s="87">
        <v>9674.0</v>
      </c>
      <c r="BQ442" s="87">
        <v>50.0</v>
      </c>
      <c r="BR442" s="87">
        <v>72.0</v>
      </c>
      <c r="BS442" s="87">
        <v>899.0</v>
      </c>
      <c r="BT442" s="87">
        <v>122.0</v>
      </c>
      <c r="BU442" s="87">
        <v>71.0</v>
      </c>
      <c r="BV442" s="87">
        <v>274.0</v>
      </c>
      <c r="BW442" s="87">
        <v>192.0</v>
      </c>
      <c r="BX442" s="87">
        <v>473.0</v>
      </c>
      <c r="BY442" s="87"/>
      <c r="BZ442" s="87"/>
      <c r="CA442" s="87">
        <v>83.0</v>
      </c>
      <c r="CB442" s="87">
        <v>103.0</v>
      </c>
      <c r="CC442" s="87">
        <v>22.0</v>
      </c>
      <c r="CD442" s="87">
        <v>372.0</v>
      </c>
      <c r="CE442" s="87"/>
      <c r="CF442" s="87"/>
      <c r="CG442" s="87">
        <v>768.0</v>
      </c>
      <c r="CH442" s="87">
        <v>11639.0</v>
      </c>
      <c r="CI442" s="87"/>
      <c r="CJ442" s="87">
        <v>2195.0</v>
      </c>
      <c r="CK442" s="87">
        <v>6836.0</v>
      </c>
      <c r="CL442" s="87">
        <v>2429.0</v>
      </c>
      <c r="CM442" s="87">
        <v>25.0</v>
      </c>
      <c r="CN442" s="87"/>
      <c r="CO442" s="87">
        <v>548.0</v>
      </c>
      <c r="CP442" s="87"/>
      <c r="CQ442" s="87">
        <v>230.0</v>
      </c>
      <c r="CR442" s="87">
        <v>107.0</v>
      </c>
      <c r="CS442" s="87">
        <v>37.0</v>
      </c>
      <c r="CT442" s="87">
        <v>1003.0</v>
      </c>
      <c r="CU442" s="87">
        <v>326.0</v>
      </c>
      <c r="CV442" s="87">
        <v>125.0</v>
      </c>
      <c r="CW442" s="87">
        <v>540.0</v>
      </c>
      <c r="CX442" s="87">
        <v>1144.0</v>
      </c>
      <c r="CY442" s="87">
        <v>311.0</v>
      </c>
      <c r="CZ442" s="87">
        <v>10.0</v>
      </c>
      <c r="DA442" s="87">
        <v>18.0</v>
      </c>
      <c r="DB442" s="87">
        <v>694.0</v>
      </c>
      <c r="DC442" s="87">
        <v>515.0</v>
      </c>
      <c r="DD442" s="87">
        <v>1180.0</v>
      </c>
      <c r="DE442" s="87">
        <v>191.0</v>
      </c>
      <c r="DF442" s="87">
        <v>407.0</v>
      </c>
      <c r="DG442" s="87">
        <v>418.0</v>
      </c>
      <c r="DH442" s="87">
        <v>1948.0</v>
      </c>
      <c r="DI442" s="87">
        <v>1778.0</v>
      </c>
      <c r="DJ442" s="87">
        <v>29.0</v>
      </c>
      <c r="DK442" s="87">
        <v>340.0</v>
      </c>
      <c r="DL442" s="87">
        <v>1237.0</v>
      </c>
      <c r="DM442" s="87">
        <v>192.0</v>
      </c>
      <c r="DN442" s="87">
        <v>1.0</v>
      </c>
      <c r="DO442" s="87">
        <v>790.0</v>
      </c>
      <c r="DP442" s="87">
        <v>1705.0</v>
      </c>
      <c r="DQ442" s="87">
        <v>416.0</v>
      </c>
      <c r="DR442" s="87">
        <v>1079.0</v>
      </c>
      <c r="DS442" s="87">
        <v>12.0</v>
      </c>
      <c r="DT442" s="87">
        <v>23.0</v>
      </c>
      <c r="DU442" s="87">
        <v>6.0</v>
      </c>
      <c r="DV442" s="87">
        <v>203.0</v>
      </c>
      <c r="DW442" s="87">
        <v>35.0</v>
      </c>
      <c r="DX442" s="87">
        <v>286.0</v>
      </c>
      <c r="DY442" s="87">
        <v>755.0</v>
      </c>
      <c r="DZ442" s="87">
        <v>221.0</v>
      </c>
      <c r="EA442" s="87">
        <v>96.0</v>
      </c>
      <c r="EB442" s="87">
        <v>150.0</v>
      </c>
      <c r="EC442" s="87">
        <v>110.0</v>
      </c>
      <c r="ED442" s="87">
        <v>6369.0</v>
      </c>
      <c r="EE442" s="87">
        <v>151.0</v>
      </c>
      <c r="EF442" s="87">
        <v>5.0</v>
      </c>
      <c r="EG442" s="87">
        <v>740.0</v>
      </c>
      <c r="EH442" s="87">
        <v>3.0</v>
      </c>
      <c r="EI442" s="87">
        <v>41.0</v>
      </c>
      <c r="EJ442" s="87">
        <v>11618.0</v>
      </c>
      <c r="EK442" s="88"/>
      <c r="EL442" s="88"/>
      <c r="EM442" s="88"/>
      <c r="EN442" s="88"/>
      <c r="EO442" s="88"/>
      <c r="EP442" s="88"/>
      <c r="EQ442" s="90"/>
    </row>
    <row r="443" ht="12.0" customHeight="1">
      <c r="A443" s="89">
        <v>1.06560492E8</v>
      </c>
      <c r="B443" s="89" t="s">
        <v>2716</v>
      </c>
      <c r="C443" s="89" t="s">
        <v>2704</v>
      </c>
      <c r="D443" s="89" t="s">
        <v>2717</v>
      </c>
      <c r="E443" s="89" t="s">
        <v>2718</v>
      </c>
      <c r="F443" s="89" t="s">
        <v>2719</v>
      </c>
      <c r="G443" s="89" t="s">
        <v>2720</v>
      </c>
      <c r="H443" s="89" t="s">
        <v>503</v>
      </c>
      <c r="I443" s="89" t="s">
        <v>543</v>
      </c>
      <c r="J443" s="89" t="s">
        <v>448</v>
      </c>
      <c r="K443" s="89" t="s">
        <v>1041</v>
      </c>
      <c r="L443" s="89" t="s">
        <v>2721</v>
      </c>
      <c r="M443" s="89" t="s">
        <v>2722</v>
      </c>
      <c r="N443" s="89" t="s">
        <v>441</v>
      </c>
      <c r="O443" s="87">
        <v>16081.0</v>
      </c>
      <c r="P443" s="87"/>
      <c r="Q443" s="87"/>
      <c r="R443" s="87"/>
      <c r="S443" s="87">
        <v>962.0</v>
      </c>
      <c r="T443" s="87">
        <v>3.0</v>
      </c>
      <c r="U443" s="87">
        <v>7460.0</v>
      </c>
      <c r="V443" s="87">
        <v>9580.0</v>
      </c>
      <c r="W443" s="87">
        <v>6.0</v>
      </c>
      <c r="X443" s="87">
        <v>1978.0</v>
      </c>
      <c r="Y443" s="87">
        <v>192.0</v>
      </c>
      <c r="Z443" s="87">
        <v>764.0</v>
      </c>
      <c r="AA443" s="87">
        <v>1660.0</v>
      </c>
      <c r="AB443" s="87">
        <v>892.0</v>
      </c>
      <c r="AC443" s="87">
        <v>1466.0</v>
      </c>
      <c r="AD443" s="87">
        <v>2353.0</v>
      </c>
      <c r="AE443" s="87">
        <v>3377.0</v>
      </c>
      <c r="AF443" s="87">
        <v>4364.0</v>
      </c>
      <c r="AG443" s="87"/>
      <c r="AH443" s="87">
        <v>2030.0</v>
      </c>
      <c r="AI443" s="87">
        <v>14210.0</v>
      </c>
      <c r="AJ443" s="87">
        <v>806.0</v>
      </c>
      <c r="AK443" s="87">
        <v>22.0</v>
      </c>
      <c r="AL443" s="87">
        <v>788.0</v>
      </c>
      <c r="AM443" s="87">
        <v>19.0</v>
      </c>
      <c r="AN443" s="87">
        <v>292.0</v>
      </c>
      <c r="AO443" s="87">
        <v>12577.0</v>
      </c>
      <c r="AP443" s="87">
        <v>125.0</v>
      </c>
      <c r="AQ443" s="87">
        <v>2640.0</v>
      </c>
      <c r="AR443" s="87">
        <v>583.0</v>
      </c>
      <c r="AS443" s="87">
        <v>11342.0</v>
      </c>
      <c r="AT443" s="87">
        <v>3002.0</v>
      </c>
      <c r="AU443" s="87">
        <v>978.0</v>
      </c>
      <c r="AV443" s="87">
        <v>9.0</v>
      </c>
      <c r="AW443" s="87">
        <v>14.0</v>
      </c>
      <c r="AX443" s="87"/>
      <c r="AY443" s="87"/>
      <c r="AZ443" s="87"/>
      <c r="BA443" s="87">
        <v>7.0</v>
      </c>
      <c r="BB443" s="87"/>
      <c r="BC443" s="87">
        <v>1694.0</v>
      </c>
      <c r="BD443" s="87"/>
      <c r="BE443" s="87">
        <v>11388.0</v>
      </c>
      <c r="BF443" s="87"/>
      <c r="BG443" s="87">
        <v>5658.0</v>
      </c>
      <c r="BH443" s="87"/>
      <c r="BI443" s="87">
        <v>86682.0</v>
      </c>
      <c r="BJ443" s="87">
        <v>10618.0</v>
      </c>
      <c r="BK443" s="87">
        <v>172.0</v>
      </c>
      <c r="BL443" s="87">
        <v>3898.0</v>
      </c>
      <c r="BM443" s="87">
        <v>1694.0</v>
      </c>
      <c r="BN443" s="87">
        <v>664.0</v>
      </c>
      <c r="BO443" s="87"/>
      <c r="BP443" s="87">
        <v>10082.0</v>
      </c>
      <c r="BQ443" s="87">
        <v>367.0</v>
      </c>
      <c r="BR443" s="87">
        <v>806.0</v>
      </c>
      <c r="BS443" s="87">
        <v>1307.0</v>
      </c>
      <c r="BT443" s="87">
        <v>168.0</v>
      </c>
      <c r="BU443" s="87">
        <v>4.0</v>
      </c>
      <c r="BV443" s="87">
        <v>252.0</v>
      </c>
      <c r="BW443" s="87">
        <v>497.0</v>
      </c>
      <c r="BX443" s="87">
        <v>3162.0</v>
      </c>
      <c r="BY443" s="87"/>
      <c r="BZ443" s="87">
        <v>2.0</v>
      </c>
      <c r="CA443" s="87">
        <v>346.0</v>
      </c>
      <c r="CB443" s="87">
        <v>42.0</v>
      </c>
      <c r="CC443" s="87">
        <v>1.0</v>
      </c>
      <c r="CD443" s="87">
        <v>10.0</v>
      </c>
      <c r="CE443" s="87"/>
      <c r="CF443" s="87"/>
      <c r="CG443" s="87">
        <v>1276.0</v>
      </c>
      <c r="CH443" s="87">
        <v>15767.0</v>
      </c>
      <c r="CI443" s="87">
        <v>3.0</v>
      </c>
      <c r="CJ443" s="87">
        <v>8665.0</v>
      </c>
      <c r="CK443" s="87">
        <v>1893.0</v>
      </c>
      <c r="CL443" s="87">
        <v>5323.0</v>
      </c>
      <c r="CM443" s="87">
        <v>121.0</v>
      </c>
      <c r="CN443" s="87"/>
      <c r="CO443" s="87">
        <v>218.0</v>
      </c>
      <c r="CP443" s="87">
        <v>80.0</v>
      </c>
      <c r="CQ443" s="87">
        <v>172.0</v>
      </c>
      <c r="CR443" s="87">
        <v>509.0</v>
      </c>
      <c r="CS443" s="87">
        <v>65.0</v>
      </c>
      <c r="CT443" s="87">
        <v>2007.0</v>
      </c>
      <c r="CU443" s="87">
        <v>561.0</v>
      </c>
      <c r="CV443" s="87">
        <v>193.0</v>
      </c>
      <c r="CW443" s="87">
        <v>460.0</v>
      </c>
      <c r="CX443" s="87">
        <v>276.0</v>
      </c>
      <c r="CY443" s="87">
        <v>488.0</v>
      </c>
      <c r="CZ443" s="87">
        <v>31.0</v>
      </c>
      <c r="DA443" s="87">
        <v>37.0</v>
      </c>
      <c r="DB443" s="87">
        <v>2435.0</v>
      </c>
      <c r="DC443" s="87">
        <v>651.0</v>
      </c>
      <c r="DD443" s="87">
        <v>1393.0</v>
      </c>
      <c r="DE443" s="87">
        <v>202.0</v>
      </c>
      <c r="DF443" s="87">
        <v>1173.0</v>
      </c>
      <c r="DG443" s="87">
        <v>798.0</v>
      </c>
      <c r="DH443" s="87">
        <v>1758.0</v>
      </c>
      <c r="DI443" s="87">
        <v>1741.0</v>
      </c>
      <c r="DJ443" s="87">
        <v>25.0</v>
      </c>
      <c r="DK443" s="87">
        <v>522.0</v>
      </c>
      <c r="DL443" s="87">
        <v>1998.0</v>
      </c>
      <c r="DM443" s="87">
        <v>297.0</v>
      </c>
      <c r="DN443" s="87"/>
      <c r="DO443" s="87">
        <v>1853.0</v>
      </c>
      <c r="DP443" s="87">
        <v>1384.0</v>
      </c>
      <c r="DQ443" s="87">
        <v>1958.0</v>
      </c>
      <c r="DR443" s="87">
        <v>1316.0</v>
      </c>
      <c r="DS443" s="87">
        <v>4.0</v>
      </c>
      <c r="DT443" s="87">
        <v>3.0</v>
      </c>
      <c r="DU443" s="87">
        <v>2.0</v>
      </c>
      <c r="DV443" s="87">
        <v>656.0</v>
      </c>
      <c r="DW443" s="87">
        <v>66.0</v>
      </c>
      <c r="DX443" s="87">
        <v>448.0</v>
      </c>
      <c r="DY443" s="87">
        <v>1650.0</v>
      </c>
      <c r="DZ443" s="87">
        <v>180.0</v>
      </c>
      <c r="EA443" s="87">
        <v>15.0</v>
      </c>
      <c r="EB443" s="87">
        <v>228.0</v>
      </c>
      <c r="EC443" s="87">
        <v>178.0</v>
      </c>
      <c r="ED443" s="87">
        <v>6924.0</v>
      </c>
      <c r="EE443" s="87">
        <v>181.0</v>
      </c>
      <c r="EF443" s="87">
        <v>13.0</v>
      </c>
      <c r="EG443" s="87">
        <v>87.0</v>
      </c>
      <c r="EH443" s="87">
        <v>7.0</v>
      </c>
      <c r="EI443" s="87">
        <v>308.0</v>
      </c>
      <c r="EJ443" s="87">
        <v>16631.0</v>
      </c>
      <c r="EK443" s="88"/>
      <c r="EL443" s="88"/>
      <c r="EM443" s="88"/>
      <c r="EN443" s="88"/>
      <c r="EO443" s="88"/>
      <c r="EP443" s="88"/>
      <c r="EQ443" s="90"/>
    </row>
    <row r="444" ht="12.0" customHeight="1">
      <c r="A444" s="89">
        <v>1.06560501E8</v>
      </c>
      <c r="B444" s="89" t="s">
        <v>2723</v>
      </c>
      <c r="C444" s="89" t="s">
        <v>2704</v>
      </c>
      <c r="D444" s="89" t="s">
        <v>2724</v>
      </c>
      <c r="E444" s="89" t="s">
        <v>2725</v>
      </c>
      <c r="F444" s="89" t="s">
        <v>2726</v>
      </c>
      <c r="G444" s="89" t="s">
        <v>2727</v>
      </c>
      <c r="H444" s="89" t="s">
        <v>447</v>
      </c>
      <c r="I444" s="89" t="s">
        <v>543</v>
      </c>
      <c r="J444" s="89" t="s">
        <v>499</v>
      </c>
      <c r="K444" s="89" t="s">
        <v>2213</v>
      </c>
      <c r="L444" s="89" t="s">
        <v>1553</v>
      </c>
      <c r="M444" s="89" t="s">
        <v>2728</v>
      </c>
      <c r="N444" s="89" t="s">
        <v>547</v>
      </c>
      <c r="O444" s="87">
        <v>184.0</v>
      </c>
      <c r="P444" s="87">
        <v>392.0</v>
      </c>
      <c r="Q444" s="87"/>
      <c r="R444" s="87"/>
      <c r="S444" s="87"/>
      <c r="T444" s="87"/>
      <c r="U444" s="87">
        <v>241.0</v>
      </c>
      <c r="V444" s="87">
        <v>335.0</v>
      </c>
      <c r="W444" s="87"/>
      <c r="X444" s="87"/>
      <c r="Y444" s="87"/>
      <c r="Z444" s="87"/>
      <c r="AA444" s="87">
        <v>19.0</v>
      </c>
      <c r="AB444" s="87">
        <v>13.0</v>
      </c>
      <c r="AC444" s="87">
        <v>16.0</v>
      </c>
      <c r="AD444" s="87">
        <v>86.0</v>
      </c>
      <c r="AE444" s="87">
        <v>178.0</v>
      </c>
      <c r="AF444" s="87">
        <v>264.0</v>
      </c>
      <c r="AG444" s="87"/>
      <c r="AH444" s="87">
        <v>52.0</v>
      </c>
      <c r="AI444" s="87">
        <v>521.0</v>
      </c>
      <c r="AJ444" s="87">
        <v>3.0</v>
      </c>
      <c r="AK444" s="87"/>
      <c r="AL444" s="87"/>
      <c r="AM444" s="87"/>
      <c r="AN444" s="87"/>
      <c r="AO444" s="87">
        <v>494.0</v>
      </c>
      <c r="AP444" s="87">
        <v>15.0</v>
      </c>
      <c r="AQ444" s="87">
        <v>67.0</v>
      </c>
      <c r="AR444" s="87"/>
      <c r="AS444" s="87">
        <v>171.0</v>
      </c>
      <c r="AT444" s="87">
        <v>4.0</v>
      </c>
      <c r="AU444" s="87">
        <v>369.0</v>
      </c>
      <c r="AV444" s="87">
        <v>17.0</v>
      </c>
      <c r="AW444" s="87"/>
      <c r="AX444" s="87">
        <v>14.0</v>
      </c>
      <c r="AY444" s="87"/>
      <c r="AZ444" s="87"/>
      <c r="BA444" s="87"/>
      <c r="BB444" s="87">
        <v>1.0</v>
      </c>
      <c r="BC444" s="87"/>
      <c r="BD444" s="87"/>
      <c r="BE444" s="87">
        <v>114.0</v>
      </c>
      <c r="BF444" s="87">
        <v>88.0</v>
      </c>
      <c r="BG444" s="87">
        <v>374.0</v>
      </c>
      <c r="BH444" s="87"/>
      <c r="BI444" s="87">
        <v>31322.0</v>
      </c>
      <c r="BJ444" s="87">
        <v>1.0</v>
      </c>
      <c r="BK444" s="87">
        <v>570.0</v>
      </c>
      <c r="BL444" s="87">
        <v>5.0</v>
      </c>
      <c r="BM444" s="87"/>
      <c r="BN444" s="87"/>
      <c r="BO444" s="87"/>
      <c r="BP444" s="87">
        <v>72.0</v>
      </c>
      <c r="BQ444" s="87">
        <v>68.0</v>
      </c>
      <c r="BR444" s="87"/>
      <c r="BS444" s="87">
        <v>2.0</v>
      </c>
      <c r="BT444" s="87">
        <v>8.0</v>
      </c>
      <c r="BU444" s="87"/>
      <c r="BV444" s="87">
        <v>64.0</v>
      </c>
      <c r="BW444" s="87">
        <v>40.0</v>
      </c>
      <c r="BX444" s="87">
        <v>315.0</v>
      </c>
      <c r="BY444" s="87"/>
      <c r="BZ444" s="87"/>
      <c r="CA444" s="87"/>
      <c r="CB444" s="87"/>
      <c r="CC444" s="87">
        <v>6.0</v>
      </c>
      <c r="CD444" s="87">
        <v>1.0</v>
      </c>
      <c r="CE444" s="87"/>
      <c r="CF444" s="87"/>
      <c r="CG444" s="87">
        <v>238.0</v>
      </c>
      <c r="CH444" s="87">
        <v>338.0</v>
      </c>
      <c r="CI444" s="87"/>
      <c r="CJ444" s="87">
        <v>465.0</v>
      </c>
      <c r="CK444" s="87">
        <v>61.0</v>
      </c>
      <c r="CL444" s="87">
        <v>50.0</v>
      </c>
      <c r="CM444" s="87"/>
      <c r="CN444" s="87"/>
      <c r="CO444" s="87"/>
      <c r="CP444" s="87"/>
      <c r="CQ444" s="87"/>
      <c r="CR444" s="87"/>
      <c r="CS444" s="87"/>
      <c r="CT444" s="87">
        <v>35.0</v>
      </c>
      <c r="CU444" s="87">
        <v>10.0</v>
      </c>
      <c r="CV444" s="87">
        <v>1.0</v>
      </c>
      <c r="CW444" s="87">
        <v>27.0</v>
      </c>
      <c r="CX444" s="87">
        <v>10.0</v>
      </c>
      <c r="CY444" s="87">
        <v>31.0</v>
      </c>
      <c r="CZ444" s="87"/>
      <c r="DA444" s="87">
        <v>1.0</v>
      </c>
      <c r="DB444" s="87">
        <v>80.0</v>
      </c>
      <c r="DC444" s="87">
        <v>58.0</v>
      </c>
      <c r="DD444" s="87">
        <v>44.0</v>
      </c>
      <c r="DE444" s="87">
        <v>23.0</v>
      </c>
      <c r="DF444" s="87">
        <v>52.0</v>
      </c>
      <c r="DG444" s="87">
        <v>39.0</v>
      </c>
      <c r="DH444" s="87"/>
      <c r="DI444" s="87"/>
      <c r="DJ444" s="87"/>
      <c r="DK444" s="87">
        <v>31.0</v>
      </c>
      <c r="DL444" s="87">
        <v>83.0</v>
      </c>
      <c r="DM444" s="87">
        <v>51.0</v>
      </c>
      <c r="DN444" s="87"/>
      <c r="DO444" s="87">
        <v>371.0</v>
      </c>
      <c r="DP444" s="87"/>
      <c r="DQ444" s="87">
        <v>2.0</v>
      </c>
      <c r="DR444" s="87">
        <v>2.0</v>
      </c>
      <c r="DS444" s="87"/>
      <c r="DT444" s="87"/>
      <c r="DU444" s="87"/>
      <c r="DV444" s="87"/>
      <c r="DW444" s="87"/>
      <c r="DX444" s="87">
        <v>2.0</v>
      </c>
      <c r="DY444" s="87">
        <v>4.0</v>
      </c>
      <c r="DZ444" s="87">
        <v>1.0</v>
      </c>
      <c r="EA444" s="87"/>
      <c r="EB444" s="87"/>
      <c r="EC444" s="87"/>
      <c r="ED444" s="87">
        <v>191.0</v>
      </c>
      <c r="EE444" s="87">
        <v>3.0</v>
      </c>
      <c r="EF444" s="87"/>
      <c r="EG444" s="87">
        <v>6.0</v>
      </c>
      <c r="EH444" s="87"/>
      <c r="EI444" s="87">
        <v>6.0</v>
      </c>
      <c r="EJ444" s="87">
        <v>564.0</v>
      </c>
      <c r="EK444" s="88"/>
      <c r="EL444" s="88"/>
      <c r="EM444" s="88"/>
      <c r="EN444" s="88"/>
      <c r="EO444" s="88"/>
      <c r="EP444" s="88"/>
      <c r="EQ444" s="90"/>
    </row>
    <row r="445" ht="12.0" customHeight="1">
      <c r="A445" s="89">
        <v>1.06560508E8</v>
      </c>
      <c r="B445" s="89" t="s">
        <v>2729</v>
      </c>
      <c r="C445" s="89" t="s">
        <v>2704</v>
      </c>
      <c r="D445" s="89" t="s">
        <v>2730</v>
      </c>
      <c r="E445" s="89" t="s">
        <v>2731</v>
      </c>
      <c r="F445" s="89" t="s">
        <v>2732</v>
      </c>
      <c r="G445" s="89" t="s">
        <v>2733</v>
      </c>
      <c r="H445" s="89" t="s">
        <v>447</v>
      </c>
      <c r="I445" s="89" t="s">
        <v>543</v>
      </c>
      <c r="J445" s="89" t="s">
        <v>437</v>
      </c>
      <c r="K445" s="89" t="s">
        <v>2213</v>
      </c>
      <c r="L445" s="89" t="s">
        <v>2721</v>
      </c>
      <c r="M445" s="89" t="s">
        <v>2734</v>
      </c>
      <c r="N445" s="89" t="s">
        <v>441</v>
      </c>
      <c r="O445" s="87">
        <v>3339.0</v>
      </c>
      <c r="P445" s="87">
        <v>175.0</v>
      </c>
      <c r="Q445" s="87"/>
      <c r="R445" s="87"/>
      <c r="S445" s="87"/>
      <c r="T445" s="87"/>
      <c r="U445" s="87">
        <v>1633.0</v>
      </c>
      <c r="V445" s="87">
        <v>1881.0</v>
      </c>
      <c r="W445" s="87"/>
      <c r="X445" s="87"/>
      <c r="Y445" s="87">
        <v>12.0</v>
      </c>
      <c r="Z445" s="87">
        <v>88.0</v>
      </c>
      <c r="AA445" s="87">
        <v>141.0</v>
      </c>
      <c r="AB445" s="87">
        <v>181.0</v>
      </c>
      <c r="AC445" s="87">
        <v>340.0</v>
      </c>
      <c r="AD445" s="87">
        <v>522.0</v>
      </c>
      <c r="AE445" s="87">
        <v>844.0</v>
      </c>
      <c r="AF445" s="87">
        <v>1384.0</v>
      </c>
      <c r="AG445" s="87">
        <v>2.0</v>
      </c>
      <c r="AH445" s="87">
        <v>812.0</v>
      </c>
      <c r="AI445" s="87">
        <v>2627.0</v>
      </c>
      <c r="AJ445" s="87">
        <v>75.0</v>
      </c>
      <c r="AK445" s="87"/>
      <c r="AL445" s="87">
        <v>181.0</v>
      </c>
      <c r="AM445" s="87"/>
      <c r="AN445" s="87">
        <v>94.0</v>
      </c>
      <c r="AO445" s="87">
        <v>2841.0</v>
      </c>
      <c r="AP445" s="87">
        <v>41.0</v>
      </c>
      <c r="AQ445" s="87">
        <v>357.0</v>
      </c>
      <c r="AR445" s="87"/>
      <c r="AS445" s="87">
        <v>3107.0</v>
      </c>
      <c r="AT445" s="87">
        <v>5.0</v>
      </c>
      <c r="AU445" s="87">
        <v>28.0</v>
      </c>
      <c r="AV445" s="87">
        <v>199.0</v>
      </c>
      <c r="AW445" s="87">
        <v>34.0</v>
      </c>
      <c r="AX445" s="87">
        <v>140.0</v>
      </c>
      <c r="AY445" s="87">
        <v>1.0</v>
      </c>
      <c r="AZ445" s="87"/>
      <c r="BA445" s="87"/>
      <c r="BB445" s="87"/>
      <c r="BC445" s="87"/>
      <c r="BD445" s="87"/>
      <c r="BE445" s="87">
        <v>3179.0</v>
      </c>
      <c r="BF445" s="87">
        <v>7.0</v>
      </c>
      <c r="BG445" s="87">
        <v>328.0</v>
      </c>
      <c r="BH445" s="87"/>
      <c r="BI445" s="87">
        <v>41660.0</v>
      </c>
      <c r="BJ445" s="87">
        <v>3090.0</v>
      </c>
      <c r="BK445" s="87">
        <v>107.0</v>
      </c>
      <c r="BL445" s="87">
        <v>317.0</v>
      </c>
      <c r="BM445" s="87"/>
      <c r="BN445" s="87"/>
      <c r="BO445" s="87"/>
      <c r="BP445" s="87">
        <v>1262.0</v>
      </c>
      <c r="BQ445" s="87">
        <v>330.0</v>
      </c>
      <c r="BR445" s="87">
        <v>53.0</v>
      </c>
      <c r="BS445" s="87">
        <v>549.0</v>
      </c>
      <c r="BT445" s="87">
        <v>30.0</v>
      </c>
      <c r="BU445" s="87"/>
      <c r="BV445" s="87">
        <v>48.0</v>
      </c>
      <c r="BW445" s="87">
        <v>185.0</v>
      </c>
      <c r="BX445" s="87">
        <v>902.0</v>
      </c>
      <c r="BY445" s="87"/>
      <c r="BZ445" s="87"/>
      <c r="CA445" s="87">
        <v>133.0</v>
      </c>
      <c r="CB445" s="87">
        <v>17.0</v>
      </c>
      <c r="CC445" s="87"/>
      <c r="CD445" s="87"/>
      <c r="CE445" s="87">
        <v>5.0</v>
      </c>
      <c r="CF445" s="87"/>
      <c r="CG445" s="87">
        <v>721.0</v>
      </c>
      <c r="CH445" s="87">
        <v>2793.0</v>
      </c>
      <c r="CI445" s="87"/>
      <c r="CJ445" s="87">
        <v>2269.0</v>
      </c>
      <c r="CK445" s="87">
        <v>542.0</v>
      </c>
      <c r="CL445" s="87">
        <v>467.0</v>
      </c>
      <c r="CM445" s="87">
        <v>5.0</v>
      </c>
      <c r="CN445" s="87"/>
      <c r="CO445" s="87">
        <v>24.0</v>
      </c>
      <c r="CP445" s="87"/>
      <c r="CQ445" s="87"/>
      <c r="CR445" s="87">
        <v>207.0</v>
      </c>
      <c r="CS445" s="87"/>
      <c r="CT445" s="87">
        <v>869.0</v>
      </c>
      <c r="CU445" s="87">
        <v>79.0</v>
      </c>
      <c r="CV445" s="87">
        <v>31.0</v>
      </c>
      <c r="CW445" s="87">
        <v>178.0</v>
      </c>
      <c r="CX445" s="87">
        <v>66.0</v>
      </c>
      <c r="CY445" s="87">
        <v>100.0</v>
      </c>
      <c r="CZ445" s="87">
        <v>1.0</v>
      </c>
      <c r="DA445" s="87">
        <v>10.0</v>
      </c>
      <c r="DB445" s="87">
        <v>546.0</v>
      </c>
      <c r="DC445" s="87">
        <v>338.0</v>
      </c>
      <c r="DD445" s="87">
        <v>467.0</v>
      </c>
      <c r="DE445" s="87">
        <v>39.0</v>
      </c>
      <c r="DF445" s="87">
        <v>116.0</v>
      </c>
      <c r="DG445" s="87">
        <v>231.0</v>
      </c>
      <c r="DH445" s="87"/>
      <c r="DI445" s="87"/>
      <c r="DJ445" s="87">
        <v>1.0</v>
      </c>
      <c r="DK445" s="87">
        <v>52.0</v>
      </c>
      <c r="DL445" s="87">
        <v>353.0</v>
      </c>
      <c r="DM445" s="87">
        <v>35.0</v>
      </c>
      <c r="DN445" s="87">
        <v>2.0</v>
      </c>
      <c r="DO445" s="87">
        <v>888.0</v>
      </c>
      <c r="DP445" s="87"/>
      <c r="DQ445" s="87">
        <v>263.0</v>
      </c>
      <c r="DR445" s="87">
        <v>367.0</v>
      </c>
      <c r="DS445" s="87">
        <v>1.0</v>
      </c>
      <c r="DT445" s="87">
        <v>2.0</v>
      </c>
      <c r="DU445" s="87"/>
      <c r="DV445" s="87">
        <v>7.0</v>
      </c>
      <c r="DW445" s="87">
        <v>13.0</v>
      </c>
      <c r="DX445" s="87">
        <v>73.0</v>
      </c>
      <c r="DY445" s="87">
        <v>265.0</v>
      </c>
      <c r="DZ445" s="87">
        <v>31.0</v>
      </c>
      <c r="EA445" s="87">
        <v>6.0</v>
      </c>
      <c r="EB445" s="87">
        <v>80.0</v>
      </c>
      <c r="EC445" s="87">
        <v>43.0</v>
      </c>
      <c r="ED445" s="87">
        <v>1422.0</v>
      </c>
      <c r="EE445" s="87">
        <v>53.0</v>
      </c>
      <c r="EF445" s="87">
        <v>22.0</v>
      </c>
      <c r="EG445" s="87">
        <v>32.0</v>
      </c>
      <c r="EH445" s="87"/>
      <c r="EI445" s="87">
        <v>17.0</v>
      </c>
      <c r="EJ445" s="87">
        <v>3443.0</v>
      </c>
      <c r="EK445" s="88"/>
      <c r="EL445" s="88"/>
      <c r="EM445" s="88"/>
      <c r="EN445" s="88"/>
      <c r="EO445" s="88"/>
      <c r="EP445" s="88"/>
      <c r="EQ445" s="90"/>
    </row>
    <row r="446" ht="12.0" customHeight="1">
      <c r="A446" s="89">
        <v>1.06560525E8</v>
      </c>
      <c r="B446" s="89" t="s">
        <v>2735</v>
      </c>
      <c r="C446" s="89" t="s">
        <v>2704</v>
      </c>
      <c r="D446" s="89" t="s">
        <v>2736</v>
      </c>
      <c r="E446" s="89" t="s">
        <v>2737</v>
      </c>
      <c r="F446" s="89" t="s">
        <v>2738</v>
      </c>
      <c r="G446" s="89" t="s">
        <v>2739</v>
      </c>
      <c r="H446" s="89" t="s">
        <v>447</v>
      </c>
      <c r="I446" s="89" t="s">
        <v>543</v>
      </c>
      <c r="J446" s="89" t="s">
        <v>437</v>
      </c>
      <c r="K446" s="89" t="s">
        <v>1041</v>
      </c>
      <c r="L446" s="89" t="s">
        <v>1331</v>
      </c>
      <c r="M446" s="89" t="s">
        <v>2740</v>
      </c>
      <c r="N446" s="89" t="s">
        <v>441</v>
      </c>
      <c r="O446" s="87">
        <v>7598.0</v>
      </c>
      <c r="P446" s="87"/>
      <c r="Q446" s="87"/>
      <c r="R446" s="87"/>
      <c r="S446" s="87"/>
      <c r="T446" s="87"/>
      <c r="U446" s="87">
        <v>3560.0</v>
      </c>
      <c r="V446" s="87">
        <v>4037.0</v>
      </c>
      <c r="W446" s="87">
        <v>1.0</v>
      </c>
      <c r="X446" s="87">
        <v>511.0</v>
      </c>
      <c r="Y446" s="87">
        <v>58.0</v>
      </c>
      <c r="Z446" s="87">
        <v>391.0</v>
      </c>
      <c r="AA446" s="87">
        <v>684.0</v>
      </c>
      <c r="AB446" s="87">
        <v>556.0</v>
      </c>
      <c r="AC446" s="87">
        <v>835.0</v>
      </c>
      <c r="AD446" s="87">
        <v>1249.0</v>
      </c>
      <c r="AE446" s="87">
        <v>1527.0</v>
      </c>
      <c r="AF446" s="87">
        <v>1787.0</v>
      </c>
      <c r="AG446" s="87"/>
      <c r="AH446" s="87">
        <v>1433.0</v>
      </c>
      <c r="AI446" s="87">
        <v>5942.0</v>
      </c>
      <c r="AJ446" s="87">
        <v>223.0</v>
      </c>
      <c r="AK446" s="87">
        <v>14.0</v>
      </c>
      <c r="AL446" s="87">
        <v>364.0</v>
      </c>
      <c r="AM446" s="87"/>
      <c r="AN446" s="87">
        <v>114.0</v>
      </c>
      <c r="AO446" s="87">
        <v>5927.0</v>
      </c>
      <c r="AP446" s="87">
        <v>255.0</v>
      </c>
      <c r="AQ446" s="87">
        <v>924.0</v>
      </c>
      <c r="AR446" s="87"/>
      <c r="AS446" s="87">
        <v>6789.0</v>
      </c>
      <c r="AT446" s="87">
        <v>147.0</v>
      </c>
      <c r="AU446" s="87">
        <v>21.0</v>
      </c>
      <c r="AV446" s="87">
        <v>82.0</v>
      </c>
      <c r="AW446" s="87">
        <v>20.0</v>
      </c>
      <c r="AX446" s="87">
        <v>39.0</v>
      </c>
      <c r="AY446" s="87">
        <v>3.0</v>
      </c>
      <c r="AZ446" s="87">
        <v>2.0</v>
      </c>
      <c r="BA446" s="87">
        <v>1.0</v>
      </c>
      <c r="BB446" s="87">
        <v>1.0</v>
      </c>
      <c r="BC446" s="87">
        <v>493.0</v>
      </c>
      <c r="BD446" s="87"/>
      <c r="BE446" s="87">
        <v>6196.0</v>
      </c>
      <c r="BF446" s="87">
        <v>11.0</v>
      </c>
      <c r="BG446" s="87">
        <v>1321.0</v>
      </c>
      <c r="BH446" s="87">
        <v>70.0</v>
      </c>
      <c r="BI446" s="87">
        <v>35185.0</v>
      </c>
      <c r="BJ446" s="87">
        <v>4782.0</v>
      </c>
      <c r="BK446" s="87">
        <v>1710.0</v>
      </c>
      <c r="BL446" s="87">
        <v>608.0</v>
      </c>
      <c r="BM446" s="87">
        <v>493.0</v>
      </c>
      <c r="BN446" s="87">
        <v>4.0</v>
      </c>
      <c r="BO446" s="87">
        <v>1.0</v>
      </c>
      <c r="BP446" s="87">
        <v>4147.0</v>
      </c>
      <c r="BQ446" s="87">
        <v>288.0</v>
      </c>
      <c r="BR446" s="87">
        <v>84.0</v>
      </c>
      <c r="BS446" s="87">
        <v>732.0</v>
      </c>
      <c r="BT446" s="87">
        <v>54.0</v>
      </c>
      <c r="BU446" s="87"/>
      <c r="BV446" s="87">
        <v>180.0</v>
      </c>
      <c r="BW446" s="87">
        <v>239.0</v>
      </c>
      <c r="BX446" s="87">
        <v>1625.0</v>
      </c>
      <c r="BY446" s="87"/>
      <c r="BZ446" s="87"/>
      <c r="CA446" s="87">
        <v>208.0</v>
      </c>
      <c r="CB446" s="87">
        <v>19.0</v>
      </c>
      <c r="CC446" s="87"/>
      <c r="CD446" s="87">
        <v>9.0</v>
      </c>
      <c r="CE446" s="87"/>
      <c r="CF446" s="87">
        <v>13.0</v>
      </c>
      <c r="CG446" s="87">
        <v>842.0</v>
      </c>
      <c r="CH446" s="87">
        <v>6756.0</v>
      </c>
      <c r="CI446" s="87"/>
      <c r="CJ446" s="87">
        <v>3964.0</v>
      </c>
      <c r="CK446" s="87">
        <v>1279.0</v>
      </c>
      <c r="CL446" s="87">
        <v>2155.0</v>
      </c>
      <c r="CM446" s="87">
        <v>24.0</v>
      </c>
      <c r="CN446" s="87"/>
      <c r="CO446" s="87">
        <v>71.0</v>
      </c>
      <c r="CP446" s="87"/>
      <c r="CQ446" s="87">
        <v>102.0</v>
      </c>
      <c r="CR446" s="87">
        <v>2.0</v>
      </c>
      <c r="CS446" s="87">
        <v>1.0</v>
      </c>
      <c r="CT446" s="87">
        <v>1350.0</v>
      </c>
      <c r="CU446" s="87">
        <v>191.0</v>
      </c>
      <c r="CV446" s="87">
        <v>74.0</v>
      </c>
      <c r="CW446" s="87">
        <v>291.0</v>
      </c>
      <c r="CX446" s="87">
        <v>167.0</v>
      </c>
      <c r="CY446" s="87">
        <v>217.0</v>
      </c>
      <c r="CZ446" s="87">
        <v>2.0</v>
      </c>
      <c r="DA446" s="87">
        <v>16.0</v>
      </c>
      <c r="DB446" s="87">
        <v>1245.0</v>
      </c>
      <c r="DC446" s="87">
        <v>501.0</v>
      </c>
      <c r="DD446" s="87">
        <v>921.0</v>
      </c>
      <c r="DE446" s="87">
        <v>103.0</v>
      </c>
      <c r="DF446" s="87">
        <v>223.0</v>
      </c>
      <c r="DG446" s="87">
        <v>474.0</v>
      </c>
      <c r="DH446" s="87">
        <v>538.0</v>
      </c>
      <c r="DI446" s="87">
        <v>510.0</v>
      </c>
      <c r="DJ446" s="87">
        <v>2.0</v>
      </c>
      <c r="DK446" s="87">
        <v>115.0</v>
      </c>
      <c r="DL446" s="87">
        <v>597.0</v>
      </c>
      <c r="DM446" s="87">
        <v>61.0</v>
      </c>
      <c r="DN446" s="87"/>
      <c r="DO446" s="87">
        <v>1602.0</v>
      </c>
      <c r="DP446" s="87">
        <v>498.0</v>
      </c>
      <c r="DQ446" s="87">
        <v>632.0</v>
      </c>
      <c r="DR446" s="87">
        <v>789.0</v>
      </c>
      <c r="DS446" s="87">
        <v>2.0</v>
      </c>
      <c r="DT446" s="87"/>
      <c r="DU446" s="87"/>
      <c r="DV446" s="87">
        <v>126.0</v>
      </c>
      <c r="DW446" s="87">
        <v>7.0</v>
      </c>
      <c r="DX446" s="87">
        <v>120.0</v>
      </c>
      <c r="DY446" s="87">
        <v>359.0</v>
      </c>
      <c r="DZ446" s="87">
        <v>69.0</v>
      </c>
      <c r="EA446" s="87">
        <v>7.0</v>
      </c>
      <c r="EB446" s="87">
        <v>183.0</v>
      </c>
      <c r="EC446" s="87">
        <v>125.0</v>
      </c>
      <c r="ED446" s="87">
        <v>2915.0</v>
      </c>
      <c r="EE446" s="87">
        <v>164.0</v>
      </c>
      <c r="EF446" s="87">
        <v>24.0</v>
      </c>
      <c r="EG446" s="87">
        <v>81.0</v>
      </c>
      <c r="EH446" s="87"/>
      <c r="EI446" s="87">
        <v>77.0</v>
      </c>
      <c r="EJ446" s="87">
        <v>7416.0</v>
      </c>
    </row>
    <row r="447" ht="12.0" customHeight="1">
      <c r="A447" s="89">
        <v>1.06560529E8</v>
      </c>
      <c r="B447" s="89" t="s">
        <v>2741</v>
      </c>
      <c r="C447" s="89" t="s">
        <v>2704</v>
      </c>
      <c r="D447" s="89" t="s">
        <v>2742</v>
      </c>
      <c r="E447" s="89" t="s">
        <v>2743</v>
      </c>
      <c r="F447" s="89" t="s">
        <v>2744</v>
      </c>
      <c r="G447" s="89" t="s">
        <v>2745</v>
      </c>
      <c r="H447" s="89" t="s">
        <v>447</v>
      </c>
      <c r="I447" s="89" t="s">
        <v>543</v>
      </c>
      <c r="J447" s="89" t="s">
        <v>469</v>
      </c>
      <c r="K447" s="89" t="s">
        <v>2213</v>
      </c>
      <c r="L447" s="89" t="s">
        <v>2721</v>
      </c>
      <c r="M447" s="89" t="s">
        <v>2746</v>
      </c>
      <c r="N447" s="89" t="s">
        <v>441</v>
      </c>
      <c r="O447" s="87">
        <v>10400.0</v>
      </c>
      <c r="P447" s="87"/>
      <c r="Q447" s="87"/>
      <c r="R447" s="87"/>
      <c r="S447" s="87">
        <v>485.0</v>
      </c>
      <c r="T447" s="87"/>
      <c r="U447" s="87">
        <v>5060.0</v>
      </c>
      <c r="V447" s="87">
        <v>5825.0</v>
      </c>
      <c r="W447" s="87"/>
      <c r="X447" s="87">
        <v>1210.0</v>
      </c>
      <c r="Y447" s="87">
        <v>146.0</v>
      </c>
      <c r="Z447" s="87">
        <v>813.0</v>
      </c>
      <c r="AA447" s="87">
        <v>1079.0</v>
      </c>
      <c r="AB447" s="87">
        <v>730.0</v>
      </c>
      <c r="AC447" s="87">
        <v>1172.0</v>
      </c>
      <c r="AD447" s="87">
        <v>1699.0</v>
      </c>
      <c r="AE447" s="87">
        <v>1843.0</v>
      </c>
      <c r="AF447" s="87">
        <v>2185.0</v>
      </c>
      <c r="AG447" s="87">
        <v>8.0</v>
      </c>
      <c r="AH447" s="87">
        <v>5851.0</v>
      </c>
      <c r="AI447" s="87">
        <v>4856.0</v>
      </c>
      <c r="AJ447" s="87">
        <v>178.0</v>
      </c>
      <c r="AK447" s="87">
        <v>13.0</v>
      </c>
      <c r="AL447" s="87">
        <v>736.0</v>
      </c>
      <c r="AM447" s="87">
        <v>23.0</v>
      </c>
      <c r="AN447" s="87">
        <v>424.0</v>
      </c>
      <c r="AO447" s="87">
        <v>7798.0</v>
      </c>
      <c r="AP447" s="87">
        <v>26.0</v>
      </c>
      <c r="AQ447" s="87">
        <v>1668.0</v>
      </c>
      <c r="AR447" s="87">
        <v>197.0</v>
      </c>
      <c r="AS447" s="87">
        <v>8557.0</v>
      </c>
      <c r="AT447" s="87">
        <v>27.0</v>
      </c>
      <c r="AU447" s="87">
        <v>420.0</v>
      </c>
      <c r="AV447" s="87">
        <v>197.0</v>
      </c>
      <c r="AW447" s="87">
        <v>162.0</v>
      </c>
      <c r="AX447" s="87">
        <v>373.0</v>
      </c>
      <c r="AY447" s="87">
        <v>8.0</v>
      </c>
      <c r="AZ447" s="87"/>
      <c r="BA447" s="87">
        <v>1.0</v>
      </c>
      <c r="BB447" s="87">
        <v>1.0</v>
      </c>
      <c r="BC447" s="87">
        <v>1139.0</v>
      </c>
      <c r="BD447" s="87"/>
      <c r="BE447" s="87">
        <v>7015.0</v>
      </c>
      <c r="BF447" s="87">
        <v>106.0</v>
      </c>
      <c r="BG447" s="87">
        <v>3763.0</v>
      </c>
      <c r="BH447" s="87">
        <v>1.0</v>
      </c>
      <c r="BI447" s="87">
        <v>53887.0</v>
      </c>
      <c r="BJ447" s="87">
        <v>6628.0</v>
      </c>
      <c r="BK447" s="87">
        <v>429.0</v>
      </c>
      <c r="BL447" s="87">
        <v>2688.0</v>
      </c>
      <c r="BM447" s="87">
        <v>1139.0</v>
      </c>
      <c r="BN447" s="87"/>
      <c r="BO447" s="87">
        <v>1.0</v>
      </c>
      <c r="BP447" s="87">
        <v>6469.0</v>
      </c>
      <c r="BQ447" s="87">
        <v>273.0</v>
      </c>
      <c r="BR447" s="87">
        <v>267.0</v>
      </c>
      <c r="BS447" s="87">
        <v>954.0</v>
      </c>
      <c r="BT447" s="87">
        <v>57.0</v>
      </c>
      <c r="BU447" s="87">
        <v>1.0</v>
      </c>
      <c r="BV447" s="87">
        <v>212.0</v>
      </c>
      <c r="BW447" s="87">
        <v>381.0</v>
      </c>
      <c r="BX447" s="87">
        <v>1965.0</v>
      </c>
      <c r="BY447" s="87"/>
      <c r="BZ447" s="87">
        <v>3.0</v>
      </c>
      <c r="CA447" s="87">
        <v>247.0</v>
      </c>
      <c r="CB447" s="87">
        <v>21.0</v>
      </c>
      <c r="CC447" s="87"/>
      <c r="CD447" s="87">
        <v>10.0</v>
      </c>
      <c r="CE447" s="87">
        <v>25.0</v>
      </c>
      <c r="CF447" s="87"/>
      <c r="CG447" s="87">
        <v>1147.0</v>
      </c>
      <c r="CH447" s="87">
        <v>9737.0</v>
      </c>
      <c r="CI447" s="87">
        <v>1.0</v>
      </c>
      <c r="CJ447" s="87">
        <v>4549.0</v>
      </c>
      <c r="CK447" s="87">
        <v>3421.0</v>
      </c>
      <c r="CL447" s="87">
        <v>1913.0</v>
      </c>
      <c r="CM447" s="87">
        <v>23.0</v>
      </c>
      <c r="CN447" s="87"/>
      <c r="CO447" s="87">
        <v>208.0</v>
      </c>
      <c r="CP447" s="87"/>
      <c r="CQ447" s="87">
        <v>132.0</v>
      </c>
      <c r="CR447" s="87">
        <v>639.0</v>
      </c>
      <c r="CS447" s="87"/>
      <c r="CT447" s="87">
        <v>1625.0</v>
      </c>
      <c r="CU447" s="87">
        <v>210.0</v>
      </c>
      <c r="CV447" s="87">
        <v>68.0</v>
      </c>
      <c r="CW447" s="87">
        <v>703.0</v>
      </c>
      <c r="CX447" s="87">
        <v>119.0</v>
      </c>
      <c r="CY447" s="87">
        <v>243.0</v>
      </c>
      <c r="CZ447" s="87">
        <v>6.0</v>
      </c>
      <c r="DA447" s="87">
        <v>4.0</v>
      </c>
      <c r="DB447" s="87">
        <v>2132.0</v>
      </c>
      <c r="DC447" s="87">
        <v>445.0</v>
      </c>
      <c r="DD447" s="87">
        <v>1045.0</v>
      </c>
      <c r="DE447" s="87">
        <v>100.0</v>
      </c>
      <c r="DF447" s="87">
        <v>220.0</v>
      </c>
      <c r="DG447" s="87">
        <v>525.0</v>
      </c>
      <c r="DH447" s="87">
        <v>1218.0</v>
      </c>
      <c r="DI447" s="87">
        <v>1162.0</v>
      </c>
      <c r="DJ447" s="87">
        <v>14.0</v>
      </c>
      <c r="DK447" s="87">
        <v>159.0</v>
      </c>
      <c r="DL447" s="87">
        <v>755.0</v>
      </c>
      <c r="DM447" s="87">
        <v>132.0</v>
      </c>
      <c r="DN447" s="87"/>
      <c r="DO447" s="87">
        <v>2617.0</v>
      </c>
      <c r="DP447" s="87">
        <v>1082.0</v>
      </c>
      <c r="DQ447" s="87">
        <v>1453.0</v>
      </c>
      <c r="DR447" s="87">
        <v>1204.0</v>
      </c>
      <c r="DS447" s="87">
        <v>1.0</v>
      </c>
      <c r="DT447" s="87">
        <v>3.0</v>
      </c>
      <c r="DU447" s="87">
        <v>1.0</v>
      </c>
      <c r="DV447" s="87">
        <v>84.0</v>
      </c>
      <c r="DW447" s="87">
        <v>18.0</v>
      </c>
      <c r="DX447" s="87">
        <v>180.0</v>
      </c>
      <c r="DY447" s="87">
        <v>386.0</v>
      </c>
      <c r="DZ447" s="87">
        <v>163.0</v>
      </c>
      <c r="EA447" s="87">
        <v>12.0</v>
      </c>
      <c r="EB447" s="87">
        <v>144.0</v>
      </c>
      <c r="EC447" s="87">
        <v>105.0</v>
      </c>
      <c r="ED447" s="87">
        <v>3309.0</v>
      </c>
      <c r="EE447" s="87">
        <v>123.0</v>
      </c>
      <c r="EF447" s="87">
        <v>50.0</v>
      </c>
      <c r="EG447" s="87">
        <v>278.0</v>
      </c>
      <c r="EH447" s="87">
        <v>4.0</v>
      </c>
      <c r="EI447" s="87">
        <v>69.0</v>
      </c>
      <c r="EJ447" s="87">
        <v>10484.0</v>
      </c>
    </row>
    <row r="448" ht="12.0" customHeight="1">
      <c r="A448" s="89">
        <v>1.06571086E8</v>
      </c>
      <c r="B448" s="89" t="s">
        <v>2747</v>
      </c>
      <c r="C448" s="89" t="s">
        <v>2748</v>
      </c>
      <c r="D448" s="89" t="s">
        <v>2749</v>
      </c>
      <c r="E448" s="89" t="s">
        <v>2750</v>
      </c>
      <c r="F448" s="89" t="s">
        <v>2751</v>
      </c>
      <c r="G448" s="89" t="s">
        <v>2752</v>
      </c>
      <c r="H448" s="89" t="s">
        <v>447</v>
      </c>
      <c r="I448" s="89" t="s">
        <v>543</v>
      </c>
      <c r="J448" s="89" t="s">
        <v>437</v>
      </c>
      <c r="K448" s="89" t="s">
        <v>555</v>
      </c>
      <c r="L448" s="89" t="s">
        <v>554</v>
      </c>
      <c r="M448" s="89" t="s">
        <v>2753</v>
      </c>
      <c r="N448" s="89" t="s">
        <v>441</v>
      </c>
      <c r="O448" s="87">
        <v>3501.0</v>
      </c>
      <c r="P448" s="87"/>
      <c r="Q448" s="87">
        <v>1264.0</v>
      </c>
      <c r="R448" s="87"/>
      <c r="S448" s="87"/>
      <c r="T448" s="87"/>
      <c r="U448" s="87">
        <v>2098.0</v>
      </c>
      <c r="V448" s="87">
        <v>2666.0</v>
      </c>
      <c r="W448" s="87">
        <v>1.0</v>
      </c>
      <c r="X448" s="87">
        <v>534.0</v>
      </c>
      <c r="Y448" s="87">
        <v>84.0</v>
      </c>
      <c r="Z448" s="87">
        <v>692.0</v>
      </c>
      <c r="AA448" s="87">
        <v>720.0</v>
      </c>
      <c r="AB448" s="87">
        <v>444.0</v>
      </c>
      <c r="AC448" s="87">
        <v>549.0</v>
      </c>
      <c r="AD448" s="87">
        <v>727.0</v>
      </c>
      <c r="AE448" s="87">
        <v>581.0</v>
      </c>
      <c r="AF448" s="87">
        <v>434.0</v>
      </c>
      <c r="AG448" s="87"/>
      <c r="AH448" s="87">
        <v>1537.0</v>
      </c>
      <c r="AI448" s="87">
        <v>3157.0</v>
      </c>
      <c r="AJ448" s="87">
        <v>71.0</v>
      </c>
      <c r="AK448" s="87">
        <v>12.0</v>
      </c>
      <c r="AL448" s="87">
        <v>223.0</v>
      </c>
      <c r="AM448" s="87"/>
      <c r="AN448" s="87">
        <v>294.0</v>
      </c>
      <c r="AO448" s="87">
        <v>2488.0</v>
      </c>
      <c r="AP448" s="87">
        <v>253.0</v>
      </c>
      <c r="AQ448" s="87">
        <v>1484.0</v>
      </c>
      <c r="AR448" s="87">
        <v>11.0</v>
      </c>
      <c r="AS448" s="87">
        <v>3133.0</v>
      </c>
      <c r="AT448" s="87">
        <v>19.0</v>
      </c>
      <c r="AU448" s="87">
        <v>357.0</v>
      </c>
      <c r="AV448" s="87">
        <v>17.0</v>
      </c>
      <c r="AW448" s="87">
        <v>48.0</v>
      </c>
      <c r="AX448" s="87">
        <v>666.0</v>
      </c>
      <c r="AY448" s="87">
        <v>1.0</v>
      </c>
      <c r="AZ448" s="87"/>
      <c r="BA448" s="87">
        <v>9.0</v>
      </c>
      <c r="BB448" s="87"/>
      <c r="BC448" s="87">
        <v>515.0</v>
      </c>
      <c r="BD448" s="87"/>
      <c r="BE448" s="87">
        <v>2568.0</v>
      </c>
      <c r="BF448" s="87">
        <v>301.0</v>
      </c>
      <c r="BG448" s="87">
        <v>1896.0</v>
      </c>
      <c r="BH448" s="87"/>
      <c r="BI448" s="87">
        <v>22072.0</v>
      </c>
      <c r="BJ448" s="87">
        <v>148.0</v>
      </c>
      <c r="BK448" s="87">
        <v>3374.0</v>
      </c>
      <c r="BL448" s="87">
        <v>721.0</v>
      </c>
      <c r="BM448" s="87">
        <v>515.0</v>
      </c>
      <c r="BN448" s="87">
        <v>7.0</v>
      </c>
      <c r="BO448" s="87"/>
      <c r="BP448" s="87">
        <v>3707.0</v>
      </c>
      <c r="BQ448" s="87">
        <v>109.0</v>
      </c>
      <c r="BR448" s="87">
        <v>16.0</v>
      </c>
      <c r="BS448" s="87">
        <v>281.0</v>
      </c>
      <c r="BT448" s="87">
        <v>39.0</v>
      </c>
      <c r="BU448" s="87">
        <v>11.0</v>
      </c>
      <c r="BV448" s="87">
        <v>77.0</v>
      </c>
      <c r="BW448" s="87">
        <v>134.0</v>
      </c>
      <c r="BX448" s="87">
        <v>258.0</v>
      </c>
      <c r="BY448" s="87"/>
      <c r="BZ448" s="87">
        <v>4.0</v>
      </c>
      <c r="CA448" s="87">
        <v>54.0</v>
      </c>
      <c r="CB448" s="87">
        <v>65.0</v>
      </c>
      <c r="CC448" s="87">
        <v>3.0</v>
      </c>
      <c r="CD448" s="87">
        <v>7.0</v>
      </c>
      <c r="CE448" s="87"/>
      <c r="CF448" s="87"/>
      <c r="CG448" s="87">
        <v>386.0</v>
      </c>
      <c r="CH448" s="87">
        <v>4379.0</v>
      </c>
      <c r="CI448" s="87"/>
      <c r="CJ448" s="87">
        <v>1636.0</v>
      </c>
      <c r="CK448" s="87">
        <v>1755.0</v>
      </c>
      <c r="CL448" s="87">
        <v>1205.0</v>
      </c>
      <c r="CM448" s="87">
        <v>55.0</v>
      </c>
      <c r="CN448" s="87">
        <v>1.0</v>
      </c>
      <c r="CO448" s="87">
        <v>63.0</v>
      </c>
      <c r="CP448" s="87"/>
      <c r="CQ448" s="87">
        <v>50.0</v>
      </c>
      <c r="CR448" s="87"/>
      <c r="CS448" s="87"/>
      <c r="CT448" s="87">
        <v>555.0</v>
      </c>
      <c r="CU448" s="87">
        <v>82.0</v>
      </c>
      <c r="CV448" s="87">
        <v>29.0</v>
      </c>
      <c r="CW448" s="87">
        <v>143.0</v>
      </c>
      <c r="CX448" s="87">
        <v>1285.0</v>
      </c>
      <c r="CY448" s="87">
        <v>52.0</v>
      </c>
      <c r="CZ448" s="87">
        <v>2.0</v>
      </c>
      <c r="DA448" s="87"/>
      <c r="DB448" s="87">
        <v>268.0</v>
      </c>
      <c r="DC448" s="87">
        <v>235.0</v>
      </c>
      <c r="DD448" s="87">
        <v>354.0</v>
      </c>
      <c r="DE448" s="87">
        <v>44.0</v>
      </c>
      <c r="DF448" s="87">
        <v>212.0</v>
      </c>
      <c r="DG448" s="87">
        <v>154.0</v>
      </c>
      <c r="DH448" s="87">
        <v>586.0</v>
      </c>
      <c r="DI448" s="87">
        <v>530.0</v>
      </c>
      <c r="DJ448" s="87"/>
      <c r="DK448" s="87">
        <v>29.0</v>
      </c>
      <c r="DL448" s="87">
        <v>194.0</v>
      </c>
      <c r="DM448" s="87">
        <v>11.0</v>
      </c>
      <c r="DN448" s="87"/>
      <c r="DO448" s="87">
        <v>733.0</v>
      </c>
      <c r="DP448" s="87">
        <v>508.0</v>
      </c>
      <c r="DQ448" s="87">
        <v>173.0</v>
      </c>
      <c r="DR448" s="87">
        <v>256.0</v>
      </c>
      <c r="DS448" s="87">
        <v>1.0</v>
      </c>
      <c r="DT448" s="87">
        <v>3.0</v>
      </c>
      <c r="DU448" s="87"/>
      <c r="DV448" s="87">
        <v>64.0</v>
      </c>
      <c r="DW448" s="87">
        <v>6.0</v>
      </c>
      <c r="DX448" s="87">
        <v>64.0</v>
      </c>
      <c r="DY448" s="87">
        <v>310.0</v>
      </c>
      <c r="DZ448" s="87">
        <v>28.0</v>
      </c>
      <c r="EA448" s="87">
        <v>7.0</v>
      </c>
      <c r="EB448" s="87">
        <v>41.0</v>
      </c>
      <c r="EC448" s="87">
        <v>51.0</v>
      </c>
      <c r="ED448" s="87">
        <v>2478.0</v>
      </c>
      <c r="EE448" s="87">
        <v>42.0</v>
      </c>
      <c r="EF448" s="87">
        <v>1.0</v>
      </c>
      <c r="EG448" s="87">
        <v>389.0</v>
      </c>
      <c r="EH448" s="87"/>
      <c r="EI448" s="87">
        <v>22.0</v>
      </c>
      <c r="EJ448" s="87">
        <v>4353.0</v>
      </c>
    </row>
    <row r="449" ht="12.0" customHeight="1">
      <c r="A449" s="89">
        <v>1.0657401E8</v>
      </c>
      <c r="B449" s="89" t="s">
        <v>2754</v>
      </c>
      <c r="C449" s="89" t="s">
        <v>2748</v>
      </c>
      <c r="D449" s="89" t="s">
        <v>2755</v>
      </c>
      <c r="E449" s="89" t="s">
        <v>2756</v>
      </c>
      <c r="F449" s="89" t="s">
        <v>2757</v>
      </c>
      <c r="G449" s="89" t="s">
        <v>2758</v>
      </c>
      <c r="H449" s="89" t="s">
        <v>447</v>
      </c>
      <c r="I449" s="89" t="s">
        <v>543</v>
      </c>
      <c r="J449" s="89" t="s">
        <v>499</v>
      </c>
      <c r="K449" s="89" t="s">
        <v>555</v>
      </c>
      <c r="L449" s="89" t="s">
        <v>554</v>
      </c>
      <c r="M449" s="89" t="s">
        <v>2759</v>
      </c>
      <c r="N449" s="89" t="s">
        <v>441</v>
      </c>
      <c r="O449" s="87">
        <v>4736.0</v>
      </c>
      <c r="P449" s="87"/>
      <c r="Q449" s="87"/>
      <c r="R449" s="87"/>
      <c r="S449" s="87"/>
      <c r="T449" s="87"/>
      <c r="U449" s="87">
        <v>1695.0</v>
      </c>
      <c r="V449" s="87">
        <v>3041.0</v>
      </c>
      <c r="W449" s="87"/>
      <c r="X449" s="87">
        <v>1188.0</v>
      </c>
      <c r="Y449" s="87">
        <v>53.0</v>
      </c>
      <c r="Z449" s="87">
        <v>650.0</v>
      </c>
      <c r="AA449" s="87">
        <v>792.0</v>
      </c>
      <c r="AB449" s="87">
        <v>264.0</v>
      </c>
      <c r="AC449" s="87">
        <v>291.0</v>
      </c>
      <c r="AD449" s="87">
        <v>434.0</v>
      </c>
      <c r="AE449" s="87">
        <v>490.0</v>
      </c>
      <c r="AF449" s="87">
        <v>574.0</v>
      </c>
      <c r="AG449" s="87"/>
      <c r="AH449" s="87">
        <v>1585.0</v>
      </c>
      <c r="AI449" s="87">
        <v>2948.0</v>
      </c>
      <c r="AJ449" s="87">
        <v>203.0</v>
      </c>
      <c r="AK449" s="87">
        <v>48.0</v>
      </c>
      <c r="AL449" s="87">
        <v>252.0</v>
      </c>
      <c r="AM449" s="87">
        <v>64.0</v>
      </c>
      <c r="AN449" s="87">
        <v>170.0</v>
      </c>
      <c r="AO449" s="87">
        <v>2497.0</v>
      </c>
      <c r="AP449" s="87">
        <v>205.0</v>
      </c>
      <c r="AQ449" s="87">
        <v>1394.0</v>
      </c>
      <c r="AR449" s="87">
        <v>106.0</v>
      </c>
      <c r="AS449" s="87">
        <v>3374.0</v>
      </c>
      <c r="AT449" s="87">
        <v>37.0</v>
      </c>
      <c r="AU449" s="87">
        <v>57.0</v>
      </c>
      <c r="AV449" s="87">
        <v>108.0</v>
      </c>
      <c r="AW449" s="87">
        <v>4.0</v>
      </c>
      <c r="AX449" s="87"/>
      <c r="AY449" s="87">
        <v>4.0</v>
      </c>
      <c r="AZ449" s="87">
        <v>1.0</v>
      </c>
      <c r="BA449" s="87"/>
      <c r="BB449" s="87">
        <v>1.0</v>
      </c>
      <c r="BC449" s="87">
        <v>1150.0</v>
      </c>
      <c r="BD449" s="87"/>
      <c r="BE449" s="87">
        <v>2218.0</v>
      </c>
      <c r="BF449" s="87">
        <v>29.0</v>
      </c>
      <c r="BG449" s="87">
        <v>2489.0</v>
      </c>
      <c r="BH449" s="87"/>
      <c r="BI449" s="87">
        <v>13554.0</v>
      </c>
      <c r="BJ449" s="87">
        <v>1605.0</v>
      </c>
      <c r="BK449" s="87">
        <v>1042.0</v>
      </c>
      <c r="BL449" s="87">
        <v>939.0</v>
      </c>
      <c r="BM449" s="87">
        <v>1150.0</v>
      </c>
      <c r="BN449" s="87"/>
      <c r="BO449" s="87"/>
      <c r="BP449" s="87">
        <v>3397.0</v>
      </c>
      <c r="BQ449" s="87">
        <v>175.0</v>
      </c>
      <c r="BR449" s="87">
        <v>8.0</v>
      </c>
      <c r="BS449" s="87">
        <v>259.0</v>
      </c>
      <c r="BT449" s="87">
        <v>18.0</v>
      </c>
      <c r="BU449" s="87">
        <v>2.0</v>
      </c>
      <c r="BV449" s="87">
        <v>58.0</v>
      </c>
      <c r="BW449" s="87">
        <v>60.0</v>
      </c>
      <c r="BX449" s="87">
        <v>620.0</v>
      </c>
      <c r="BY449" s="87"/>
      <c r="BZ449" s="87"/>
      <c r="CA449" s="87">
        <v>106.0</v>
      </c>
      <c r="CB449" s="87">
        <v>23.0</v>
      </c>
      <c r="CC449" s="87">
        <v>3.0</v>
      </c>
      <c r="CD449" s="87">
        <v>7.0</v>
      </c>
      <c r="CE449" s="87"/>
      <c r="CF449" s="87"/>
      <c r="CG449" s="87">
        <v>371.0</v>
      </c>
      <c r="CH449" s="87">
        <v>4365.0</v>
      </c>
      <c r="CI449" s="87"/>
      <c r="CJ449" s="87">
        <v>1394.0</v>
      </c>
      <c r="CK449" s="87">
        <v>1516.0</v>
      </c>
      <c r="CL449" s="87">
        <v>1458.0</v>
      </c>
      <c r="CM449" s="87">
        <v>3.0</v>
      </c>
      <c r="CN449" s="87"/>
      <c r="CO449" s="87">
        <v>287.0</v>
      </c>
      <c r="CP449" s="87"/>
      <c r="CQ449" s="87">
        <v>75.0</v>
      </c>
      <c r="CR449" s="87">
        <v>3.0</v>
      </c>
      <c r="CS449" s="87"/>
      <c r="CT449" s="87">
        <v>633.0</v>
      </c>
      <c r="CU449" s="87">
        <v>59.0</v>
      </c>
      <c r="CV449" s="87">
        <v>15.0</v>
      </c>
      <c r="CW449" s="87">
        <v>147.0</v>
      </c>
      <c r="CX449" s="87">
        <v>72.0</v>
      </c>
      <c r="CY449" s="87">
        <v>63.0</v>
      </c>
      <c r="CZ449" s="87">
        <v>1.0</v>
      </c>
      <c r="DA449" s="87">
        <v>5.0</v>
      </c>
      <c r="DB449" s="87">
        <v>364.0</v>
      </c>
      <c r="DC449" s="87">
        <v>125.0</v>
      </c>
      <c r="DD449" s="87">
        <v>405.0</v>
      </c>
      <c r="DE449" s="87">
        <v>62.0</v>
      </c>
      <c r="DF449" s="87">
        <v>46.0</v>
      </c>
      <c r="DG449" s="87">
        <v>131.0</v>
      </c>
      <c r="DH449" s="87">
        <v>1204.0</v>
      </c>
      <c r="DI449" s="87">
        <v>1188.0</v>
      </c>
      <c r="DJ449" s="87">
        <v>2.0</v>
      </c>
      <c r="DK449" s="87">
        <v>33.0</v>
      </c>
      <c r="DL449" s="87">
        <v>169.0</v>
      </c>
      <c r="DM449" s="87">
        <v>12.0</v>
      </c>
      <c r="DN449" s="87"/>
      <c r="DO449" s="87">
        <v>486.0</v>
      </c>
      <c r="DP449" s="87">
        <v>1128.0</v>
      </c>
      <c r="DQ449" s="87">
        <v>88.0</v>
      </c>
      <c r="DR449" s="87">
        <v>319.0</v>
      </c>
      <c r="DS449" s="87"/>
      <c r="DT449" s="87"/>
      <c r="DU449" s="87"/>
      <c r="DV449" s="87">
        <v>56.0</v>
      </c>
      <c r="DW449" s="87">
        <v>10.0</v>
      </c>
      <c r="DX449" s="87">
        <v>50.0</v>
      </c>
      <c r="DY449" s="87">
        <v>120.0</v>
      </c>
      <c r="DZ449" s="87">
        <v>22.0</v>
      </c>
      <c r="EA449" s="87">
        <v>40.0</v>
      </c>
      <c r="EB449" s="87">
        <v>44.0</v>
      </c>
      <c r="EC449" s="87">
        <v>28.0</v>
      </c>
      <c r="ED449" s="87">
        <v>2268.0</v>
      </c>
      <c r="EE449" s="87">
        <v>77.0</v>
      </c>
      <c r="EF449" s="87">
        <v>4.0</v>
      </c>
      <c r="EG449" s="87">
        <v>89.0</v>
      </c>
      <c r="EH449" s="87"/>
      <c r="EI449" s="87">
        <v>19.0</v>
      </c>
      <c r="EJ449" s="87">
        <v>4624.0</v>
      </c>
    </row>
    <row r="450" ht="12.0" customHeight="1">
      <c r="A450" s="89">
        <v>1.06580996E8</v>
      </c>
      <c r="B450" s="89" t="s">
        <v>2760</v>
      </c>
      <c r="C450" s="89" t="s">
        <v>2761</v>
      </c>
      <c r="D450" s="89" t="s">
        <v>2762</v>
      </c>
      <c r="E450" s="89" t="s">
        <v>2763</v>
      </c>
      <c r="F450" s="89" t="s">
        <v>2764</v>
      </c>
      <c r="G450" s="89" t="s">
        <v>2765</v>
      </c>
      <c r="H450" s="89" t="s">
        <v>447</v>
      </c>
      <c r="I450" s="89" t="s">
        <v>543</v>
      </c>
      <c r="J450" s="89" t="s">
        <v>469</v>
      </c>
      <c r="K450" s="89" t="s">
        <v>554</v>
      </c>
      <c r="L450" s="89" t="s">
        <v>555</v>
      </c>
      <c r="M450" s="89" t="s">
        <v>2766</v>
      </c>
      <c r="N450" s="89" t="s">
        <v>547</v>
      </c>
      <c r="O450" s="87">
        <v>12108.0</v>
      </c>
      <c r="P450" s="87"/>
      <c r="Q450" s="87"/>
      <c r="R450" s="87"/>
      <c r="S450" s="87"/>
      <c r="T450" s="87"/>
      <c r="U450" s="87">
        <v>5222.0</v>
      </c>
      <c r="V450" s="87">
        <v>6884.0</v>
      </c>
      <c r="W450" s="87">
        <v>2.0</v>
      </c>
      <c r="X450" s="87">
        <v>1879.0</v>
      </c>
      <c r="Y450" s="87">
        <v>118.0</v>
      </c>
      <c r="Z450" s="87">
        <v>1214.0</v>
      </c>
      <c r="AA450" s="87">
        <v>1265.0</v>
      </c>
      <c r="AB450" s="87">
        <v>722.0</v>
      </c>
      <c r="AC450" s="87">
        <v>1275.0</v>
      </c>
      <c r="AD450" s="87">
        <v>1892.0</v>
      </c>
      <c r="AE450" s="87">
        <v>1898.0</v>
      </c>
      <c r="AF450" s="87">
        <v>1845.0</v>
      </c>
      <c r="AG450" s="87"/>
      <c r="AH450" s="87">
        <v>3038.0</v>
      </c>
      <c r="AI450" s="87">
        <v>8963.0</v>
      </c>
      <c r="AJ450" s="87">
        <v>107.0</v>
      </c>
      <c r="AK450" s="87">
        <v>86.0</v>
      </c>
      <c r="AL450" s="87">
        <v>1090.0</v>
      </c>
      <c r="AM450" s="87">
        <v>26.0</v>
      </c>
      <c r="AN450" s="87">
        <v>381.0</v>
      </c>
      <c r="AO450" s="87">
        <v>7844.0</v>
      </c>
      <c r="AP450" s="87">
        <v>591.0</v>
      </c>
      <c r="AQ450" s="87">
        <v>2074.0</v>
      </c>
      <c r="AR450" s="87">
        <v>16.0</v>
      </c>
      <c r="AS450" s="87">
        <v>9893.0</v>
      </c>
      <c r="AT450" s="87">
        <v>78.0</v>
      </c>
      <c r="AU450" s="87">
        <v>79.0</v>
      </c>
      <c r="AV450" s="87">
        <v>227.0</v>
      </c>
      <c r="AW450" s="87">
        <v>6.0</v>
      </c>
      <c r="AX450" s="87">
        <v>4.0</v>
      </c>
      <c r="AY450" s="87">
        <v>3.0</v>
      </c>
      <c r="AZ450" s="87"/>
      <c r="BA450" s="87">
        <v>13.0</v>
      </c>
      <c r="BB450" s="87">
        <v>2.0</v>
      </c>
      <c r="BC450" s="87">
        <v>1803.0</v>
      </c>
      <c r="BD450" s="87"/>
      <c r="BE450" s="87">
        <v>7840.0</v>
      </c>
      <c r="BF450" s="87">
        <v>16.0</v>
      </c>
      <c r="BG450" s="87">
        <v>4252.0</v>
      </c>
      <c r="BH450" s="87"/>
      <c r="BI450" s="87">
        <v>61767.0</v>
      </c>
      <c r="BJ450" s="87">
        <v>6538.0</v>
      </c>
      <c r="BK450" s="87">
        <v>2255.0</v>
      </c>
      <c r="BL450" s="87">
        <v>1226.0</v>
      </c>
      <c r="BM450" s="87">
        <v>1803.0</v>
      </c>
      <c r="BN450" s="87">
        <v>286.0</v>
      </c>
      <c r="BO450" s="87"/>
      <c r="BP450" s="87">
        <v>7809.0</v>
      </c>
      <c r="BQ450" s="87">
        <v>290.0</v>
      </c>
      <c r="BR450" s="87">
        <v>43.0</v>
      </c>
      <c r="BS450" s="87">
        <v>1370.0</v>
      </c>
      <c r="BT450" s="87">
        <v>33.0</v>
      </c>
      <c r="BU450" s="87">
        <v>18.0</v>
      </c>
      <c r="BV450" s="87">
        <v>336.0</v>
      </c>
      <c r="BW450" s="87">
        <v>443.0</v>
      </c>
      <c r="BX450" s="87">
        <v>1573.0</v>
      </c>
      <c r="BY450" s="87"/>
      <c r="BZ450" s="87"/>
      <c r="CA450" s="87">
        <v>152.0</v>
      </c>
      <c r="CB450" s="87">
        <v>15.0</v>
      </c>
      <c r="CC450" s="87"/>
      <c r="CD450" s="87">
        <v>7.0</v>
      </c>
      <c r="CE450" s="87">
        <v>19.0</v>
      </c>
      <c r="CF450" s="87"/>
      <c r="CG450" s="87">
        <v>1186.0</v>
      </c>
      <c r="CH450" s="87">
        <v>10922.0</v>
      </c>
      <c r="CI450" s="87"/>
      <c r="CJ450" s="87">
        <v>5063.0</v>
      </c>
      <c r="CK450" s="87">
        <v>4550.0</v>
      </c>
      <c r="CL450" s="87">
        <v>1894.0</v>
      </c>
      <c r="CM450" s="87">
        <v>22.0</v>
      </c>
      <c r="CN450" s="87"/>
      <c r="CO450" s="87">
        <v>442.0</v>
      </c>
      <c r="CP450" s="87"/>
      <c r="CQ450" s="87">
        <v>134.0</v>
      </c>
      <c r="CR450" s="87">
        <v>2.0</v>
      </c>
      <c r="CS450" s="87">
        <v>1.0</v>
      </c>
      <c r="CT450" s="87">
        <v>1644.0</v>
      </c>
      <c r="CU450" s="87">
        <v>167.0</v>
      </c>
      <c r="CV450" s="87">
        <v>57.0</v>
      </c>
      <c r="CW450" s="87">
        <v>760.0</v>
      </c>
      <c r="CX450" s="87">
        <v>99.0</v>
      </c>
      <c r="CY450" s="87">
        <v>243.0</v>
      </c>
      <c r="CZ450" s="87">
        <v>5.0</v>
      </c>
      <c r="DA450" s="87">
        <v>8.0</v>
      </c>
      <c r="DB450" s="87">
        <v>1857.0</v>
      </c>
      <c r="DC450" s="87">
        <v>718.0</v>
      </c>
      <c r="DD450" s="87">
        <v>956.0</v>
      </c>
      <c r="DE450" s="87">
        <v>138.0</v>
      </c>
      <c r="DF450" s="87">
        <v>113.0</v>
      </c>
      <c r="DG450" s="87">
        <v>521.0</v>
      </c>
      <c r="DH450" s="87">
        <v>1872.0</v>
      </c>
      <c r="DI450" s="87">
        <v>1878.0</v>
      </c>
      <c r="DJ450" s="87">
        <v>5.0</v>
      </c>
      <c r="DK450" s="87">
        <v>96.0</v>
      </c>
      <c r="DL450" s="87">
        <v>935.0</v>
      </c>
      <c r="DM450" s="87">
        <v>36.0</v>
      </c>
      <c r="DN450" s="87"/>
      <c r="DO450" s="87">
        <v>3306.0</v>
      </c>
      <c r="DP450" s="87">
        <v>1812.0</v>
      </c>
      <c r="DQ450" s="87">
        <v>973.0</v>
      </c>
      <c r="DR450" s="87">
        <v>920.0</v>
      </c>
      <c r="DS450" s="87">
        <v>1.0</v>
      </c>
      <c r="DT450" s="87"/>
      <c r="DU450" s="87"/>
      <c r="DV450" s="87">
        <v>138.0</v>
      </c>
      <c r="DW450" s="87">
        <v>13.0</v>
      </c>
      <c r="DX450" s="87">
        <v>212.0</v>
      </c>
      <c r="DY450" s="87">
        <v>640.0</v>
      </c>
      <c r="DZ450" s="87">
        <v>51.0</v>
      </c>
      <c r="EA450" s="87">
        <v>19.0</v>
      </c>
      <c r="EB450" s="87">
        <v>369.0</v>
      </c>
      <c r="EC450" s="87">
        <v>91.0</v>
      </c>
      <c r="ED450" s="87">
        <v>3464.0</v>
      </c>
      <c r="EE450" s="87">
        <v>99.0</v>
      </c>
      <c r="EF450" s="87">
        <v>88.0</v>
      </c>
      <c r="EG450" s="87">
        <v>315.0</v>
      </c>
      <c r="EH450" s="87"/>
      <c r="EI450" s="87">
        <v>42.0</v>
      </c>
      <c r="EJ450" s="87">
        <v>11663.0</v>
      </c>
    </row>
  </sheetData>
  <printOptions/>
  <pageMargins bottom="1.0" footer="0.0" header="0.0" left="0.75" right="0.75" top="1.0"/>
  <pageSetup orientation="portrait"/>
  <headerFooter>
    <oddHeader/>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3.86"/>
    <col customWidth="1" min="3" max="26" width="9.14"/>
  </cols>
  <sheetData>
    <row r="1" ht="9.75" customHeight="1">
      <c r="A1" s="91" t="s">
        <v>2767</v>
      </c>
      <c r="B1" s="92"/>
      <c r="C1" s="93"/>
      <c r="D1" s="93"/>
      <c r="E1" s="93"/>
      <c r="F1" s="93"/>
      <c r="G1" s="93"/>
      <c r="H1" s="93"/>
      <c r="I1" s="93"/>
      <c r="J1" s="93"/>
      <c r="K1" s="93"/>
      <c r="L1" s="93"/>
      <c r="M1" s="93"/>
      <c r="N1" s="93"/>
      <c r="O1" s="93"/>
      <c r="P1" s="93"/>
      <c r="Q1" s="93"/>
      <c r="R1" s="93"/>
      <c r="S1" s="93"/>
      <c r="T1" s="93"/>
      <c r="U1" s="93"/>
      <c r="V1" s="93"/>
      <c r="W1" s="93"/>
      <c r="X1" s="93"/>
      <c r="Y1" s="93"/>
      <c r="Z1" s="93"/>
    </row>
    <row r="2" ht="12.75" customHeight="1">
      <c r="A2" s="94" t="s">
        <v>2768</v>
      </c>
      <c r="B2" s="95"/>
      <c r="C2" s="93"/>
      <c r="D2" s="93"/>
      <c r="E2" s="93"/>
      <c r="F2" s="93"/>
      <c r="G2" s="93"/>
      <c r="H2" s="93"/>
      <c r="I2" s="93"/>
      <c r="J2" s="93"/>
      <c r="K2" s="93"/>
      <c r="L2" s="93"/>
      <c r="M2" s="93"/>
      <c r="N2" s="93"/>
      <c r="O2" s="93"/>
      <c r="P2" s="93"/>
      <c r="Q2" s="93"/>
      <c r="R2" s="93"/>
      <c r="S2" s="93"/>
      <c r="T2" s="93"/>
      <c r="U2" s="93"/>
      <c r="V2" s="93"/>
      <c r="W2" s="93"/>
      <c r="X2" s="93"/>
      <c r="Y2" s="93"/>
      <c r="Z2" s="93"/>
    </row>
    <row r="3" ht="12.75" customHeight="1">
      <c r="A3" s="94" t="str">
        <f>"Patient Discharge Data Pivot Profile, January-December "&amp;MID(Profile!A1,1,4)&amp;" Discharges"</f>
        <v>Patient Discharge Data Pivot Profile, January-December 2022 Discharges</v>
      </c>
      <c r="B3" s="95"/>
      <c r="C3" s="93"/>
      <c r="D3" s="93"/>
      <c r="E3" s="93"/>
      <c r="F3" s="93"/>
      <c r="G3" s="93"/>
      <c r="H3" s="93"/>
      <c r="I3" s="93"/>
      <c r="J3" s="93"/>
      <c r="K3" s="93"/>
      <c r="L3" s="93"/>
      <c r="M3" s="93"/>
      <c r="N3" s="93"/>
      <c r="O3" s="93"/>
      <c r="P3" s="93"/>
      <c r="Q3" s="93"/>
      <c r="R3" s="93"/>
      <c r="S3" s="93"/>
      <c r="T3" s="93"/>
      <c r="U3" s="93"/>
      <c r="V3" s="93"/>
      <c r="W3" s="93"/>
      <c r="X3" s="93"/>
      <c r="Y3" s="93"/>
      <c r="Z3" s="93"/>
    </row>
    <row r="4" ht="11.25" customHeight="1">
      <c r="A4" s="96" t="s">
        <v>2769</v>
      </c>
      <c r="B4" s="97"/>
      <c r="C4" s="93"/>
      <c r="D4" s="93"/>
      <c r="E4" s="93"/>
      <c r="F4" s="93"/>
      <c r="G4" s="93"/>
      <c r="H4" s="93"/>
      <c r="I4" s="93"/>
      <c r="J4" s="93"/>
      <c r="K4" s="93"/>
      <c r="L4" s="93"/>
      <c r="M4" s="93"/>
      <c r="N4" s="93"/>
      <c r="O4" s="93"/>
      <c r="P4" s="93"/>
      <c r="Q4" s="93"/>
      <c r="R4" s="93"/>
      <c r="S4" s="93"/>
      <c r="T4" s="93"/>
      <c r="U4" s="93"/>
      <c r="V4" s="93"/>
      <c r="W4" s="93"/>
      <c r="X4" s="93"/>
      <c r="Y4" s="93"/>
      <c r="Z4" s="93"/>
    </row>
    <row r="5" ht="11.25" customHeight="1">
      <c r="A5" s="98"/>
      <c r="B5" s="98"/>
      <c r="C5" s="93"/>
      <c r="D5" s="93"/>
      <c r="E5" s="93"/>
      <c r="F5" s="93"/>
      <c r="G5" s="93"/>
      <c r="H5" s="93"/>
      <c r="I5" s="93"/>
      <c r="J5" s="93"/>
      <c r="K5" s="93"/>
      <c r="L5" s="93"/>
      <c r="M5" s="93"/>
      <c r="N5" s="93"/>
      <c r="O5" s="93"/>
      <c r="P5" s="93"/>
      <c r="Q5" s="93"/>
      <c r="R5" s="93"/>
      <c r="S5" s="93"/>
      <c r="T5" s="93"/>
      <c r="U5" s="93"/>
      <c r="V5" s="93"/>
      <c r="W5" s="93"/>
      <c r="X5" s="93"/>
      <c r="Y5" s="93"/>
      <c r="Z5" s="93"/>
    </row>
    <row r="6" ht="58.5" customHeight="1">
      <c r="A6" s="99" t="s">
        <v>2770</v>
      </c>
      <c r="C6" s="100"/>
      <c r="D6" s="101"/>
      <c r="E6" s="100"/>
      <c r="F6" s="100"/>
      <c r="G6" s="100"/>
      <c r="H6" s="100"/>
      <c r="I6" s="100"/>
      <c r="J6" s="100"/>
      <c r="K6" s="100"/>
      <c r="L6" s="100"/>
      <c r="M6" s="100"/>
      <c r="N6" s="100"/>
      <c r="O6" s="100"/>
      <c r="P6" s="100"/>
      <c r="Q6" s="100"/>
      <c r="R6" s="100"/>
      <c r="S6" s="100"/>
      <c r="T6" s="100"/>
      <c r="U6" s="100"/>
      <c r="V6" s="100"/>
      <c r="W6" s="100"/>
      <c r="X6" s="100"/>
      <c r="Y6" s="100"/>
      <c r="Z6" s="100"/>
    </row>
    <row r="7" ht="9.75" customHeight="1">
      <c r="A7" s="102" t="s">
        <v>2771</v>
      </c>
      <c r="B7" s="103"/>
      <c r="C7" s="100"/>
      <c r="D7" s="100"/>
      <c r="E7" s="100"/>
      <c r="F7" s="100"/>
      <c r="G7" s="100"/>
      <c r="H7" s="100"/>
      <c r="I7" s="100"/>
      <c r="J7" s="100"/>
      <c r="K7" s="100"/>
      <c r="L7" s="100"/>
      <c r="M7" s="100"/>
      <c r="N7" s="100"/>
      <c r="O7" s="100"/>
      <c r="P7" s="100"/>
      <c r="Q7" s="100"/>
      <c r="R7" s="100"/>
      <c r="S7" s="100"/>
      <c r="T7" s="100"/>
      <c r="U7" s="100"/>
      <c r="V7" s="100"/>
      <c r="W7" s="100"/>
      <c r="X7" s="100"/>
      <c r="Y7" s="100"/>
      <c r="Z7" s="100"/>
    </row>
    <row r="8" ht="9.75" customHeight="1">
      <c r="A8" s="104"/>
      <c r="B8" s="92"/>
      <c r="C8" s="100"/>
      <c r="D8" s="100"/>
      <c r="E8" s="100"/>
      <c r="F8" s="100"/>
      <c r="G8" s="100"/>
      <c r="H8" s="100"/>
      <c r="I8" s="100"/>
      <c r="J8" s="100"/>
      <c r="K8" s="100"/>
      <c r="L8" s="100"/>
      <c r="M8" s="100"/>
      <c r="N8" s="100"/>
      <c r="O8" s="100"/>
      <c r="P8" s="100"/>
      <c r="Q8" s="100"/>
      <c r="R8" s="100"/>
      <c r="S8" s="100"/>
      <c r="T8" s="100"/>
      <c r="U8" s="100"/>
      <c r="V8" s="100"/>
      <c r="W8" s="100"/>
      <c r="X8" s="100"/>
      <c r="Y8" s="100"/>
      <c r="Z8" s="100"/>
    </row>
    <row r="9" ht="33.75" customHeight="1">
      <c r="A9" s="105" t="s">
        <v>2772</v>
      </c>
      <c r="B9" s="95"/>
      <c r="C9" s="100"/>
      <c r="D9" s="100"/>
      <c r="E9" s="100"/>
      <c r="F9" s="100"/>
      <c r="G9" s="100"/>
      <c r="H9" s="100"/>
      <c r="I9" s="100"/>
      <c r="J9" s="100"/>
      <c r="K9" s="100"/>
      <c r="L9" s="100"/>
      <c r="M9" s="100"/>
      <c r="N9" s="100"/>
      <c r="O9" s="100"/>
      <c r="P9" s="100"/>
      <c r="Q9" s="100"/>
      <c r="R9" s="100"/>
      <c r="S9" s="100"/>
      <c r="T9" s="100"/>
      <c r="U9" s="100"/>
      <c r="V9" s="100"/>
      <c r="W9" s="100"/>
      <c r="X9" s="100"/>
      <c r="Y9" s="100"/>
      <c r="Z9" s="100"/>
    </row>
    <row r="10" ht="11.25" customHeight="1">
      <c r="A10" s="105" t="s">
        <v>2773</v>
      </c>
      <c r="B10" s="95"/>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row>
    <row r="11" ht="55.5" customHeight="1">
      <c r="A11" s="105" t="s">
        <v>2774</v>
      </c>
      <c r="B11" s="95"/>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row>
    <row r="12" ht="9.75" customHeight="1">
      <c r="A12" s="106"/>
      <c r="B12" s="97"/>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row>
    <row r="13" ht="9.75" customHeight="1">
      <c r="A13" s="107"/>
      <c r="B13" s="108"/>
      <c r="C13" s="100"/>
      <c r="D13" s="100"/>
      <c r="E13" s="100"/>
      <c r="F13" s="100"/>
      <c r="G13" s="100"/>
      <c r="H13" s="100"/>
      <c r="I13" s="100"/>
      <c r="J13" s="100"/>
      <c r="K13" s="100"/>
      <c r="L13" s="100"/>
      <c r="M13" s="100"/>
      <c r="N13" s="100"/>
      <c r="O13" s="100"/>
      <c r="P13" s="100"/>
      <c r="Q13" s="100"/>
      <c r="R13" s="100"/>
      <c r="S13" s="100"/>
      <c r="T13" s="100"/>
      <c r="U13" s="100"/>
      <c r="V13" s="100"/>
      <c r="W13" s="100"/>
      <c r="X13" s="100"/>
      <c r="Y13" s="100"/>
      <c r="Z13" s="100"/>
    </row>
    <row r="14" ht="9.75" customHeight="1">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Z14" s="100"/>
    </row>
    <row r="15" ht="9.75" customHeight="1">
      <c r="A15" s="109" t="s">
        <v>2775</v>
      </c>
      <c r="B15" s="3"/>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0"/>
    </row>
    <row r="16" ht="33.75" customHeight="1">
      <c r="A16" s="110" t="s">
        <v>2776</v>
      </c>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ht="9.75" customHeight="1">
      <c r="A17" s="11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ht="9.75" customHeight="1">
      <c r="A18" s="111"/>
      <c r="B18" s="111"/>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row>
    <row r="19" ht="9.75" customHeight="1">
      <c r="A19" s="112" t="s">
        <v>2777</v>
      </c>
      <c r="B19" s="113" t="s">
        <v>2778</v>
      </c>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row>
    <row r="20" ht="9.75" customHeight="1">
      <c r="A20" s="114" t="s">
        <v>86</v>
      </c>
      <c r="B20" s="115" t="s">
        <v>2779</v>
      </c>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row>
    <row r="21" ht="9.75" customHeight="1">
      <c r="A21" s="114" t="s">
        <v>95</v>
      </c>
      <c r="B21" s="115" t="s">
        <v>2780</v>
      </c>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row>
    <row r="22" ht="9.75" customHeight="1">
      <c r="A22" s="114" t="s">
        <v>2781</v>
      </c>
      <c r="B22" s="115" t="s">
        <v>2782</v>
      </c>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row>
    <row r="23" ht="9.75" customHeight="1">
      <c r="A23" s="114" t="s">
        <v>92</v>
      </c>
      <c r="B23" s="115" t="s">
        <v>2783</v>
      </c>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row>
    <row r="24" ht="9.75" customHeight="1">
      <c r="A24" s="114" t="s">
        <v>107</v>
      </c>
      <c r="B24" s="115" t="s">
        <v>2784</v>
      </c>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row>
    <row r="25" ht="9.75" customHeight="1">
      <c r="A25" s="114" t="s">
        <v>110</v>
      </c>
      <c r="B25" s="115" t="s">
        <v>2785</v>
      </c>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row>
    <row r="26" ht="9.75" customHeight="1">
      <c r="A26" s="114" t="s">
        <v>102</v>
      </c>
      <c r="B26" s="115" t="s">
        <v>2786</v>
      </c>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row>
    <row r="27" ht="9.75" customHeight="1">
      <c r="A27" s="114" t="s">
        <v>2787</v>
      </c>
      <c r="B27" s="115" t="s">
        <v>2788</v>
      </c>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row>
    <row r="28" ht="9.75" customHeight="1">
      <c r="A28" s="114" t="s">
        <v>101</v>
      </c>
      <c r="B28" s="115" t="s">
        <v>2789</v>
      </c>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ht="9.75" customHeight="1">
      <c r="A29" s="114" t="s">
        <v>111</v>
      </c>
      <c r="B29" s="115" t="s">
        <v>2790</v>
      </c>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ht="9.75" customHeight="1">
      <c r="A30" s="114" t="s">
        <v>2791</v>
      </c>
      <c r="B30" s="115" t="s">
        <v>2792</v>
      </c>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ht="9.75" customHeight="1">
      <c r="A31" s="114" t="s">
        <v>113</v>
      </c>
      <c r="B31" s="115" t="s">
        <v>2793</v>
      </c>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ht="9.75" customHeight="1">
      <c r="A32" s="114" t="s">
        <v>112</v>
      </c>
      <c r="B32" s="115" t="s">
        <v>2794</v>
      </c>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ht="9.75" customHeight="1">
      <c r="A33" s="114" t="s">
        <v>104</v>
      </c>
      <c r="B33" s="115" t="s">
        <v>2795</v>
      </c>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row>
    <row r="34" ht="9.75" customHeight="1">
      <c r="A34" s="114" t="s">
        <v>91</v>
      </c>
      <c r="B34" s="115" t="s">
        <v>2796</v>
      </c>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row>
    <row r="35" ht="9.75" customHeight="1">
      <c r="A35" s="114" t="s">
        <v>2797</v>
      </c>
      <c r="B35" s="115" t="s">
        <v>2798</v>
      </c>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ht="9.75" customHeight="1">
      <c r="A36" s="114" t="s">
        <v>89</v>
      </c>
      <c r="B36" s="115" t="s">
        <v>2799</v>
      </c>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ht="9.75" customHeight="1">
      <c r="A37" s="116"/>
      <c r="B37" s="117"/>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row>
    <row r="38" ht="9.75" customHeight="1">
      <c r="A38" s="116"/>
      <c r="B38" s="117"/>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ht="9.75" customHeight="1">
      <c r="A39" s="112" t="s">
        <v>2800</v>
      </c>
      <c r="B39" s="112" t="s">
        <v>2778</v>
      </c>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ht="9.75" customHeight="1">
      <c r="A40" s="114" t="s">
        <v>26</v>
      </c>
      <c r="B40" s="114" t="s">
        <v>2801</v>
      </c>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ht="9.75" customHeight="1">
      <c r="A41" s="114" t="s">
        <v>23</v>
      </c>
      <c r="B41" s="114" t="s">
        <v>2802</v>
      </c>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row>
    <row r="42" ht="9.75" customHeight="1">
      <c r="A42" s="114" t="s">
        <v>29</v>
      </c>
      <c r="B42" s="114" t="s">
        <v>2803</v>
      </c>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row>
    <row r="43" ht="9.75" customHeight="1">
      <c r="A43" s="114" t="s">
        <v>34</v>
      </c>
      <c r="B43" s="114" t="s">
        <v>2804</v>
      </c>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row>
    <row r="44" ht="9.75" customHeight="1">
      <c r="A44" s="114" t="s">
        <v>36</v>
      </c>
      <c r="B44" s="114" t="s">
        <v>2805</v>
      </c>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row>
    <row r="45" ht="9.75" customHeight="1">
      <c r="A45" s="114" t="s">
        <v>38</v>
      </c>
      <c r="B45" s="114" t="s">
        <v>2806</v>
      </c>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ht="9.75" customHeight="1">
      <c r="A46" s="114" t="s">
        <v>40</v>
      </c>
      <c r="B46" s="114" t="s">
        <v>2807</v>
      </c>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row>
    <row r="47" ht="9.75" customHeight="1">
      <c r="A47" s="114" t="s">
        <v>2808</v>
      </c>
      <c r="B47" s="114" t="s">
        <v>2809</v>
      </c>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ht="9.75" customHeight="1">
      <c r="A48" s="114" t="s">
        <v>42</v>
      </c>
      <c r="B48" s="114" t="s">
        <v>2810</v>
      </c>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row>
    <row r="49" ht="9.75" customHeight="1">
      <c r="A49" s="114" t="s">
        <v>2811</v>
      </c>
      <c r="B49" s="115" t="s">
        <v>2812</v>
      </c>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row>
    <row r="50" ht="9.75" customHeight="1">
      <c r="A50" s="116"/>
      <c r="B50" s="118"/>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row>
    <row r="51" ht="9.75" customHeight="1">
      <c r="A51" s="119" t="s">
        <v>2813</v>
      </c>
      <c r="B51" s="112" t="s">
        <v>2814</v>
      </c>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row>
    <row r="52" ht="9.75" customHeight="1">
      <c r="A52" s="114" t="s">
        <v>118</v>
      </c>
      <c r="B52" s="120" t="s">
        <v>2815</v>
      </c>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row>
    <row r="53" ht="9.75" customHeight="1">
      <c r="A53" s="114" t="s">
        <v>120</v>
      </c>
      <c r="B53" s="120" t="s">
        <v>2816</v>
      </c>
      <c r="C53" s="100"/>
      <c r="D53" s="121"/>
      <c r="E53" s="100"/>
      <c r="F53" s="100"/>
      <c r="G53" s="100"/>
      <c r="H53" s="100"/>
      <c r="I53" s="100"/>
      <c r="J53" s="100"/>
      <c r="K53" s="100"/>
      <c r="L53" s="100"/>
      <c r="M53" s="100"/>
      <c r="N53" s="100"/>
      <c r="O53" s="100"/>
      <c r="P53" s="100"/>
      <c r="Q53" s="100"/>
      <c r="R53" s="100"/>
      <c r="S53" s="100"/>
      <c r="T53" s="100"/>
      <c r="U53" s="100"/>
      <c r="V53" s="100"/>
      <c r="W53" s="100"/>
      <c r="X53" s="100"/>
      <c r="Y53" s="100"/>
      <c r="Z53" s="100"/>
    </row>
    <row r="54" ht="9.75" customHeight="1">
      <c r="A54" s="114" t="s">
        <v>122</v>
      </c>
      <c r="B54" s="120" t="s">
        <v>2817</v>
      </c>
      <c r="C54" s="100"/>
      <c r="D54" s="121"/>
      <c r="E54" s="100"/>
      <c r="F54" s="100"/>
      <c r="G54" s="100"/>
      <c r="H54" s="100"/>
      <c r="I54" s="100"/>
      <c r="J54" s="100"/>
      <c r="K54" s="100"/>
      <c r="L54" s="100"/>
      <c r="M54" s="100"/>
      <c r="N54" s="100"/>
      <c r="O54" s="100"/>
      <c r="P54" s="100"/>
      <c r="Q54" s="100"/>
      <c r="R54" s="100"/>
      <c r="S54" s="100"/>
      <c r="T54" s="100"/>
      <c r="U54" s="100"/>
      <c r="V54" s="100"/>
      <c r="W54" s="100"/>
      <c r="X54" s="100"/>
      <c r="Y54" s="100"/>
      <c r="Z54" s="100"/>
    </row>
    <row r="55" ht="9.75" customHeight="1">
      <c r="A55" s="114" t="s">
        <v>124</v>
      </c>
      <c r="B55" s="120" t="s">
        <v>2818</v>
      </c>
      <c r="C55" s="100"/>
      <c r="D55" s="121"/>
      <c r="E55" s="100"/>
      <c r="F55" s="100"/>
      <c r="G55" s="100"/>
      <c r="H55" s="100"/>
      <c r="I55" s="100"/>
      <c r="J55" s="100"/>
      <c r="K55" s="100"/>
      <c r="L55" s="100"/>
      <c r="M55" s="100"/>
      <c r="N55" s="100"/>
      <c r="O55" s="100"/>
      <c r="P55" s="100"/>
      <c r="Q55" s="100"/>
      <c r="R55" s="100"/>
      <c r="S55" s="100"/>
      <c r="T55" s="100"/>
      <c r="U55" s="100"/>
      <c r="V55" s="100"/>
      <c r="W55" s="100"/>
      <c r="X55" s="100"/>
      <c r="Y55" s="100"/>
      <c r="Z55" s="100"/>
    </row>
    <row r="56" ht="9.75" customHeight="1">
      <c r="A56" s="114" t="s">
        <v>126</v>
      </c>
      <c r="B56" s="120" t="s">
        <v>2819</v>
      </c>
      <c r="C56" s="100"/>
      <c r="D56" s="121"/>
      <c r="E56" s="100"/>
      <c r="F56" s="100"/>
      <c r="G56" s="100"/>
      <c r="H56" s="100"/>
      <c r="I56" s="100"/>
      <c r="J56" s="100"/>
      <c r="K56" s="100"/>
      <c r="L56" s="100"/>
      <c r="M56" s="100"/>
      <c r="N56" s="100"/>
      <c r="O56" s="100"/>
      <c r="P56" s="100"/>
      <c r="Q56" s="100"/>
      <c r="R56" s="100"/>
      <c r="S56" s="100"/>
      <c r="T56" s="100"/>
      <c r="U56" s="100"/>
      <c r="V56" s="100"/>
      <c r="W56" s="100"/>
      <c r="X56" s="100"/>
      <c r="Y56" s="100"/>
      <c r="Z56" s="100"/>
    </row>
    <row r="57" ht="9.75" customHeight="1">
      <c r="A57" s="114" t="s">
        <v>128</v>
      </c>
      <c r="B57" s="120" t="s">
        <v>2820</v>
      </c>
      <c r="C57" s="100"/>
      <c r="D57" s="121"/>
      <c r="E57" s="100"/>
      <c r="F57" s="100"/>
      <c r="G57" s="100"/>
      <c r="H57" s="100"/>
      <c r="I57" s="100"/>
      <c r="J57" s="100"/>
      <c r="K57" s="100"/>
      <c r="L57" s="100"/>
      <c r="M57" s="100"/>
      <c r="N57" s="100"/>
      <c r="O57" s="100"/>
      <c r="P57" s="100"/>
      <c r="Q57" s="100"/>
      <c r="R57" s="100"/>
      <c r="S57" s="100"/>
      <c r="T57" s="100"/>
      <c r="U57" s="100"/>
      <c r="V57" s="100"/>
      <c r="W57" s="100"/>
      <c r="X57" s="100"/>
      <c r="Y57" s="100"/>
      <c r="Z57" s="100"/>
    </row>
    <row r="58" ht="9.75" customHeight="1">
      <c r="A58" s="114" t="s">
        <v>134</v>
      </c>
      <c r="B58" s="120" t="s">
        <v>2821</v>
      </c>
      <c r="C58" s="100"/>
      <c r="D58" s="121"/>
      <c r="E58" s="100"/>
      <c r="F58" s="100"/>
      <c r="G58" s="100"/>
      <c r="H58" s="100"/>
      <c r="I58" s="100"/>
      <c r="J58" s="100"/>
      <c r="K58" s="100"/>
      <c r="L58" s="100"/>
      <c r="M58" s="100"/>
      <c r="N58" s="100"/>
      <c r="O58" s="100"/>
      <c r="P58" s="100"/>
      <c r="Q58" s="100"/>
      <c r="R58" s="100"/>
      <c r="S58" s="100"/>
      <c r="T58" s="100"/>
      <c r="U58" s="100"/>
      <c r="V58" s="100"/>
      <c r="W58" s="100"/>
      <c r="X58" s="100"/>
      <c r="Y58" s="100"/>
      <c r="Z58" s="100"/>
    </row>
    <row r="59" ht="9.75" customHeight="1">
      <c r="A59" s="114" t="s">
        <v>136</v>
      </c>
      <c r="B59" s="120" t="s">
        <v>2822</v>
      </c>
      <c r="C59" s="100"/>
      <c r="D59" s="121"/>
      <c r="E59" s="100"/>
      <c r="F59" s="100"/>
      <c r="G59" s="100"/>
      <c r="H59" s="100"/>
      <c r="I59" s="100"/>
      <c r="J59" s="100"/>
      <c r="K59" s="100"/>
      <c r="L59" s="100"/>
      <c r="M59" s="100"/>
      <c r="N59" s="100"/>
      <c r="O59" s="100"/>
      <c r="P59" s="100"/>
      <c r="Q59" s="100"/>
      <c r="R59" s="100"/>
      <c r="S59" s="100"/>
      <c r="T59" s="100"/>
      <c r="U59" s="100"/>
      <c r="V59" s="100"/>
      <c r="W59" s="100"/>
      <c r="X59" s="100"/>
      <c r="Y59" s="100"/>
      <c r="Z59" s="100"/>
    </row>
    <row r="60" ht="9.75" customHeight="1">
      <c r="A60" s="114" t="s">
        <v>138</v>
      </c>
      <c r="B60" s="120" t="s">
        <v>2823</v>
      </c>
      <c r="C60" s="100"/>
      <c r="D60" s="121"/>
      <c r="E60" s="100"/>
      <c r="F60" s="100"/>
      <c r="G60" s="100"/>
      <c r="H60" s="100"/>
      <c r="I60" s="100"/>
      <c r="J60" s="100"/>
      <c r="K60" s="100"/>
      <c r="L60" s="100"/>
      <c r="M60" s="100"/>
      <c r="N60" s="100"/>
      <c r="O60" s="100"/>
      <c r="P60" s="100"/>
      <c r="Q60" s="100"/>
      <c r="R60" s="100"/>
      <c r="S60" s="100"/>
      <c r="T60" s="100"/>
      <c r="U60" s="100"/>
      <c r="V60" s="100"/>
      <c r="W60" s="100"/>
      <c r="X60" s="100"/>
      <c r="Y60" s="100"/>
      <c r="Z60" s="100"/>
    </row>
    <row r="61" ht="9.75" customHeight="1">
      <c r="A61" s="114" t="s">
        <v>140</v>
      </c>
      <c r="B61" s="120" t="s">
        <v>2824</v>
      </c>
      <c r="C61" s="100"/>
      <c r="D61" s="121"/>
      <c r="E61" s="100"/>
      <c r="F61" s="100"/>
      <c r="G61" s="100"/>
      <c r="H61" s="100"/>
      <c r="I61" s="100"/>
      <c r="J61" s="100"/>
      <c r="K61" s="100"/>
      <c r="L61" s="100"/>
      <c r="M61" s="100"/>
      <c r="N61" s="100"/>
      <c r="O61" s="100"/>
      <c r="P61" s="100"/>
      <c r="Q61" s="100"/>
      <c r="R61" s="100"/>
      <c r="S61" s="100"/>
      <c r="T61" s="100"/>
      <c r="U61" s="100"/>
      <c r="V61" s="100"/>
      <c r="W61" s="100"/>
      <c r="X61" s="100"/>
      <c r="Y61" s="100"/>
      <c r="Z61" s="100"/>
    </row>
    <row r="62" ht="9.75" customHeight="1">
      <c r="A62" s="114" t="s">
        <v>142</v>
      </c>
      <c r="B62" s="120" t="s">
        <v>2825</v>
      </c>
      <c r="C62" s="100"/>
      <c r="D62" s="121"/>
      <c r="E62" s="100"/>
      <c r="F62" s="100"/>
      <c r="G62" s="100"/>
      <c r="H62" s="100"/>
      <c r="I62" s="100"/>
      <c r="J62" s="100"/>
      <c r="K62" s="100"/>
      <c r="L62" s="100"/>
      <c r="M62" s="100"/>
      <c r="N62" s="100"/>
      <c r="O62" s="100"/>
      <c r="P62" s="100"/>
      <c r="Q62" s="100"/>
      <c r="R62" s="100"/>
      <c r="S62" s="100"/>
      <c r="T62" s="100"/>
      <c r="U62" s="100"/>
      <c r="V62" s="100"/>
      <c r="W62" s="100"/>
      <c r="X62" s="100"/>
      <c r="Y62" s="100"/>
      <c r="Z62" s="100"/>
    </row>
    <row r="63" ht="9.75" customHeight="1">
      <c r="A63" s="114" t="s">
        <v>144</v>
      </c>
      <c r="B63" s="120" t="s">
        <v>2826</v>
      </c>
      <c r="C63" s="100"/>
      <c r="D63" s="121"/>
      <c r="E63" s="100"/>
      <c r="F63" s="100"/>
      <c r="G63" s="100"/>
      <c r="H63" s="100"/>
      <c r="I63" s="100"/>
      <c r="J63" s="100"/>
      <c r="K63" s="100"/>
      <c r="L63" s="100"/>
      <c r="M63" s="100"/>
      <c r="N63" s="100"/>
      <c r="O63" s="100"/>
      <c r="P63" s="100"/>
      <c r="Q63" s="100"/>
      <c r="R63" s="100"/>
      <c r="S63" s="100"/>
      <c r="T63" s="100"/>
      <c r="U63" s="100"/>
      <c r="V63" s="100"/>
      <c r="W63" s="100"/>
      <c r="X63" s="100"/>
      <c r="Y63" s="100"/>
      <c r="Z63" s="100"/>
    </row>
    <row r="64" ht="9.75" customHeight="1">
      <c r="A64" s="114" t="s">
        <v>148</v>
      </c>
      <c r="B64" s="120" t="s">
        <v>2827</v>
      </c>
      <c r="C64" s="100"/>
      <c r="D64" s="121"/>
      <c r="E64" s="100"/>
      <c r="F64" s="100"/>
      <c r="G64" s="100"/>
      <c r="H64" s="100"/>
      <c r="I64" s="100"/>
      <c r="J64" s="100"/>
      <c r="K64" s="100"/>
      <c r="L64" s="100"/>
      <c r="M64" s="100"/>
      <c r="N64" s="100"/>
      <c r="O64" s="100"/>
      <c r="P64" s="100"/>
      <c r="Q64" s="100"/>
      <c r="R64" s="100"/>
      <c r="S64" s="100"/>
      <c r="T64" s="100"/>
      <c r="U64" s="100"/>
      <c r="V64" s="100"/>
      <c r="W64" s="100"/>
      <c r="X64" s="100"/>
      <c r="Y64" s="100"/>
      <c r="Z64" s="100"/>
    </row>
    <row r="65" ht="9.75" customHeight="1">
      <c r="A65" s="114" t="s">
        <v>150</v>
      </c>
      <c r="B65" s="120" t="s">
        <v>2828</v>
      </c>
      <c r="C65" s="100"/>
      <c r="D65" s="121"/>
      <c r="E65" s="100"/>
      <c r="F65" s="100"/>
      <c r="G65" s="100"/>
      <c r="H65" s="100"/>
      <c r="I65" s="100"/>
      <c r="J65" s="100"/>
      <c r="K65" s="100"/>
      <c r="L65" s="100"/>
      <c r="M65" s="100"/>
      <c r="N65" s="100"/>
      <c r="O65" s="100"/>
      <c r="P65" s="100"/>
      <c r="Q65" s="100"/>
      <c r="R65" s="100"/>
      <c r="S65" s="100"/>
      <c r="T65" s="100"/>
      <c r="U65" s="100"/>
      <c r="V65" s="100"/>
      <c r="W65" s="100"/>
      <c r="X65" s="100"/>
      <c r="Y65" s="100"/>
      <c r="Z65" s="100"/>
    </row>
    <row r="66" ht="9.75" customHeight="1">
      <c r="A66" s="114" t="s">
        <v>152</v>
      </c>
      <c r="B66" s="120" t="s">
        <v>2829</v>
      </c>
      <c r="C66" s="100"/>
      <c r="D66" s="121"/>
      <c r="E66" s="100"/>
      <c r="F66" s="100"/>
      <c r="G66" s="100"/>
      <c r="H66" s="100"/>
      <c r="I66" s="100"/>
      <c r="J66" s="100"/>
      <c r="K66" s="100"/>
      <c r="L66" s="100"/>
      <c r="M66" s="100"/>
      <c r="N66" s="100"/>
      <c r="O66" s="100"/>
      <c r="P66" s="100"/>
      <c r="Q66" s="100"/>
      <c r="R66" s="100"/>
      <c r="S66" s="100"/>
      <c r="T66" s="100"/>
      <c r="U66" s="100"/>
      <c r="V66" s="100"/>
      <c r="W66" s="100"/>
      <c r="X66" s="100"/>
      <c r="Y66" s="100"/>
      <c r="Z66" s="100"/>
    </row>
    <row r="67" ht="9.75" customHeight="1">
      <c r="A67" s="114" t="s">
        <v>153</v>
      </c>
      <c r="B67" s="120" t="s">
        <v>2830</v>
      </c>
      <c r="C67" s="100"/>
      <c r="D67" s="121"/>
      <c r="E67" s="100"/>
      <c r="F67" s="100"/>
      <c r="G67" s="100"/>
      <c r="H67" s="100"/>
      <c r="I67" s="100"/>
      <c r="J67" s="100"/>
      <c r="K67" s="100"/>
      <c r="L67" s="100"/>
      <c r="M67" s="100"/>
      <c r="N67" s="100"/>
      <c r="O67" s="100"/>
      <c r="P67" s="100"/>
      <c r="Q67" s="100"/>
      <c r="R67" s="100"/>
      <c r="S67" s="100"/>
      <c r="T67" s="100"/>
      <c r="U67" s="100"/>
      <c r="V67" s="100"/>
      <c r="W67" s="100"/>
      <c r="X67" s="100"/>
      <c r="Y67" s="100"/>
      <c r="Z67" s="100"/>
    </row>
    <row r="68" ht="9.75" customHeight="1">
      <c r="A68" s="114" t="s">
        <v>2831</v>
      </c>
      <c r="B68" s="120" t="s">
        <v>2832</v>
      </c>
      <c r="C68" s="100"/>
      <c r="D68" s="121"/>
      <c r="E68" s="100"/>
      <c r="F68" s="100"/>
      <c r="G68" s="100"/>
      <c r="H68" s="100"/>
      <c r="I68" s="100"/>
      <c r="J68" s="100"/>
      <c r="K68" s="100"/>
      <c r="L68" s="100"/>
      <c r="M68" s="100"/>
      <c r="N68" s="100"/>
      <c r="O68" s="100"/>
      <c r="P68" s="100"/>
      <c r="Q68" s="100"/>
      <c r="R68" s="100"/>
      <c r="S68" s="100"/>
      <c r="T68" s="100"/>
      <c r="U68" s="100"/>
      <c r="V68" s="100"/>
      <c r="W68" s="100"/>
      <c r="X68" s="100"/>
      <c r="Y68" s="100"/>
      <c r="Z68" s="100"/>
    </row>
    <row r="69" ht="9.75" customHeight="1">
      <c r="A69" s="114" t="s">
        <v>154</v>
      </c>
      <c r="B69" s="120" t="s">
        <v>2833</v>
      </c>
      <c r="C69" s="100"/>
      <c r="D69" s="121"/>
      <c r="E69" s="100"/>
      <c r="F69" s="100"/>
      <c r="G69" s="100"/>
      <c r="H69" s="100"/>
      <c r="I69" s="100"/>
      <c r="J69" s="100"/>
      <c r="K69" s="100"/>
      <c r="L69" s="100"/>
      <c r="M69" s="100"/>
      <c r="N69" s="100"/>
      <c r="O69" s="100"/>
      <c r="P69" s="100"/>
      <c r="Q69" s="100"/>
      <c r="R69" s="100"/>
      <c r="S69" s="100"/>
      <c r="T69" s="100"/>
      <c r="U69" s="100"/>
      <c r="V69" s="100"/>
      <c r="W69" s="100"/>
      <c r="X69" s="100"/>
      <c r="Y69" s="100"/>
      <c r="Z69" s="100"/>
    </row>
    <row r="70" ht="9.75" customHeight="1">
      <c r="A70" s="114" t="s">
        <v>2834</v>
      </c>
      <c r="B70" s="120" t="s">
        <v>2835</v>
      </c>
      <c r="C70" s="100"/>
      <c r="D70" s="121"/>
      <c r="E70" s="100"/>
      <c r="F70" s="100"/>
      <c r="G70" s="100"/>
      <c r="H70" s="100"/>
      <c r="I70" s="100"/>
      <c r="J70" s="100"/>
      <c r="K70" s="100"/>
      <c r="L70" s="100"/>
      <c r="M70" s="100"/>
      <c r="N70" s="100"/>
      <c r="O70" s="100"/>
      <c r="P70" s="100"/>
      <c r="Q70" s="100"/>
      <c r="R70" s="100"/>
      <c r="S70" s="100"/>
      <c r="T70" s="100"/>
      <c r="U70" s="100"/>
      <c r="V70" s="100"/>
      <c r="W70" s="100"/>
      <c r="X70" s="100"/>
      <c r="Y70" s="100"/>
      <c r="Z70" s="100"/>
    </row>
    <row r="71" ht="9.75" customHeight="1">
      <c r="A71" s="116"/>
      <c r="B71" s="121"/>
      <c r="C71" s="100"/>
      <c r="D71" s="121"/>
      <c r="E71" s="100"/>
      <c r="F71" s="100"/>
      <c r="G71" s="100"/>
      <c r="H71" s="100"/>
      <c r="I71" s="100"/>
      <c r="J71" s="100"/>
      <c r="K71" s="100"/>
      <c r="L71" s="100"/>
      <c r="M71" s="100"/>
      <c r="N71" s="100"/>
      <c r="O71" s="100"/>
      <c r="P71" s="100"/>
      <c r="Q71" s="100"/>
      <c r="R71" s="100"/>
      <c r="S71" s="100"/>
      <c r="T71" s="100"/>
      <c r="U71" s="100"/>
      <c r="V71" s="100"/>
      <c r="W71" s="100"/>
      <c r="X71" s="100"/>
      <c r="Y71" s="100"/>
      <c r="Z71" s="100"/>
    </row>
    <row r="72" ht="24.0" customHeight="1">
      <c r="A72" s="122" t="s">
        <v>2836</v>
      </c>
      <c r="D72" s="121"/>
      <c r="E72" s="100"/>
      <c r="F72" s="100"/>
      <c r="G72" s="100"/>
      <c r="H72" s="100"/>
      <c r="I72" s="100"/>
      <c r="J72" s="100"/>
      <c r="K72" s="100"/>
      <c r="L72" s="100"/>
      <c r="M72" s="100"/>
      <c r="N72" s="100"/>
      <c r="O72" s="100"/>
      <c r="P72" s="100"/>
      <c r="Q72" s="100"/>
      <c r="R72" s="100"/>
      <c r="S72" s="100"/>
      <c r="T72" s="100"/>
      <c r="U72" s="100"/>
      <c r="V72" s="100"/>
      <c r="W72" s="100"/>
      <c r="X72" s="100"/>
      <c r="Y72" s="100"/>
      <c r="Z72" s="100"/>
    </row>
    <row r="73" ht="9.75" customHeight="1">
      <c r="A73" s="116"/>
      <c r="B73" s="121"/>
      <c r="C73" s="100"/>
      <c r="D73" s="121"/>
      <c r="E73" s="100"/>
      <c r="F73" s="100"/>
      <c r="G73" s="100"/>
      <c r="H73" s="100"/>
      <c r="I73" s="100"/>
      <c r="J73" s="100"/>
      <c r="K73" s="100"/>
      <c r="L73" s="100"/>
      <c r="M73" s="100"/>
      <c r="N73" s="100"/>
      <c r="O73" s="100"/>
      <c r="P73" s="100"/>
      <c r="Q73" s="100"/>
      <c r="R73" s="100"/>
      <c r="S73" s="100"/>
      <c r="T73" s="100"/>
      <c r="U73" s="100"/>
      <c r="V73" s="100"/>
      <c r="W73" s="100"/>
      <c r="X73" s="100"/>
      <c r="Y73" s="100"/>
      <c r="Z73" s="100"/>
    </row>
    <row r="74" ht="9.75" customHeight="1">
      <c r="A74" s="116"/>
      <c r="B74" s="117"/>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ht="9.75" customHeight="1">
      <c r="A75" s="119" t="s">
        <v>2837</v>
      </c>
      <c r="B75" s="119" t="s">
        <v>2838</v>
      </c>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ht="18.0" customHeight="1">
      <c r="A76" s="123"/>
      <c r="B76" s="123"/>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ht="9.75" customHeight="1">
      <c r="A77" s="114" t="s">
        <v>119</v>
      </c>
      <c r="B77" s="120" t="s">
        <v>2839</v>
      </c>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ht="9.75" customHeight="1">
      <c r="A78" s="114" t="s">
        <v>121</v>
      </c>
      <c r="B78" s="120">
        <v>10.0</v>
      </c>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ht="9.75" customHeight="1">
      <c r="A79" s="114" t="s">
        <v>123</v>
      </c>
      <c r="B79" s="120" t="s">
        <v>2840</v>
      </c>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ht="9.75" customHeight="1">
      <c r="A80" s="114" t="s">
        <v>125</v>
      </c>
      <c r="B80" s="120" t="s">
        <v>2841</v>
      </c>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ht="9.75" customHeight="1">
      <c r="A81" s="114" t="s">
        <v>127</v>
      </c>
      <c r="B81" s="124" t="s">
        <v>2842</v>
      </c>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ht="9.75" customHeight="1">
      <c r="A82" s="114" t="s">
        <v>129</v>
      </c>
      <c r="B82" s="120" t="s">
        <v>2843</v>
      </c>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ht="9.75" customHeight="1">
      <c r="A83" s="114" t="s">
        <v>2844</v>
      </c>
      <c r="B83" s="120" t="s">
        <v>2845</v>
      </c>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ht="9.75" customHeight="1">
      <c r="A84" s="114" t="s">
        <v>135</v>
      </c>
      <c r="B84" s="124" t="s">
        <v>2846</v>
      </c>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ht="9.75" customHeight="1">
      <c r="A85" s="114" t="s">
        <v>137</v>
      </c>
      <c r="B85" s="120" t="s">
        <v>2847</v>
      </c>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ht="9.75" customHeight="1">
      <c r="A86" s="114" t="s">
        <v>2848</v>
      </c>
      <c r="B86" s="120" t="s">
        <v>2849</v>
      </c>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ht="9.75" customHeight="1">
      <c r="A87" s="114" t="s">
        <v>139</v>
      </c>
      <c r="B87" s="120" t="s">
        <v>2850</v>
      </c>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ht="9.75" customHeight="1">
      <c r="A88" s="114" t="s">
        <v>141</v>
      </c>
      <c r="B88" s="120" t="s">
        <v>2851</v>
      </c>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ht="9.75" customHeight="1">
      <c r="A89" s="114" t="s">
        <v>143</v>
      </c>
      <c r="B89" s="120" t="s">
        <v>2852</v>
      </c>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ht="9.75" customHeight="1">
      <c r="A90" s="114" t="s">
        <v>145</v>
      </c>
      <c r="B90" s="120" t="s">
        <v>2853</v>
      </c>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ht="9.75" customHeight="1">
      <c r="A91" s="114" t="s">
        <v>147</v>
      </c>
      <c r="B91" s="120" t="s">
        <v>2854</v>
      </c>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ht="9.75" customHeight="1">
      <c r="A92" s="114" t="s">
        <v>151</v>
      </c>
      <c r="B92" s="125" t="s">
        <v>2855</v>
      </c>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ht="9.75" customHeight="1">
      <c r="A93" s="116"/>
      <c r="B93" s="117"/>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ht="24.0" customHeight="1">
      <c r="A94" s="122" t="s">
        <v>2856</v>
      </c>
      <c r="D94" s="121"/>
      <c r="E94" s="100"/>
      <c r="F94" s="100"/>
      <c r="G94" s="100"/>
      <c r="H94" s="100"/>
      <c r="I94" s="100"/>
      <c r="J94" s="100"/>
      <c r="K94" s="100"/>
      <c r="L94" s="100"/>
      <c r="M94" s="100"/>
      <c r="N94" s="100"/>
      <c r="O94" s="100"/>
      <c r="P94" s="100"/>
      <c r="Q94" s="100"/>
      <c r="R94" s="100"/>
      <c r="S94" s="100"/>
      <c r="T94" s="100"/>
      <c r="U94" s="100"/>
      <c r="V94" s="100"/>
      <c r="W94" s="100"/>
      <c r="X94" s="100"/>
      <c r="Y94" s="100"/>
      <c r="Z94" s="100"/>
    </row>
    <row r="95" ht="10.5" customHeight="1">
      <c r="A95" s="110"/>
      <c r="B95" s="110"/>
      <c r="C95" s="100"/>
      <c r="D95" s="121"/>
      <c r="E95" s="100"/>
      <c r="F95" s="100"/>
      <c r="G95" s="100"/>
      <c r="H95" s="100"/>
      <c r="I95" s="100"/>
      <c r="J95" s="100"/>
      <c r="K95" s="100"/>
      <c r="L95" s="100"/>
      <c r="M95" s="100"/>
      <c r="N95" s="100"/>
      <c r="O95" s="100"/>
      <c r="P95" s="100"/>
      <c r="Q95" s="100"/>
      <c r="R95" s="100"/>
      <c r="S95" s="100"/>
      <c r="T95" s="100"/>
      <c r="U95" s="100"/>
      <c r="V95" s="100"/>
      <c r="W95" s="100"/>
      <c r="X95" s="100"/>
      <c r="Y95" s="100"/>
      <c r="Z95" s="100"/>
    </row>
    <row r="96" ht="21.0" customHeight="1">
      <c r="A96" s="110" t="s">
        <v>2857</v>
      </c>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ht="9.75" customHeight="1">
      <c r="A97" s="110"/>
      <c r="B97" s="11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ht="9.75" customHeight="1">
      <c r="A98" s="116"/>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ht="9.75" customHeight="1">
      <c r="A99" s="126" t="s">
        <v>2858</v>
      </c>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ht="40.5" customHeight="1">
      <c r="A100" s="127" t="s">
        <v>2859</v>
      </c>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ht="9.75" customHeight="1">
      <c r="A101" s="116"/>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ht="9.75" customHeight="1">
      <c r="A102" s="126" t="s">
        <v>2860</v>
      </c>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ht="9.75" customHeight="1">
      <c r="A103" s="110" t="s">
        <v>2861</v>
      </c>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ht="9.75" customHeight="1">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ht="9.75" customHeight="1">
      <c r="A105" s="116"/>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ht="9.75" customHeight="1">
      <c r="A106" s="128" t="s">
        <v>2862</v>
      </c>
      <c r="B106" s="129"/>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ht="9.75" customHeight="1">
      <c r="A107" s="116"/>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ht="9.75" customHeight="1">
      <c r="A108" s="116" t="s">
        <v>2863</v>
      </c>
      <c r="B108" s="117" t="s">
        <v>2864</v>
      </c>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ht="9.75" customHeight="1">
      <c r="A109" s="110" t="s">
        <v>2865</v>
      </c>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ht="9.75" customHeight="1">
      <c r="A110" s="116"/>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ht="9.75" customHeight="1">
      <c r="A111" s="130" t="s">
        <v>2866</v>
      </c>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ht="9.75" customHeight="1">
      <c r="A112" s="116"/>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ht="9.75" customHeight="1">
      <c r="A113" s="131" t="s">
        <v>2867</v>
      </c>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ht="9.75" customHeight="1">
      <c r="A114" s="116"/>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ht="9.75" customHeight="1">
      <c r="A115" s="116" t="s">
        <v>2868</v>
      </c>
      <c r="B115" s="132" t="s">
        <v>2869</v>
      </c>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ht="9.75" customHeight="1">
      <c r="A116" s="116"/>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ht="9.75" customHeight="1">
      <c r="A117" s="116"/>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ht="9.75" customHeight="1">
      <c r="A118" s="116"/>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ht="9.75" customHeight="1">
      <c r="A119" s="116"/>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ht="9.75" customHeight="1">
      <c r="A120" s="116"/>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ht="9.75" customHeight="1">
      <c r="A121" s="116"/>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ht="9.75" customHeight="1">
      <c r="A122" s="116"/>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ht="9.75" customHeight="1">
      <c r="A123" s="116"/>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ht="9.75" customHeight="1">
      <c r="A124" s="116"/>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ht="9.75" customHeight="1">
      <c r="A125" s="116"/>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ht="9.75" customHeight="1">
      <c r="A126" s="116"/>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ht="9.75" customHeight="1">
      <c r="A127" s="116"/>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ht="9.75" customHeight="1">
      <c r="A128" s="116"/>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ht="9.75" customHeight="1">
      <c r="A129" s="116"/>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ht="9.75" customHeight="1">
      <c r="A130" s="116"/>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ht="9.75" customHeight="1">
      <c r="A131" s="116"/>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ht="9.75" customHeight="1">
      <c r="A132" s="116"/>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ht="9.75" customHeight="1">
      <c r="A133" s="116"/>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ht="9.75" customHeight="1">
      <c r="A134" s="116"/>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ht="9.75" customHeight="1">
      <c r="A135" s="116"/>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ht="9.75" customHeight="1">
      <c r="A136" s="116"/>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ht="9.75" customHeight="1">
      <c r="A137" s="116"/>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ht="9.75" customHeight="1">
      <c r="A138" s="116"/>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ht="9.75" customHeight="1">
      <c r="A139" s="116"/>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ht="9.75" customHeight="1">
      <c r="A140" s="116"/>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ht="9.75" customHeight="1">
      <c r="A141" s="116"/>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ht="9.75" customHeight="1">
      <c r="A142" s="116"/>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ht="9.75" customHeight="1">
      <c r="A143" s="116"/>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ht="9.75" customHeight="1">
      <c r="A144" s="116"/>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ht="9.75" customHeight="1">
      <c r="A145" s="116"/>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ht="9.75" customHeight="1">
      <c r="A146" s="116"/>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ht="9.75" customHeight="1">
      <c r="A147" s="116"/>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ht="9.75" customHeight="1">
      <c r="A148" s="116"/>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ht="9.75" customHeight="1">
      <c r="A149" s="116"/>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ht="9.75" customHeight="1">
      <c r="A150" s="116"/>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ht="9.75" customHeight="1">
      <c r="A151" s="116"/>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ht="9.75" customHeight="1">
      <c r="A152" s="116"/>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ht="9.75" customHeight="1">
      <c r="A153" s="116"/>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ht="9.75" customHeight="1">
      <c r="A154" s="116"/>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ht="9.75" customHeight="1">
      <c r="A155" s="116"/>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ht="9.75" customHeight="1">
      <c r="A156" s="116"/>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ht="9.75" customHeight="1">
      <c r="A157" s="116"/>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ht="9.75" customHeight="1">
      <c r="A158" s="116"/>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ht="9.75" customHeight="1">
      <c r="A159" s="116"/>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ht="9.75" customHeight="1">
      <c r="A160" s="116"/>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ht="9.75" customHeight="1">
      <c r="A161" s="116"/>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ht="9.75" customHeight="1">
      <c r="A162" s="116"/>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ht="9.75" customHeight="1">
      <c r="A163" s="116"/>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ht="9.75" customHeight="1">
      <c r="A164" s="116"/>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ht="9.75" customHeight="1">
      <c r="A165" s="116"/>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ht="9.75" customHeight="1">
      <c r="A166" s="116"/>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ht="9.75" customHeight="1">
      <c r="A167" s="116"/>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ht="9.75" customHeight="1">
      <c r="A168" s="116"/>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ht="9.75" customHeight="1">
      <c r="A169" s="116"/>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ht="9.75" customHeight="1">
      <c r="A170" s="116"/>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ht="9.75" customHeight="1">
      <c r="A171" s="116"/>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ht="9.75" customHeight="1">
      <c r="A172" s="116"/>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ht="9.75" customHeight="1">
      <c r="A173" s="116"/>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ht="9.75" customHeight="1">
      <c r="A174" s="116"/>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ht="9.75" customHeight="1">
      <c r="A175" s="116"/>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ht="9.75" customHeight="1">
      <c r="A176" s="116"/>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ht="9.75" customHeight="1">
      <c r="A177" s="116"/>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ht="9.75" customHeight="1">
      <c r="A178" s="116"/>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ht="9.75" customHeight="1">
      <c r="A179" s="116"/>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ht="9.75" customHeight="1">
      <c r="A180" s="116"/>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ht="9.75" customHeight="1">
      <c r="A181" s="116"/>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ht="9.75" customHeight="1">
      <c r="A182" s="116"/>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ht="9.75" customHeight="1">
      <c r="A183" s="116"/>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ht="9.75" customHeight="1">
      <c r="A184" s="116"/>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ht="9.75" customHeight="1">
      <c r="A185" s="116"/>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ht="9.75" customHeight="1">
      <c r="A186" s="116"/>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ht="9.75" customHeight="1">
      <c r="A187" s="116"/>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ht="9.75" customHeight="1">
      <c r="A188" s="116"/>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ht="9.75" customHeight="1">
      <c r="A189" s="116"/>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ht="9.75" customHeight="1">
      <c r="A190" s="116"/>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ht="9.75" customHeight="1">
      <c r="A191" s="116"/>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ht="9.75" customHeight="1">
      <c r="A192" s="116"/>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ht="9.75" customHeight="1">
      <c r="A193" s="116"/>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ht="9.75" customHeight="1">
      <c r="A194" s="116"/>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ht="9.75" customHeight="1">
      <c r="A195" s="116"/>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ht="9.75" customHeight="1">
      <c r="A196" s="116"/>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ht="9.75" customHeight="1">
      <c r="A197" s="116"/>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ht="9.75" customHeight="1">
      <c r="A198" s="116"/>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ht="9.75" customHeight="1">
      <c r="A199" s="116"/>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ht="9.75" customHeight="1">
      <c r="A200" s="116"/>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ht="9.75" customHeight="1">
      <c r="A201" s="116"/>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ht="9.75" customHeight="1">
      <c r="A202" s="116"/>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ht="9.75" customHeight="1">
      <c r="A203" s="116"/>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ht="9.75" customHeight="1">
      <c r="A204" s="116"/>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ht="9.75" customHeight="1">
      <c r="A205" s="116"/>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ht="9.75" customHeight="1">
      <c r="A206" s="116"/>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ht="9.75" customHeight="1">
      <c r="A207" s="116"/>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ht="9.75" customHeight="1">
      <c r="A208" s="116"/>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ht="9.75" customHeight="1">
      <c r="A209" s="116"/>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ht="9.75" customHeight="1">
      <c r="A210" s="116"/>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ht="9.75" customHeight="1">
      <c r="A211" s="116"/>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ht="9.75" customHeight="1">
      <c r="A212" s="116"/>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ht="9.75" customHeight="1">
      <c r="A213" s="116"/>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ht="9.75" customHeight="1">
      <c r="A214" s="116"/>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ht="9.75" customHeight="1">
      <c r="A215" s="116"/>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ht="9.75" customHeight="1">
      <c r="A216" s="116"/>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ht="9.75" customHeight="1">
      <c r="A217" s="116"/>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ht="9.75" customHeight="1">
      <c r="A218" s="116"/>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ht="9.75" customHeight="1">
      <c r="A219" s="116"/>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ht="9.75" customHeight="1">
      <c r="A220" s="116"/>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ht="9.75" customHeight="1">
      <c r="A221" s="116"/>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ht="9.75" customHeight="1">
      <c r="A222" s="116"/>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ht="9.75" customHeight="1">
      <c r="A223" s="116"/>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ht="9.75" customHeight="1">
      <c r="A224" s="116"/>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ht="9.75" customHeight="1">
      <c r="A225" s="116"/>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ht="9.75" customHeight="1">
      <c r="A226" s="116"/>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ht="9.75" customHeight="1">
      <c r="A227" s="116"/>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ht="9.75" customHeight="1">
      <c r="A228" s="116"/>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ht="9.75" customHeight="1">
      <c r="A229" s="116"/>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ht="9.75" customHeight="1">
      <c r="A230" s="116"/>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ht="9.75" customHeight="1">
      <c r="A231" s="116"/>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ht="9.75" customHeight="1">
      <c r="A232" s="116"/>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ht="9.75" customHeight="1">
      <c r="A233" s="116"/>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ht="9.75" customHeight="1">
      <c r="A234" s="116"/>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ht="9.75" customHeight="1">
      <c r="A235" s="116"/>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ht="9.75" customHeight="1">
      <c r="A236" s="116"/>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ht="9.75" customHeight="1">
      <c r="A237" s="116"/>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ht="9.75" customHeight="1">
      <c r="A238" s="116"/>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ht="9.75" customHeight="1">
      <c r="A239" s="116"/>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ht="9.75" customHeight="1">
      <c r="A240" s="116"/>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ht="9.75" customHeight="1">
      <c r="A241" s="116"/>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ht="9.75" customHeight="1">
      <c r="A242" s="116"/>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ht="9.75" customHeight="1">
      <c r="A243" s="116"/>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ht="9.75" customHeight="1">
      <c r="A244" s="116"/>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ht="9.75" customHeight="1">
      <c r="A245" s="116"/>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ht="9.75" customHeight="1">
      <c r="A246" s="116"/>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ht="9.75" customHeight="1">
      <c r="A247" s="116"/>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ht="9.75" customHeight="1">
      <c r="A248" s="116"/>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ht="9.75" customHeight="1">
      <c r="A249" s="116"/>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ht="9.75" customHeight="1">
      <c r="A250" s="116"/>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ht="9.75" customHeight="1">
      <c r="A251" s="116"/>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ht="9.75" customHeight="1">
      <c r="A252" s="116"/>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ht="9.75" customHeight="1">
      <c r="A253" s="116"/>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ht="9.75" customHeight="1">
      <c r="A254" s="116"/>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ht="9.75" customHeight="1">
      <c r="A255" s="116"/>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ht="9.75" customHeight="1">
      <c r="A256" s="116"/>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ht="9.75" customHeight="1">
      <c r="A257" s="116"/>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ht="9.75" customHeight="1">
      <c r="A258" s="116"/>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ht="9.75" customHeight="1">
      <c r="A259" s="116"/>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ht="9.75" customHeight="1">
      <c r="A260" s="116"/>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ht="9.75" customHeight="1">
      <c r="A261" s="116"/>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ht="9.75" customHeight="1">
      <c r="A262" s="116"/>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ht="9.75" customHeight="1">
      <c r="A263" s="116"/>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ht="9.75" customHeight="1">
      <c r="A264" s="116"/>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ht="9.75" customHeight="1">
      <c r="A265" s="116"/>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ht="9.75" customHeight="1">
      <c r="A266" s="116"/>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ht="9.75" customHeight="1">
      <c r="A267" s="116"/>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ht="9.75" customHeight="1">
      <c r="A268" s="116"/>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ht="9.75" customHeight="1">
      <c r="A269" s="116"/>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ht="9.75" customHeight="1">
      <c r="A270" s="116"/>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ht="9.75" customHeight="1">
      <c r="A271" s="116"/>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ht="9.75" customHeight="1">
      <c r="A272" s="116"/>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ht="9.75" customHeight="1">
      <c r="A273" s="116"/>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ht="9.75" customHeight="1">
      <c r="A274" s="116"/>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ht="9.75" customHeight="1">
      <c r="A275" s="116"/>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ht="9.75" customHeight="1">
      <c r="A276" s="116"/>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ht="9.75" customHeight="1">
      <c r="A277" s="116"/>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ht="9.75" customHeight="1">
      <c r="A278" s="116"/>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ht="9.75" customHeight="1">
      <c r="A279" s="116"/>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ht="9.75" customHeight="1">
      <c r="A280" s="116"/>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ht="9.75" customHeight="1">
      <c r="A281" s="116"/>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ht="9.75" customHeight="1">
      <c r="A282" s="116"/>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ht="9.75" customHeight="1">
      <c r="A283" s="116"/>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ht="9.75" customHeight="1">
      <c r="A284" s="116"/>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ht="9.75" customHeight="1">
      <c r="A285" s="116"/>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ht="9.75" customHeight="1">
      <c r="A286" s="116"/>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ht="9.75" customHeight="1">
      <c r="A287" s="116"/>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ht="9.75" customHeight="1">
      <c r="A288" s="116"/>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ht="9.75" customHeight="1">
      <c r="A289" s="116"/>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ht="9.75" customHeight="1">
      <c r="A290" s="116"/>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ht="9.75" customHeight="1">
      <c r="A291" s="116"/>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ht="9.75" customHeight="1">
      <c r="A292" s="116"/>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ht="9.75" customHeight="1">
      <c r="A293" s="116"/>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ht="9.75" customHeight="1">
      <c r="A294" s="116"/>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ht="9.75" customHeight="1">
      <c r="A295" s="116"/>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ht="9.75" customHeight="1">
      <c r="A296" s="116"/>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ht="9.75" customHeight="1">
      <c r="A297" s="116"/>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ht="9.75" customHeight="1">
      <c r="A298" s="116"/>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ht="9.75" customHeight="1">
      <c r="A299" s="116"/>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ht="9.75" customHeight="1">
      <c r="A300" s="116"/>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ht="9.75" customHeight="1">
      <c r="A301" s="116"/>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ht="9.75" customHeight="1">
      <c r="A302" s="116"/>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ht="9.75" customHeight="1">
      <c r="A303" s="116"/>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ht="9.75" customHeight="1">
      <c r="A304" s="116"/>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ht="9.75" customHeight="1">
      <c r="A305" s="116"/>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ht="9.75" customHeight="1">
      <c r="A306" s="116"/>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ht="9.75" customHeight="1">
      <c r="A307" s="116"/>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ht="9.75" customHeight="1">
      <c r="A308" s="116"/>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ht="9.75" customHeight="1">
      <c r="A309" s="116"/>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ht="9.75" customHeight="1">
      <c r="A310" s="116"/>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ht="9.75" customHeight="1">
      <c r="A311" s="116"/>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ht="9.75" customHeight="1">
      <c r="A312" s="116"/>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ht="9.75" customHeight="1">
      <c r="A313" s="116"/>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ht="9.75" customHeight="1">
      <c r="A314" s="116"/>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ht="9.75" customHeight="1">
      <c r="A315" s="116"/>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ht="9.75" customHeight="1">
      <c r="A316" s="116"/>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ht="9.75" customHeight="1">
      <c r="A317" s="116"/>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ht="9.75" customHeight="1">
      <c r="A318" s="116"/>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ht="9.75" customHeight="1">
      <c r="A319" s="116"/>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ht="9.75" customHeight="1">
      <c r="A320" s="116"/>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ht="9.75" customHeight="1">
      <c r="A321" s="116"/>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ht="9.75" customHeight="1">
      <c r="A322" s="116"/>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ht="9.75" customHeight="1">
      <c r="A323" s="116"/>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ht="9.75" customHeight="1">
      <c r="A324" s="116"/>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ht="9.75" customHeight="1">
      <c r="A325" s="116"/>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ht="9.75" customHeight="1">
      <c r="A326" s="116"/>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ht="9.75" customHeight="1">
      <c r="A327" s="116"/>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ht="9.75" customHeight="1">
      <c r="A328" s="116"/>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ht="9.75" customHeight="1">
      <c r="A329" s="116"/>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ht="9.75" customHeight="1">
      <c r="A330" s="116"/>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ht="9.75" customHeight="1">
      <c r="A331" s="116"/>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ht="9.75" customHeight="1">
      <c r="A332" s="116"/>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ht="9.75" customHeight="1">
      <c r="A333" s="116"/>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ht="9.75" customHeight="1">
      <c r="A334" s="116"/>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ht="9.75" customHeight="1">
      <c r="A335" s="116"/>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ht="9.75" customHeight="1">
      <c r="A336" s="116"/>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ht="9.75" customHeight="1">
      <c r="A337" s="116"/>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ht="9.75" customHeight="1">
      <c r="A338" s="116"/>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ht="9.75" customHeight="1">
      <c r="A339" s="116"/>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ht="9.75" customHeight="1">
      <c r="A340" s="116"/>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ht="9.75" customHeight="1">
      <c r="A341" s="116"/>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ht="9.75" customHeight="1">
      <c r="A342" s="116"/>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ht="9.75" customHeight="1">
      <c r="A343" s="116"/>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ht="9.75" customHeight="1">
      <c r="A344" s="116"/>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ht="9.75" customHeight="1">
      <c r="A345" s="116"/>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ht="9.75" customHeight="1">
      <c r="A346" s="116"/>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ht="9.75" customHeight="1">
      <c r="A347" s="116"/>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ht="9.75" customHeight="1">
      <c r="A348" s="116"/>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ht="9.75" customHeight="1">
      <c r="A349" s="116"/>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ht="9.75" customHeight="1">
      <c r="A350" s="116"/>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ht="9.75" customHeight="1">
      <c r="A351" s="116"/>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ht="9.75" customHeight="1">
      <c r="A352" s="116"/>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ht="9.75" customHeight="1">
      <c r="A353" s="116"/>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ht="9.75" customHeight="1">
      <c r="A354" s="116"/>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ht="9.75" customHeight="1">
      <c r="A355" s="116"/>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ht="9.75" customHeight="1">
      <c r="A356" s="116"/>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ht="9.75" customHeight="1">
      <c r="A357" s="116"/>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ht="9.75" customHeight="1">
      <c r="A358" s="116"/>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ht="9.75" customHeight="1">
      <c r="A359" s="116"/>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ht="9.75" customHeight="1">
      <c r="A360" s="116"/>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ht="9.75" customHeight="1">
      <c r="A361" s="116"/>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ht="9.75" customHeight="1">
      <c r="A362" s="116"/>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ht="9.75" customHeight="1">
      <c r="A363" s="116"/>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ht="9.75" customHeight="1">
      <c r="A364" s="116"/>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ht="9.75" customHeight="1">
      <c r="A365" s="116"/>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ht="9.75" customHeight="1">
      <c r="A366" s="116"/>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ht="9.75" customHeight="1">
      <c r="A367" s="116"/>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ht="9.75" customHeight="1">
      <c r="A368" s="116"/>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ht="9.75" customHeight="1">
      <c r="A369" s="116"/>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ht="9.75" customHeight="1">
      <c r="A370" s="116"/>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ht="9.75" customHeight="1">
      <c r="A371" s="116"/>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ht="9.75" customHeight="1">
      <c r="A372" s="116"/>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ht="9.75" customHeight="1">
      <c r="A373" s="116"/>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ht="9.75" customHeight="1">
      <c r="A374" s="116"/>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ht="9.75" customHeight="1">
      <c r="A375" s="116"/>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ht="9.75" customHeight="1">
      <c r="A376" s="116"/>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ht="9.75" customHeight="1">
      <c r="A377" s="116"/>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ht="9.75" customHeight="1">
      <c r="A378" s="116"/>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ht="9.75" customHeight="1">
      <c r="A379" s="116"/>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ht="9.75" customHeight="1">
      <c r="A380" s="116"/>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ht="9.75" customHeight="1">
      <c r="A381" s="116"/>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ht="9.75" customHeight="1">
      <c r="A382" s="116"/>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ht="9.75" customHeight="1">
      <c r="A383" s="116"/>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ht="9.75" customHeight="1">
      <c r="A384" s="116"/>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ht="9.75" customHeight="1">
      <c r="A385" s="116"/>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ht="9.75" customHeight="1">
      <c r="A386" s="116"/>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ht="9.75" customHeight="1">
      <c r="A387" s="116"/>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ht="9.75" customHeight="1">
      <c r="A388" s="116"/>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ht="9.75" customHeight="1">
      <c r="A389" s="116"/>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ht="9.75" customHeight="1">
      <c r="A390" s="116"/>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ht="9.75" customHeight="1">
      <c r="A391" s="116"/>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ht="9.75" customHeight="1">
      <c r="A392" s="116"/>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ht="9.75" customHeight="1">
      <c r="A393" s="116"/>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ht="9.75" customHeight="1">
      <c r="A394" s="116"/>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ht="9.75" customHeight="1">
      <c r="A395" s="116"/>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ht="9.75" customHeight="1">
      <c r="A396" s="116"/>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ht="9.75" customHeight="1">
      <c r="A397" s="116"/>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ht="9.75" customHeight="1">
      <c r="A398" s="116"/>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ht="9.75" customHeight="1">
      <c r="A399" s="116"/>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ht="9.75" customHeight="1">
      <c r="A400" s="116"/>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ht="9.75" customHeight="1">
      <c r="A401" s="116"/>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ht="9.75" customHeight="1">
      <c r="A402" s="116"/>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ht="9.75" customHeight="1">
      <c r="A403" s="116"/>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ht="9.75" customHeight="1">
      <c r="A404" s="116"/>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ht="9.75" customHeight="1">
      <c r="A405" s="116"/>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ht="9.75" customHeight="1">
      <c r="A406" s="116"/>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ht="9.75" customHeight="1">
      <c r="A407" s="116"/>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ht="9.75" customHeight="1">
      <c r="A408" s="116"/>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ht="9.75" customHeight="1">
      <c r="A409" s="116"/>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ht="9.75" customHeight="1">
      <c r="A410" s="116"/>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ht="9.75" customHeight="1">
      <c r="A411" s="116"/>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ht="9.75" customHeight="1">
      <c r="A412" s="116"/>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ht="9.75" customHeight="1">
      <c r="A413" s="116"/>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ht="9.75" customHeight="1">
      <c r="A414" s="116"/>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ht="9.75" customHeight="1">
      <c r="A415" s="116"/>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ht="9.75" customHeight="1">
      <c r="A416" s="116"/>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ht="9.75" customHeight="1">
      <c r="A417" s="116"/>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ht="9.75" customHeight="1">
      <c r="A418" s="116"/>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ht="9.75" customHeight="1">
      <c r="A419" s="116"/>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ht="9.75" customHeight="1">
      <c r="A420" s="116"/>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ht="9.75" customHeight="1">
      <c r="A421" s="116"/>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ht="9.75" customHeight="1">
      <c r="A422" s="116"/>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ht="9.75" customHeight="1">
      <c r="A423" s="116"/>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ht="9.75" customHeight="1">
      <c r="A424" s="116"/>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ht="9.75" customHeight="1">
      <c r="A425" s="116"/>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ht="9.75" customHeight="1">
      <c r="A426" s="116"/>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ht="9.75" customHeight="1">
      <c r="A427" s="116"/>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ht="9.75" customHeight="1">
      <c r="A428" s="116"/>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ht="9.75" customHeight="1">
      <c r="A429" s="116"/>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ht="9.75" customHeight="1">
      <c r="A430" s="116"/>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ht="9.75" customHeight="1">
      <c r="A431" s="116"/>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ht="9.75" customHeight="1">
      <c r="A432" s="116"/>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ht="9.75" customHeight="1">
      <c r="A433" s="116"/>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ht="9.75" customHeight="1">
      <c r="A434" s="116"/>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ht="9.75" customHeight="1">
      <c r="A435" s="116"/>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ht="9.75" customHeight="1">
      <c r="A436" s="116"/>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ht="9.75" customHeight="1">
      <c r="A437" s="116"/>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ht="9.75" customHeight="1">
      <c r="A438" s="116"/>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ht="9.75" customHeight="1">
      <c r="A439" s="116"/>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ht="9.75" customHeight="1">
      <c r="A440" s="116"/>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ht="9.75" customHeight="1">
      <c r="A441" s="116"/>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ht="9.75" customHeight="1">
      <c r="A442" s="116"/>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ht="9.75" customHeight="1">
      <c r="A443" s="116"/>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ht="9.75" customHeight="1">
      <c r="A444" s="116"/>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ht="9.75" customHeight="1">
      <c r="A445" s="116"/>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ht="9.75" customHeight="1">
      <c r="A446" s="116"/>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ht="9.75" customHeight="1">
      <c r="A447" s="116"/>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ht="9.75" customHeight="1">
      <c r="A448" s="116"/>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ht="9.75" customHeight="1">
      <c r="A449" s="116"/>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ht="9.75" customHeight="1">
      <c r="A450" s="116"/>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ht="9.75" customHeight="1">
      <c r="A451" s="116"/>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ht="9.75" customHeight="1">
      <c r="A452" s="116"/>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ht="9.75" customHeight="1">
      <c r="A453" s="116"/>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ht="9.75" customHeight="1">
      <c r="A454" s="116"/>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ht="9.75" customHeight="1">
      <c r="A455" s="116"/>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ht="9.75" customHeight="1">
      <c r="A456" s="116"/>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ht="9.75" customHeight="1">
      <c r="A457" s="116"/>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ht="9.75" customHeight="1">
      <c r="A458" s="116"/>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ht="9.75" customHeight="1">
      <c r="A459" s="116"/>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ht="9.75" customHeight="1">
      <c r="A460" s="116"/>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ht="9.75" customHeight="1">
      <c r="A461" s="116"/>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ht="9.75" customHeight="1">
      <c r="A462" s="116"/>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ht="9.75" customHeight="1">
      <c r="A463" s="116"/>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ht="9.75" customHeight="1">
      <c r="A464" s="116"/>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ht="9.75" customHeight="1">
      <c r="A465" s="116"/>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ht="9.75" customHeight="1">
      <c r="A466" s="116"/>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ht="9.75" customHeight="1">
      <c r="A467" s="116"/>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ht="9.75" customHeight="1">
      <c r="A468" s="116"/>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ht="9.75" customHeight="1">
      <c r="A469" s="116"/>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ht="9.75" customHeight="1">
      <c r="A470" s="116"/>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ht="9.75" customHeight="1">
      <c r="A471" s="116"/>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ht="9.75" customHeight="1">
      <c r="A472" s="116"/>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ht="9.75" customHeight="1">
      <c r="A473" s="116"/>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ht="9.75" customHeight="1">
      <c r="A474" s="116"/>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ht="9.75" customHeight="1">
      <c r="A475" s="116"/>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ht="9.75" customHeight="1">
      <c r="A476" s="116"/>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ht="9.75" customHeight="1">
      <c r="A477" s="116"/>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ht="9.75" customHeight="1">
      <c r="A478" s="116"/>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ht="9.75" customHeight="1">
      <c r="A479" s="116"/>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ht="9.75" customHeight="1">
      <c r="A480" s="116"/>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ht="9.75" customHeight="1">
      <c r="A481" s="116"/>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ht="9.75" customHeight="1">
      <c r="A482" s="116"/>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ht="9.75" customHeight="1">
      <c r="A483" s="116"/>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ht="9.75" customHeight="1">
      <c r="A484" s="116"/>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ht="9.75" customHeight="1">
      <c r="A485" s="116"/>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ht="9.75" customHeight="1">
      <c r="A486" s="116"/>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ht="9.75" customHeight="1">
      <c r="A487" s="116"/>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ht="9.75" customHeight="1">
      <c r="A488" s="116"/>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ht="9.75" customHeight="1">
      <c r="A489" s="116"/>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ht="9.75" customHeight="1">
      <c r="A490" s="116"/>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ht="9.75" customHeight="1">
      <c r="A491" s="116"/>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ht="9.75" customHeight="1">
      <c r="A492" s="116"/>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ht="9.75" customHeight="1">
      <c r="A493" s="116"/>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ht="9.75" customHeight="1">
      <c r="A494" s="116"/>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ht="9.75" customHeight="1">
      <c r="A495" s="116"/>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ht="9.75" customHeight="1">
      <c r="A496" s="116"/>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ht="9.75" customHeight="1">
      <c r="A497" s="116"/>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ht="9.75" customHeight="1">
      <c r="A498" s="116"/>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ht="9.75" customHeight="1">
      <c r="A499" s="116"/>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ht="9.75" customHeight="1">
      <c r="A500" s="116"/>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ht="9.75" customHeight="1">
      <c r="A501" s="116"/>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ht="9.75" customHeight="1">
      <c r="A502" s="116"/>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ht="9.75" customHeight="1">
      <c r="A503" s="116"/>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ht="9.75" customHeight="1">
      <c r="A504" s="116"/>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ht="9.75" customHeight="1">
      <c r="A505" s="116"/>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ht="9.75" customHeight="1">
      <c r="A506" s="116"/>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ht="9.75" customHeight="1">
      <c r="A507" s="116"/>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ht="9.75" customHeight="1">
      <c r="A508" s="116"/>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ht="9.75" customHeight="1">
      <c r="A509" s="116"/>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ht="9.75" customHeight="1">
      <c r="A510" s="116"/>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ht="9.75" customHeight="1">
      <c r="A511" s="116"/>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ht="9.75" customHeight="1">
      <c r="A512" s="116"/>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ht="9.75" customHeight="1">
      <c r="A513" s="116"/>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ht="9.75" customHeight="1">
      <c r="A514" s="116"/>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ht="9.75" customHeight="1">
      <c r="A515" s="116"/>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ht="9.75" customHeight="1">
      <c r="A516" s="116"/>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ht="9.75" customHeight="1">
      <c r="A517" s="116"/>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ht="9.75" customHeight="1">
      <c r="A518" s="116"/>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ht="9.75" customHeight="1">
      <c r="A519" s="116"/>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ht="9.75" customHeight="1">
      <c r="A520" s="116"/>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ht="9.75" customHeight="1">
      <c r="A521" s="116"/>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ht="9.75" customHeight="1">
      <c r="A522" s="116"/>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ht="9.75" customHeight="1">
      <c r="A523" s="116"/>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ht="9.75" customHeight="1">
      <c r="A524" s="116"/>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ht="9.75" customHeight="1">
      <c r="A525" s="116"/>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ht="9.75" customHeight="1">
      <c r="A526" s="116"/>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ht="9.75" customHeight="1">
      <c r="A527" s="116"/>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ht="9.75" customHeight="1">
      <c r="A528" s="116"/>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ht="9.75" customHeight="1">
      <c r="A529" s="116"/>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ht="9.75" customHeight="1">
      <c r="A530" s="116"/>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ht="9.75" customHeight="1">
      <c r="A531" s="116"/>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ht="9.75" customHeight="1">
      <c r="A532" s="116"/>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ht="9.75" customHeight="1">
      <c r="A533" s="116"/>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ht="9.75" customHeight="1">
      <c r="A534" s="116"/>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ht="9.75" customHeight="1">
      <c r="A535" s="116"/>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ht="9.75" customHeight="1">
      <c r="A536" s="116"/>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ht="9.75" customHeight="1">
      <c r="A537" s="116"/>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ht="9.75" customHeight="1">
      <c r="A538" s="116"/>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ht="9.75" customHeight="1">
      <c r="A539" s="116"/>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ht="9.75" customHeight="1">
      <c r="A540" s="116"/>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ht="9.75" customHeight="1">
      <c r="A541" s="116"/>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ht="9.75" customHeight="1">
      <c r="A542" s="116"/>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ht="9.75" customHeight="1">
      <c r="A543" s="116"/>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ht="9.75" customHeight="1">
      <c r="A544" s="116"/>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ht="9.75" customHeight="1">
      <c r="A545" s="116"/>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ht="9.75" customHeight="1">
      <c r="A546" s="116"/>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ht="9.75" customHeight="1">
      <c r="A547" s="116"/>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ht="9.75" customHeight="1">
      <c r="A548" s="116"/>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ht="9.75" customHeight="1">
      <c r="A549" s="116"/>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ht="9.75" customHeight="1">
      <c r="A550" s="116"/>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ht="9.75" customHeight="1">
      <c r="A551" s="116"/>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ht="9.75" customHeight="1">
      <c r="A552" s="116"/>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ht="9.75" customHeight="1">
      <c r="A553" s="116"/>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ht="9.75" customHeight="1">
      <c r="A554" s="116"/>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ht="9.75" customHeight="1">
      <c r="A555" s="116"/>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ht="9.75" customHeight="1">
      <c r="A556" s="116"/>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ht="9.75" customHeight="1">
      <c r="A557" s="116"/>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ht="9.75" customHeight="1">
      <c r="A558" s="116"/>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ht="9.75" customHeight="1">
      <c r="A559" s="116"/>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ht="9.75" customHeight="1">
      <c r="A560" s="116"/>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ht="9.75" customHeight="1">
      <c r="A561" s="116"/>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ht="9.75" customHeight="1">
      <c r="A562" s="116"/>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ht="9.75" customHeight="1">
      <c r="A563" s="116"/>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ht="9.75" customHeight="1">
      <c r="A564" s="116"/>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ht="9.75" customHeight="1">
      <c r="A565" s="116"/>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ht="9.75" customHeight="1">
      <c r="A566" s="116"/>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ht="9.75" customHeight="1">
      <c r="A567" s="116"/>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ht="9.75" customHeight="1">
      <c r="A568" s="116"/>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ht="9.75" customHeight="1">
      <c r="A569" s="116"/>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ht="9.75" customHeight="1">
      <c r="A570" s="116"/>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ht="9.75" customHeight="1">
      <c r="A571" s="116"/>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ht="9.75" customHeight="1">
      <c r="A572" s="116"/>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ht="9.75" customHeight="1">
      <c r="A573" s="116"/>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ht="9.75" customHeight="1">
      <c r="A574" s="116"/>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ht="9.75" customHeight="1">
      <c r="A575" s="116"/>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ht="9.75" customHeight="1">
      <c r="A576" s="116"/>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ht="9.75" customHeight="1">
      <c r="A577" s="116"/>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ht="9.75" customHeight="1">
      <c r="A578" s="116"/>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ht="9.75" customHeight="1">
      <c r="A579" s="116"/>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ht="9.75" customHeight="1">
      <c r="A580" s="116"/>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ht="9.75" customHeight="1">
      <c r="A581" s="116"/>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ht="9.75" customHeight="1">
      <c r="A582" s="116"/>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ht="9.75" customHeight="1">
      <c r="A583" s="116"/>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ht="9.75" customHeight="1">
      <c r="A584" s="116"/>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ht="9.75" customHeight="1">
      <c r="A585" s="116"/>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ht="9.75" customHeight="1">
      <c r="A586" s="116"/>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ht="9.75" customHeight="1">
      <c r="A587" s="116"/>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ht="9.75" customHeight="1">
      <c r="A588" s="116"/>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ht="9.75" customHeight="1">
      <c r="A589" s="116"/>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ht="9.75" customHeight="1">
      <c r="A590" s="116"/>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ht="9.75" customHeight="1">
      <c r="A591" s="116"/>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ht="9.75" customHeight="1">
      <c r="A592" s="116"/>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ht="9.75" customHeight="1">
      <c r="A593" s="116"/>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ht="9.75" customHeight="1">
      <c r="A594" s="116"/>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ht="9.75" customHeight="1">
      <c r="A595" s="116"/>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ht="9.75" customHeight="1">
      <c r="A596" s="116"/>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ht="9.75" customHeight="1">
      <c r="A597" s="116"/>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ht="9.75" customHeight="1">
      <c r="A598" s="116"/>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ht="9.75" customHeight="1">
      <c r="A599" s="116"/>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ht="9.75" customHeight="1">
      <c r="A600" s="116"/>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ht="9.75" customHeight="1">
      <c r="A601" s="116"/>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ht="9.75" customHeight="1">
      <c r="A602" s="116"/>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ht="9.75" customHeight="1">
      <c r="A603" s="116"/>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ht="9.75" customHeight="1">
      <c r="A604" s="116"/>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ht="9.75" customHeight="1">
      <c r="A605" s="116"/>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ht="9.75" customHeight="1">
      <c r="A606" s="116"/>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ht="9.75" customHeight="1">
      <c r="A607" s="116"/>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ht="9.75" customHeight="1">
      <c r="A608" s="116"/>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ht="9.75" customHeight="1">
      <c r="A609" s="116"/>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ht="9.75" customHeight="1">
      <c r="A610" s="116"/>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ht="9.75" customHeight="1">
      <c r="A611" s="116"/>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ht="9.75" customHeight="1">
      <c r="A612" s="116"/>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ht="9.75" customHeight="1">
      <c r="A613" s="116"/>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ht="9.75" customHeight="1">
      <c r="A614" s="116"/>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ht="9.75" customHeight="1">
      <c r="A615" s="116"/>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ht="9.75" customHeight="1">
      <c r="A616" s="116"/>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ht="9.75" customHeight="1">
      <c r="A617" s="116"/>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ht="9.75" customHeight="1">
      <c r="A618" s="116"/>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ht="9.75" customHeight="1">
      <c r="A619" s="116"/>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ht="9.75" customHeight="1">
      <c r="A620" s="116"/>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ht="9.75" customHeight="1">
      <c r="A621" s="116"/>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ht="9.75" customHeight="1">
      <c r="A622" s="116"/>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ht="9.75" customHeight="1">
      <c r="A623" s="116"/>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ht="9.75" customHeight="1">
      <c r="A624" s="116"/>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ht="9.75" customHeight="1">
      <c r="A625" s="116"/>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ht="9.75" customHeight="1">
      <c r="A626" s="116"/>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ht="9.75" customHeight="1">
      <c r="A627" s="116"/>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ht="9.75" customHeight="1">
      <c r="A628" s="116"/>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ht="9.75" customHeight="1">
      <c r="A629" s="116"/>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ht="9.75" customHeight="1">
      <c r="A630" s="116"/>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ht="9.75" customHeight="1">
      <c r="A631" s="116"/>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ht="9.75" customHeight="1">
      <c r="A632" s="116"/>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ht="9.75" customHeight="1">
      <c r="A633" s="116"/>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ht="9.75" customHeight="1">
      <c r="A634" s="116"/>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ht="9.75" customHeight="1">
      <c r="A635" s="116"/>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ht="9.75" customHeight="1">
      <c r="A636" s="116"/>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ht="9.75" customHeight="1">
      <c r="A637" s="116"/>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ht="9.75" customHeight="1">
      <c r="A638" s="116"/>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ht="9.75" customHeight="1">
      <c r="A639" s="116"/>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ht="9.75" customHeight="1">
      <c r="A640" s="116"/>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ht="9.75" customHeight="1">
      <c r="A641" s="116"/>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ht="9.75" customHeight="1">
      <c r="A642" s="116"/>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ht="9.75" customHeight="1">
      <c r="A643" s="116"/>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ht="9.75" customHeight="1">
      <c r="A644" s="116"/>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ht="9.75" customHeight="1">
      <c r="A645" s="116"/>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ht="9.75" customHeight="1">
      <c r="A646" s="116"/>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ht="9.75" customHeight="1">
      <c r="A647" s="116"/>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ht="9.75" customHeight="1">
      <c r="A648" s="116"/>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ht="9.75" customHeight="1">
      <c r="A649" s="116"/>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ht="9.75" customHeight="1">
      <c r="A650" s="116"/>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ht="9.75" customHeight="1">
      <c r="A651" s="116"/>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ht="9.75" customHeight="1">
      <c r="A652" s="116"/>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ht="9.75" customHeight="1">
      <c r="A653" s="116"/>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ht="9.75" customHeight="1">
      <c r="A654" s="116"/>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ht="9.75" customHeight="1">
      <c r="A655" s="116"/>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ht="9.75" customHeight="1">
      <c r="A656" s="116"/>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ht="9.75" customHeight="1">
      <c r="A657" s="116"/>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ht="9.75" customHeight="1">
      <c r="A658" s="116"/>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ht="9.75" customHeight="1">
      <c r="A659" s="116"/>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ht="9.75" customHeight="1">
      <c r="A660" s="116"/>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ht="9.75" customHeight="1">
      <c r="A661" s="116"/>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ht="9.75" customHeight="1">
      <c r="A662" s="116"/>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ht="9.75" customHeight="1">
      <c r="A663" s="116"/>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ht="9.75" customHeight="1">
      <c r="A664" s="116"/>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ht="9.75" customHeight="1">
      <c r="A665" s="116"/>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ht="9.75" customHeight="1">
      <c r="A666" s="116"/>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ht="9.75" customHeight="1">
      <c r="A667" s="116"/>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ht="9.75" customHeight="1">
      <c r="A668" s="116"/>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ht="9.75" customHeight="1">
      <c r="A669" s="116"/>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ht="9.75" customHeight="1">
      <c r="A670" s="116"/>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ht="9.75" customHeight="1">
      <c r="A671" s="116"/>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ht="9.75" customHeight="1">
      <c r="A672" s="116"/>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ht="9.75" customHeight="1">
      <c r="A673" s="116"/>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ht="9.75" customHeight="1">
      <c r="A674" s="116"/>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ht="9.75" customHeight="1">
      <c r="A675" s="116"/>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ht="9.75" customHeight="1">
      <c r="A676" s="116"/>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ht="9.75" customHeight="1">
      <c r="A677" s="116"/>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ht="9.75" customHeight="1">
      <c r="A678" s="116"/>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ht="9.75" customHeight="1">
      <c r="A679" s="116"/>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ht="9.75" customHeight="1">
      <c r="A680" s="116"/>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ht="9.75" customHeight="1">
      <c r="A681" s="116"/>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ht="9.75" customHeight="1">
      <c r="A682" s="116"/>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ht="9.75" customHeight="1">
      <c r="A683" s="116"/>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ht="9.75" customHeight="1">
      <c r="A684" s="116"/>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ht="9.75" customHeight="1">
      <c r="A685" s="116"/>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ht="9.75" customHeight="1">
      <c r="A686" s="116"/>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ht="9.75" customHeight="1">
      <c r="A687" s="116"/>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ht="9.75" customHeight="1">
      <c r="A688" s="116"/>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ht="9.75" customHeight="1">
      <c r="A689" s="116"/>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ht="9.75" customHeight="1">
      <c r="A690" s="116"/>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ht="9.75" customHeight="1">
      <c r="A691" s="116"/>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ht="9.75" customHeight="1">
      <c r="A692" s="116"/>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ht="9.75" customHeight="1">
      <c r="A693" s="116"/>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ht="9.75" customHeight="1">
      <c r="A694" s="116"/>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ht="9.75" customHeight="1">
      <c r="A695" s="116"/>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ht="9.75" customHeight="1">
      <c r="A696" s="116"/>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ht="9.75" customHeight="1">
      <c r="A697" s="116"/>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ht="9.75" customHeight="1">
      <c r="A698" s="116"/>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ht="9.75" customHeight="1">
      <c r="A699" s="116"/>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ht="9.75" customHeight="1">
      <c r="A700" s="116"/>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ht="9.75" customHeight="1">
      <c r="A701" s="116"/>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ht="9.75" customHeight="1">
      <c r="A702" s="116"/>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ht="9.75" customHeight="1">
      <c r="A703" s="116"/>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ht="9.75" customHeight="1">
      <c r="A704" s="116"/>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ht="9.75" customHeight="1">
      <c r="A705" s="116"/>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ht="9.75" customHeight="1">
      <c r="A706" s="116"/>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ht="9.75" customHeight="1">
      <c r="A707" s="116"/>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ht="9.75" customHeight="1">
      <c r="A708" s="116"/>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ht="9.75" customHeight="1">
      <c r="A709" s="116"/>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ht="9.75" customHeight="1">
      <c r="A710" s="116"/>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ht="9.75" customHeight="1">
      <c r="A711" s="116"/>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ht="9.75" customHeight="1">
      <c r="A712" s="116"/>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ht="9.75" customHeight="1">
      <c r="A713" s="116"/>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ht="9.75" customHeight="1">
      <c r="A714" s="116"/>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ht="9.75" customHeight="1">
      <c r="A715" s="116"/>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ht="9.75" customHeight="1">
      <c r="A716" s="116"/>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ht="9.75" customHeight="1">
      <c r="A717" s="116"/>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ht="9.75" customHeight="1">
      <c r="A718" s="116"/>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ht="9.75" customHeight="1">
      <c r="A719" s="116"/>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ht="9.75" customHeight="1">
      <c r="A720" s="116"/>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ht="9.75" customHeight="1">
      <c r="A721" s="116"/>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ht="9.75" customHeight="1">
      <c r="A722" s="116"/>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ht="9.75" customHeight="1">
      <c r="A723" s="116"/>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ht="9.75" customHeight="1">
      <c r="A724" s="116"/>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ht="9.75" customHeight="1">
      <c r="A725" s="116"/>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ht="9.75" customHeight="1">
      <c r="A726" s="116"/>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ht="9.75" customHeight="1">
      <c r="A727" s="116"/>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ht="9.75" customHeight="1">
      <c r="A728" s="116"/>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ht="9.75" customHeight="1">
      <c r="A729" s="116"/>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ht="9.75" customHeight="1">
      <c r="A730" s="116"/>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ht="9.75" customHeight="1">
      <c r="A731" s="116"/>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ht="9.75" customHeight="1">
      <c r="A732" s="116"/>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ht="9.75" customHeight="1">
      <c r="A733" s="116"/>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ht="9.75" customHeight="1">
      <c r="A734" s="116"/>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ht="9.75" customHeight="1">
      <c r="A735" s="116"/>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ht="9.75" customHeight="1">
      <c r="A736" s="116"/>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ht="9.75" customHeight="1">
      <c r="A737" s="116"/>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ht="9.75" customHeight="1">
      <c r="A738" s="116"/>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ht="9.75" customHeight="1">
      <c r="A739" s="116"/>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ht="9.75" customHeight="1">
      <c r="A740" s="116"/>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ht="9.75" customHeight="1">
      <c r="A741" s="116"/>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ht="9.75" customHeight="1">
      <c r="A742" s="116"/>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ht="9.75" customHeight="1">
      <c r="A743" s="116"/>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ht="9.75" customHeight="1">
      <c r="A744" s="116"/>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ht="9.75" customHeight="1">
      <c r="A745" s="116"/>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ht="9.75" customHeight="1">
      <c r="A746" s="116"/>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ht="9.75" customHeight="1">
      <c r="A747" s="116"/>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ht="9.75" customHeight="1">
      <c r="A748" s="116"/>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ht="9.75" customHeight="1">
      <c r="A749" s="116"/>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ht="9.75" customHeight="1">
      <c r="A750" s="116"/>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ht="9.75" customHeight="1">
      <c r="A751" s="116"/>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ht="9.75" customHeight="1">
      <c r="A752" s="116"/>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ht="9.75" customHeight="1">
      <c r="A753" s="116"/>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ht="9.75" customHeight="1">
      <c r="A754" s="116"/>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ht="9.75" customHeight="1">
      <c r="A755" s="116"/>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ht="9.75" customHeight="1">
      <c r="A756" s="116"/>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ht="9.75" customHeight="1">
      <c r="A757" s="116"/>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ht="9.75" customHeight="1">
      <c r="A758" s="116"/>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ht="9.75" customHeight="1">
      <c r="A759" s="116"/>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ht="9.75" customHeight="1">
      <c r="A760" s="116"/>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ht="9.75" customHeight="1">
      <c r="A761" s="116"/>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ht="9.75" customHeight="1">
      <c r="A762" s="116"/>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ht="9.75" customHeight="1">
      <c r="A763" s="116"/>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ht="9.75" customHeight="1">
      <c r="A764" s="116"/>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ht="9.75" customHeight="1">
      <c r="A765" s="116"/>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ht="9.75" customHeight="1">
      <c r="A766" s="116"/>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ht="9.75" customHeight="1">
      <c r="A767" s="116"/>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ht="9.75" customHeight="1">
      <c r="A768" s="116"/>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ht="9.75" customHeight="1">
      <c r="A769" s="116"/>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ht="9.75" customHeight="1">
      <c r="A770" s="116"/>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ht="9.75" customHeight="1">
      <c r="A771" s="116"/>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ht="9.75" customHeight="1">
      <c r="A772" s="116"/>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ht="9.75" customHeight="1">
      <c r="A773" s="116"/>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ht="9.75" customHeight="1">
      <c r="A774" s="116"/>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ht="9.75" customHeight="1">
      <c r="A775" s="116"/>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ht="9.75" customHeight="1">
      <c r="A776" s="116"/>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ht="9.75" customHeight="1">
      <c r="A777" s="116"/>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ht="9.75" customHeight="1">
      <c r="A778" s="116"/>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ht="9.75" customHeight="1">
      <c r="A779" s="116"/>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ht="9.75" customHeight="1">
      <c r="A780" s="116"/>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ht="9.75" customHeight="1">
      <c r="A781" s="116"/>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ht="9.75" customHeight="1">
      <c r="A782" s="116"/>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ht="9.75" customHeight="1">
      <c r="A783" s="116"/>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ht="9.75" customHeight="1">
      <c r="A784" s="116"/>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ht="9.75" customHeight="1">
      <c r="A785" s="116"/>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ht="9.75" customHeight="1">
      <c r="A786" s="116"/>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ht="9.75" customHeight="1">
      <c r="A787" s="116"/>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ht="9.75" customHeight="1">
      <c r="A788" s="116"/>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ht="9.75" customHeight="1">
      <c r="A789" s="116"/>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ht="9.75" customHeight="1">
      <c r="A790" s="116"/>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ht="9.75" customHeight="1">
      <c r="A791" s="116"/>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ht="9.75" customHeight="1">
      <c r="A792" s="116"/>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ht="9.75" customHeight="1">
      <c r="A793" s="116"/>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ht="9.75" customHeight="1">
      <c r="A794" s="116"/>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ht="9.75" customHeight="1">
      <c r="A795" s="116"/>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ht="9.75" customHeight="1">
      <c r="A796" s="116"/>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ht="9.75" customHeight="1">
      <c r="A797" s="116"/>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ht="9.75" customHeight="1">
      <c r="A798" s="116"/>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ht="9.75" customHeight="1">
      <c r="A799" s="116"/>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ht="9.75" customHeight="1">
      <c r="A800" s="116"/>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ht="9.75" customHeight="1">
      <c r="A801" s="116"/>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ht="9.75" customHeight="1">
      <c r="A802" s="116"/>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ht="9.75" customHeight="1">
      <c r="A803" s="116"/>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ht="9.75" customHeight="1">
      <c r="A804" s="116"/>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ht="9.75" customHeight="1">
      <c r="A805" s="116"/>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ht="9.75" customHeight="1">
      <c r="A806" s="116"/>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ht="9.75" customHeight="1">
      <c r="A807" s="116"/>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ht="9.75" customHeight="1">
      <c r="A808" s="116"/>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ht="9.75" customHeight="1">
      <c r="A809" s="116"/>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ht="9.75" customHeight="1">
      <c r="A810" s="116"/>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ht="9.75" customHeight="1">
      <c r="A811" s="116"/>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ht="9.75" customHeight="1">
      <c r="A812" s="116"/>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ht="9.75" customHeight="1">
      <c r="A813" s="116"/>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ht="9.75" customHeight="1">
      <c r="A814" s="116"/>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ht="9.75" customHeight="1">
      <c r="A815" s="116"/>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ht="9.75" customHeight="1">
      <c r="A816" s="116"/>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ht="9.75" customHeight="1">
      <c r="A817" s="116"/>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ht="9.75" customHeight="1">
      <c r="A818" s="116"/>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ht="9.75" customHeight="1">
      <c r="A819" s="116"/>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ht="9.75" customHeight="1">
      <c r="A820" s="116"/>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ht="9.75" customHeight="1">
      <c r="A821" s="116"/>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ht="9.75" customHeight="1">
      <c r="A822" s="116"/>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ht="9.75" customHeight="1">
      <c r="A823" s="116"/>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ht="9.75" customHeight="1">
      <c r="A824" s="116"/>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ht="9.75" customHeight="1">
      <c r="A825" s="116"/>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ht="9.75" customHeight="1">
      <c r="A826" s="116"/>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ht="9.75" customHeight="1">
      <c r="A827" s="116"/>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ht="9.75" customHeight="1">
      <c r="A828" s="116"/>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ht="9.75" customHeight="1">
      <c r="A829" s="116"/>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ht="9.75" customHeight="1">
      <c r="A830" s="116"/>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ht="9.75" customHeight="1">
      <c r="A831" s="116"/>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ht="9.75" customHeight="1">
      <c r="A832" s="116"/>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ht="9.75" customHeight="1">
      <c r="A833" s="116"/>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ht="9.75" customHeight="1">
      <c r="A834" s="116"/>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ht="9.75" customHeight="1">
      <c r="A835" s="116"/>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ht="9.75" customHeight="1">
      <c r="A836" s="116"/>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ht="9.75" customHeight="1">
      <c r="A837" s="116"/>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ht="9.75" customHeight="1">
      <c r="A838" s="116"/>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ht="9.75" customHeight="1">
      <c r="A839" s="116"/>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ht="9.75" customHeight="1">
      <c r="A840" s="116"/>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ht="9.75" customHeight="1">
      <c r="A841" s="116"/>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ht="9.75" customHeight="1">
      <c r="A842" s="116"/>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ht="9.75" customHeight="1">
      <c r="A843" s="116"/>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ht="9.75" customHeight="1">
      <c r="A844" s="116"/>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ht="9.75" customHeight="1">
      <c r="A845" s="116"/>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ht="9.75" customHeight="1">
      <c r="A846" s="116"/>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ht="9.75" customHeight="1">
      <c r="A847" s="116"/>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ht="9.75" customHeight="1">
      <c r="A848" s="116"/>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ht="9.75" customHeight="1">
      <c r="A849" s="116"/>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ht="9.75" customHeight="1">
      <c r="A850" s="116"/>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ht="9.75" customHeight="1">
      <c r="A851" s="116"/>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ht="9.75" customHeight="1">
      <c r="A852" s="116"/>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ht="9.75" customHeight="1">
      <c r="A853" s="116"/>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ht="9.75" customHeight="1">
      <c r="A854" s="116"/>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ht="9.75" customHeight="1">
      <c r="A855" s="116"/>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ht="9.75" customHeight="1">
      <c r="A856" s="116"/>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ht="9.75" customHeight="1">
      <c r="A857" s="116"/>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ht="9.75" customHeight="1">
      <c r="A858" s="116"/>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ht="9.75" customHeight="1">
      <c r="A859" s="116"/>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ht="9.75" customHeight="1">
      <c r="A860" s="116"/>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ht="9.75" customHeight="1">
      <c r="A861" s="116"/>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ht="9.75" customHeight="1">
      <c r="A862" s="116"/>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ht="9.75" customHeight="1">
      <c r="A863" s="116"/>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ht="9.75" customHeight="1">
      <c r="A864" s="116"/>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ht="9.75" customHeight="1">
      <c r="A865" s="116"/>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ht="9.75" customHeight="1">
      <c r="A866" s="116"/>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ht="9.75" customHeight="1">
      <c r="A867" s="116"/>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ht="9.75" customHeight="1">
      <c r="A868" s="116"/>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ht="9.75" customHeight="1">
      <c r="A869" s="116"/>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ht="9.75" customHeight="1">
      <c r="A870" s="116"/>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ht="9.75" customHeight="1">
      <c r="A871" s="116"/>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ht="9.75" customHeight="1">
      <c r="A872" s="116"/>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ht="9.75" customHeight="1">
      <c r="A873" s="116"/>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ht="9.75" customHeight="1">
      <c r="A874" s="116"/>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ht="9.75" customHeight="1">
      <c r="A875" s="116"/>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ht="9.75" customHeight="1">
      <c r="A876" s="116"/>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ht="9.75" customHeight="1">
      <c r="A877" s="116"/>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ht="9.75" customHeight="1">
      <c r="A878" s="116"/>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ht="9.75" customHeight="1">
      <c r="A879" s="116"/>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ht="9.75" customHeight="1">
      <c r="A880" s="116"/>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ht="9.75" customHeight="1">
      <c r="A881" s="116"/>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ht="9.75" customHeight="1">
      <c r="A882" s="116"/>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ht="9.75" customHeight="1">
      <c r="A883" s="116"/>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ht="9.75" customHeight="1">
      <c r="A884" s="116"/>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ht="9.75" customHeight="1">
      <c r="A885" s="116"/>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ht="9.75" customHeight="1">
      <c r="A886" s="116"/>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ht="9.75" customHeight="1">
      <c r="A887" s="116"/>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ht="9.75" customHeight="1">
      <c r="A888" s="116"/>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ht="9.75" customHeight="1">
      <c r="A889" s="116"/>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ht="9.75" customHeight="1">
      <c r="A890" s="116"/>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ht="9.75" customHeight="1">
      <c r="A891" s="116"/>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ht="9.75" customHeight="1">
      <c r="A892" s="116"/>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ht="9.75" customHeight="1">
      <c r="A893" s="116"/>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ht="9.75" customHeight="1">
      <c r="A894" s="116"/>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ht="9.75" customHeight="1">
      <c r="A895" s="116"/>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ht="9.75" customHeight="1">
      <c r="A896" s="116"/>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ht="9.75" customHeight="1">
      <c r="A897" s="116"/>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ht="9.75" customHeight="1">
      <c r="A898" s="116"/>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ht="9.75" customHeight="1">
      <c r="A899" s="116"/>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ht="9.75" customHeight="1">
      <c r="A900" s="116"/>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ht="9.75" customHeight="1">
      <c r="A901" s="116"/>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ht="9.75" customHeight="1">
      <c r="A902" s="116"/>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ht="9.75" customHeight="1">
      <c r="A903" s="116"/>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ht="9.75" customHeight="1">
      <c r="A904" s="116"/>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ht="9.75" customHeight="1">
      <c r="A905" s="116"/>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ht="9.75" customHeight="1">
      <c r="A906" s="116"/>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ht="9.75" customHeight="1">
      <c r="A907" s="116"/>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ht="9.75" customHeight="1">
      <c r="A908" s="116"/>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ht="9.75" customHeight="1">
      <c r="A909" s="116"/>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ht="9.75" customHeight="1">
      <c r="A910" s="116"/>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ht="9.75" customHeight="1">
      <c r="A911" s="116"/>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ht="9.75" customHeight="1">
      <c r="A912" s="116"/>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ht="9.75" customHeight="1">
      <c r="A913" s="116"/>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ht="9.75" customHeight="1">
      <c r="A914" s="116"/>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ht="9.75" customHeight="1">
      <c r="A915" s="116"/>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ht="9.75" customHeight="1">
      <c r="A916" s="116"/>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ht="9.75" customHeight="1">
      <c r="A917" s="116"/>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ht="9.75" customHeight="1">
      <c r="A918" s="116"/>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ht="9.75" customHeight="1">
      <c r="A919" s="116"/>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ht="9.75" customHeight="1">
      <c r="A920" s="116"/>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ht="9.75" customHeight="1">
      <c r="A921" s="116"/>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ht="9.75" customHeight="1">
      <c r="A922" s="116"/>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ht="9.75" customHeight="1">
      <c r="A923" s="116"/>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ht="9.75" customHeight="1">
      <c r="A924" s="116"/>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ht="9.75" customHeight="1">
      <c r="A925" s="116"/>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ht="9.75" customHeight="1">
      <c r="A926" s="116"/>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ht="9.75" customHeight="1">
      <c r="A927" s="116"/>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ht="9.75" customHeight="1">
      <c r="A928" s="116"/>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ht="9.75" customHeight="1">
      <c r="A929" s="116"/>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ht="9.75" customHeight="1">
      <c r="A930" s="116"/>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ht="9.75" customHeight="1">
      <c r="A931" s="116"/>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ht="9.75" customHeight="1">
      <c r="A932" s="116"/>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ht="9.75" customHeight="1">
      <c r="A933" s="116"/>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ht="9.75" customHeight="1">
      <c r="A934" s="116"/>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ht="9.75" customHeight="1">
      <c r="A935" s="116"/>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ht="9.75" customHeight="1">
      <c r="A936" s="116"/>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ht="9.75" customHeight="1">
      <c r="A937" s="116"/>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ht="9.75" customHeight="1">
      <c r="A938" s="116"/>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ht="9.75" customHeight="1">
      <c r="A939" s="116"/>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ht="9.75" customHeight="1">
      <c r="A940" s="116"/>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ht="9.75" customHeight="1">
      <c r="A941" s="116"/>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ht="9.75" customHeight="1">
      <c r="A942" s="116"/>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ht="9.75" customHeight="1">
      <c r="A943" s="116"/>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ht="9.75" customHeight="1">
      <c r="A944" s="116"/>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ht="9.75" customHeight="1">
      <c r="A945" s="116"/>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ht="9.75" customHeight="1">
      <c r="A946" s="116"/>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ht="9.75" customHeight="1">
      <c r="A947" s="116"/>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ht="9.75" customHeight="1">
      <c r="A948" s="116"/>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ht="9.75" customHeight="1">
      <c r="A949" s="116"/>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ht="9.75" customHeight="1">
      <c r="A950" s="116"/>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ht="9.75" customHeight="1">
      <c r="A951" s="116"/>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ht="9.75" customHeight="1">
      <c r="A952" s="116"/>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ht="9.75" customHeight="1">
      <c r="A953" s="116"/>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ht="9.75" customHeight="1">
      <c r="A954" s="116"/>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ht="9.75" customHeight="1">
      <c r="A955" s="116"/>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ht="9.75" customHeight="1">
      <c r="A956" s="116"/>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ht="9.75" customHeight="1">
      <c r="A957" s="116"/>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ht="9.75" customHeight="1">
      <c r="A958" s="116"/>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ht="9.75" customHeight="1">
      <c r="A959" s="116"/>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ht="9.75" customHeight="1">
      <c r="A960" s="116"/>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ht="9.75" customHeight="1">
      <c r="A961" s="116"/>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ht="9.75" customHeight="1">
      <c r="A962" s="116"/>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ht="9.75" customHeight="1">
      <c r="A963" s="116"/>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ht="9.75" customHeight="1">
      <c r="A964" s="116"/>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ht="9.75" customHeight="1">
      <c r="A965" s="116"/>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ht="9.75" customHeight="1">
      <c r="A966" s="116"/>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ht="9.75" customHeight="1">
      <c r="A967" s="116"/>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ht="9.75" customHeight="1">
      <c r="A968" s="116"/>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ht="9.75" customHeight="1">
      <c r="A969" s="116"/>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ht="9.75" customHeight="1">
      <c r="A970" s="116"/>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ht="9.75" customHeight="1">
      <c r="A971" s="116"/>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ht="9.75" customHeight="1">
      <c r="A972" s="116"/>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ht="9.75" customHeight="1">
      <c r="A973" s="116"/>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ht="9.75" customHeight="1">
      <c r="A974" s="116"/>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ht="9.75" customHeight="1">
      <c r="A975" s="116"/>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ht="9.75" customHeight="1">
      <c r="A976" s="116"/>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ht="9.75" customHeight="1">
      <c r="A977" s="116"/>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ht="9.75" customHeight="1">
      <c r="A978" s="116"/>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ht="9.75" customHeight="1">
      <c r="A979" s="116"/>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ht="9.75" customHeight="1">
      <c r="A980" s="116"/>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ht="9.75" customHeight="1">
      <c r="A981" s="116"/>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ht="9.75" customHeight="1">
      <c r="A982" s="116"/>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ht="9.75" customHeight="1">
      <c r="A983" s="116"/>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ht="9.75" customHeight="1">
      <c r="A984" s="116"/>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ht="9.75" customHeight="1">
      <c r="A985" s="116"/>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ht="9.75" customHeight="1">
      <c r="A986" s="116"/>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ht="9.75" customHeight="1">
      <c r="A987" s="116"/>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ht="9.75" customHeight="1">
      <c r="A988" s="116"/>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ht="9.75" customHeight="1">
      <c r="A989" s="116"/>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ht="9.75" customHeight="1">
      <c r="A990" s="116"/>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ht="9.75" customHeight="1">
      <c r="A991" s="116"/>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ht="9.75" customHeight="1">
      <c r="A992" s="116"/>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ht="9.75" customHeight="1">
      <c r="A993" s="116"/>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ht="9.75" customHeight="1">
      <c r="A994" s="116"/>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ht="9.75" customHeight="1">
      <c r="A995" s="116"/>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ht="9.75" customHeight="1">
      <c r="A996" s="116"/>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ht="9.75" customHeight="1">
      <c r="A997" s="116"/>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ht="9.75" customHeight="1">
      <c r="A998" s="116"/>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ht="9.75" customHeight="1">
      <c r="A999" s="116"/>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ht="9.75" customHeight="1">
      <c r="A1000" s="116"/>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sheetData>
  <mergeCells count="25">
    <mergeCell ref="A1:B1"/>
    <mergeCell ref="A2:B2"/>
    <mergeCell ref="A3:B3"/>
    <mergeCell ref="A4:B4"/>
    <mergeCell ref="A6:B6"/>
    <mergeCell ref="A7:B7"/>
    <mergeCell ref="A8:B8"/>
    <mergeCell ref="A9:B9"/>
    <mergeCell ref="A10:B10"/>
    <mergeCell ref="A11:B11"/>
    <mergeCell ref="A12:B12"/>
    <mergeCell ref="A13:B14"/>
    <mergeCell ref="A15:B15"/>
    <mergeCell ref="A16:B16"/>
    <mergeCell ref="A103:B104"/>
    <mergeCell ref="A106:B106"/>
    <mergeCell ref="A109:B109"/>
    <mergeCell ref="A111:B111"/>
    <mergeCell ref="A17:B17"/>
    <mergeCell ref="A72:C72"/>
    <mergeCell ref="A75:A76"/>
    <mergeCell ref="B75:B76"/>
    <mergeCell ref="A94:C94"/>
    <mergeCell ref="A96:B96"/>
    <mergeCell ref="A100:B100"/>
  </mergeCells>
  <hyperlinks>
    <hyperlink r:id="rId1" ref="B115"/>
  </hyperlinks>
  <printOptions/>
  <pageMargins bottom="1.0" footer="0.0" header="0.0" left="0.75" right="0.75" top="0.75"/>
  <pageSetup orientation="portrait"/>
  <headerFooter>
    <oddFooter>&amp;LOffice of Statewide Health Planning and Development&amp;C&amp;P of &amp;RUpdated September 2020</oddFooter>
  </headerFooter>
  <rowBreaks count="1" manualBreakCount="1">
    <brk id="37" man="1"/>
  </rowBrea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2005-08-24T01:11:07Z</dcterms:created>
  <dc:creator>Henderson, Karen@OSHPD</dc:creator>
</cp:coreProperties>
</file>